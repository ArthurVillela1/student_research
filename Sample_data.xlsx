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e89a93bd219aae1/Documentos/student_research/"/>
    </mc:Choice>
  </mc:AlternateContent>
  <xr:revisionPtr revIDLastSave="256" documentId="8_{4CACDAAA-E667-431D-9114-556698DD87ED}" xr6:coauthVersionLast="47" xr6:coauthVersionMax="47" xr10:uidLastSave="{D6BB97AD-5F58-424C-845D-5E36BD18D9DD}"/>
  <bookViews>
    <workbookView xWindow="-108" yWindow="-108" windowWidth="23256" windowHeight="12456" xr2:uid="{00000000-000D-0000-FFFF-FFFF00000000}"/>
  </bookViews>
  <sheets>
    <sheet name="Sheet1" sheetId="3" r:id="rId1"/>
    <sheet name="S2012-2022" sheetId="8" r:id="rId2"/>
    <sheet name="S2019-2022" sheetId="9" r:id="rId3"/>
    <sheet name="S2012-2022 (I)" sheetId="6" r:id="rId4"/>
    <sheet name="S2019-2022 (I)" sheetId="7" r:id="rId5"/>
    <sheet name="2012-2022" sheetId="1" r:id="rId6"/>
    <sheet name="2019-2022" sheetId="2" r:id="rId7"/>
    <sheet name="Correlations (2012-2022)" sheetId="10" r:id="rId8"/>
  </sheets>
  <definedNames>
    <definedName name="_xlnm._FilterDatabase" localSheetId="5" hidden="1">'2012-2022'!$E$1:$P$287</definedName>
    <definedName name="_xlnm._FilterDatabase" localSheetId="6" hidden="1">'2019-2022'!$D$1:$Q$117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0" l="1"/>
  <c r="O7" i="10"/>
  <c r="M3" i="10"/>
  <c r="S3" i="10"/>
  <c r="T3" i="10"/>
  <c r="S5" i="10"/>
  <c r="S7" i="10"/>
  <c r="S9" i="10"/>
  <c r="M10" i="10"/>
  <c r="S10" i="10"/>
  <c r="T10" i="10"/>
  <c r="D13" i="10"/>
  <c r="M4" i="10" s="1"/>
  <c r="E13" i="10"/>
  <c r="M5" i="10" s="1"/>
  <c r="F13" i="10"/>
  <c r="M6" i="10" s="1"/>
  <c r="G13" i="10"/>
  <c r="M7" i="10" s="1"/>
  <c r="H13" i="10"/>
  <c r="M8" i="10" s="1"/>
  <c r="I13" i="10"/>
  <c r="M9" i="10" s="1"/>
  <c r="D79" i="10"/>
  <c r="R4" i="10" s="1"/>
  <c r="E79" i="10"/>
  <c r="F79" i="10"/>
  <c r="G79" i="10"/>
  <c r="Q7" i="10" s="1"/>
  <c r="H79" i="10"/>
  <c r="I79" i="10"/>
  <c r="D90" i="10"/>
  <c r="E90" i="10"/>
  <c r="R5" i="10" s="1"/>
  <c r="F90" i="10"/>
  <c r="S6" i="10" s="1"/>
  <c r="G90" i="10"/>
  <c r="H90" i="10"/>
  <c r="I90" i="10"/>
  <c r="D114" i="10"/>
  <c r="E114" i="10"/>
  <c r="F114" i="10"/>
  <c r="G114" i="10"/>
  <c r="R7" i="10" s="1"/>
  <c r="H114" i="10"/>
  <c r="R10" i="10" s="1"/>
  <c r="I114" i="10"/>
  <c r="D125" i="10"/>
  <c r="E125" i="10"/>
  <c r="F125" i="10"/>
  <c r="G125" i="10"/>
  <c r="H125" i="10"/>
  <c r="I125" i="10"/>
  <c r="D129" i="10"/>
  <c r="E129" i="10"/>
  <c r="F129" i="10"/>
  <c r="G129" i="10"/>
  <c r="H129" i="10"/>
  <c r="I129" i="10"/>
  <c r="D134" i="10"/>
  <c r="E134" i="10"/>
  <c r="F134" i="10"/>
  <c r="G134" i="10"/>
  <c r="H134" i="10"/>
  <c r="I134" i="10"/>
  <c r="D206" i="10"/>
  <c r="E206" i="10"/>
  <c r="F206" i="10"/>
  <c r="G206" i="10"/>
  <c r="H206" i="10"/>
  <c r="I206" i="10"/>
  <c r="D208" i="10"/>
  <c r="E208" i="10"/>
  <c r="F208" i="10"/>
  <c r="G208" i="10"/>
  <c r="H208" i="10"/>
  <c r="I208" i="10"/>
  <c r="D213" i="10"/>
  <c r="E213" i="10"/>
  <c r="F213" i="10"/>
  <c r="G213" i="10"/>
  <c r="H213" i="10"/>
  <c r="I213" i="10"/>
  <c r="D264" i="10"/>
  <c r="E264" i="10"/>
  <c r="F264" i="10"/>
  <c r="G264" i="10"/>
  <c r="H264" i="10"/>
  <c r="I264" i="10"/>
  <c r="P113" i="9"/>
  <c r="O113" i="9"/>
  <c r="N113" i="9"/>
  <c r="M113" i="9"/>
  <c r="L113" i="9"/>
  <c r="K113" i="9"/>
  <c r="J113" i="9"/>
  <c r="I113" i="9"/>
  <c r="H113" i="9"/>
  <c r="G113" i="9"/>
  <c r="F113" i="9"/>
  <c r="E113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P111" i="9"/>
  <c r="O111" i="9"/>
  <c r="N111" i="9"/>
  <c r="M111" i="9"/>
  <c r="L111" i="9"/>
  <c r="K111" i="9"/>
  <c r="J111" i="9"/>
  <c r="I111" i="9"/>
  <c r="H111" i="9"/>
  <c r="G111" i="9"/>
  <c r="F111" i="9"/>
  <c r="E111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P99" i="9"/>
  <c r="O99" i="9"/>
  <c r="N99" i="9"/>
  <c r="M99" i="9"/>
  <c r="L99" i="9"/>
  <c r="K99" i="9"/>
  <c r="J99" i="9"/>
  <c r="I99" i="9"/>
  <c r="H99" i="9"/>
  <c r="G99" i="9"/>
  <c r="F99" i="9"/>
  <c r="E99" i="9"/>
  <c r="P98" i="9"/>
  <c r="O98" i="9"/>
  <c r="N98" i="9"/>
  <c r="M98" i="9"/>
  <c r="L98" i="9"/>
  <c r="K98" i="9"/>
  <c r="J98" i="9"/>
  <c r="I98" i="9"/>
  <c r="H98" i="9"/>
  <c r="G98" i="9"/>
  <c r="F98" i="9"/>
  <c r="E98" i="9"/>
  <c r="P97" i="9"/>
  <c r="O97" i="9"/>
  <c r="N97" i="9"/>
  <c r="M97" i="9"/>
  <c r="L97" i="9"/>
  <c r="K97" i="9"/>
  <c r="J97" i="9"/>
  <c r="I97" i="9"/>
  <c r="H97" i="9"/>
  <c r="G97" i="9"/>
  <c r="F97" i="9"/>
  <c r="E97" i="9"/>
  <c r="P96" i="9"/>
  <c r="O96" i="9"/>
  <c r="N96" i="9"/>
  <c r="M96" i="9"/>
  <c r="L96" i="9"/>
  <c r="K96" i="9"/>
  <c r="J96" i="9"/>
  <c r="I96" i="9"/>
  <c r="H96" i="9"/>
  <c r="G96" i="9"/>
  <c r="F96" i="9"/>
  <c r="E96" i="9"/>
  <c r="P95" i="9"/>
  <c r="O95" i="9"/>
  <c r="N95" i="9"/>
  <c r="M95" i="9"/>
  <c r="L95" i="9"/>
  <c r="K95" i="9"/>
  <c r="J95" i="9"/>
  <c r="I95" i="9"/>
  <c r="H95" i="9"/>
  <c r="G95" i="9"/>
  <c r="F95" i="9"/>
  <c r="E95" i="9"/>
  <c r="P94" i="9"/>
  <c r="O94" i="9"/>
  <c r="N94" i="9"/>
  <c r="M94" i="9"/>
  <c r="L94" i="9"/>
  <c r="K94" i="9"/>
  <c r="J94" i="9"/>
  <c r="I94" i="9"/>
  <c r="H94" i="9"/>
  <c r="G94" i="9"/>
  <c r="F94" i="9"/>
  <c r="E94" i="9"/>
  <c r="P93" i="9"/>
  <c r="O93" i="9"/>
  <c r="N93" i="9"/>
  <c r="M93" i="9"/>
  <c r="L93" i="9"/>
  <c r="K93" i="9"/>
  <c r="J93" i="9"/>
  <c r="I93" i="9"/>
  <c r="H93" i="9"/>
  <c r="G93" i="9"/>
  <c r="F93" i="9"/>
  <c r="E93" i="9"/>
  <c r="P92" i="9"/>
  <c r="O92" i="9"/>
  <c r="N92" i="9"/>
  <c r="M92" i="9"/>
  <c r="L92" i="9"/>
  <c r="K92" i="9"/>
  <c r="J92" i="9"/>
  <c r="I92" i="9"/>
  <c r="H92" i="9"/>
  <c r="G92" i="9"/>
  <c r="F92" i="9"/>
  <c r="E92" i="9"/>
  <c r="P91" i="9"/>
  <c r="O91" i="9"/>
  <c r="N91" i="9"/>
  <c r="M91" i="9"/>
  <c r="L91" i="9"/>
  <c r="K91" i="9"/>
  <c r="J91" i="9"/>
  <c r="I91" i="9"/>
  <c r="H91" i="9"/>
  <c r="G91" i="9"/>
  <c r="F91" i="9"/>
  <c r="E91" i="9"/>
  <c r="P90" i="9"/>
  <c r="O90" i="9"/>
  <c r="N90" i="9"/>
  <c r="M90" i="9"/>
  <c r="L90" i="9"/>
  <c r="K90" i="9"/>
  <c r="J90" i="9"/>
  <c r="I90" i="9"/>
  <c r="H90" i="9"/>
  <c r="G90" i="9"/>
  <c r="F90" i="9"/>
  <c r="E90" i="9"/>
  <c r="P89" i="9"/>
  <c r="O89" i="9"/>
  <c r="N89" i="9"/>
  <c r="M89" i="9"/>
  <c r="L89" i="9"/>
  <c r="K89" i="9"/>
  <c r="J89" i="9"/>
  <c r="I89" i="9"/>
  <c r="H89" i="9"/>
  <c r="G89" i="9"/>
  <c r="F89" i="9"/>
  <c r="E89" i="9"/>
  <c r="P88" i="9"/>
  <c r="O88" i="9"/>
  <c r="N88" i="9"/>
  <c r="M88" i="9"/>
  <c r="L88" i="9"/>
  <c r="K88" i="9"/>
  <c r="J88" i="9"/>
  <c r="I88" i="9"/>
  <c r="H88" i="9"/>
  <c r="G88" i="9"/>
  <c r="F88" i="9"/>
  <c r="E88" i="9"/>
  <c r="P87" i="9"/>
  <c r="O87" i="9"/>
  <c r="N87" i="9"/>
  <c r="M87" i="9"/>
  <c r="L87" i="9"/>
  <c r="K87" i="9"/>
  <c r="J87" i="9"/>
  <c r="I87" i="9"/>
  <c r="H87" i="9"/>
  <c r="G87" i="9"/>
  <c r="F87" i="9"/>
  <c r="E87" i="9"/>
  <c r="P86" i="9"/>
  <c r="O86" i="9"/>
  <c r="N86" i="9"/>
  <c r="M86" i="9"/>
  <c r="L86" i="9"/>
  <c r="K86" i="9"/>
  <c r="J86" i="9"/>
  <c r="I86" i="9"/>
  <c r="H86" i="9"/>
  <c r="G86" i="9"/>
  <c r="F86" i="9"/>
  <c r="E86" i="9"/>
  <c r="P85" i="9"/>
  <c r="O85" i="9"/>
  <c r="N85" i="9"/>
  <c r="M85" i="9"/>
  <c r="L85" i="9"/>
  <c r="K85" i="9"/>
  <c r="J85" i="9"/>
  <c r="I85" i="9"/>
  <c r="H85" i="9"/>
  <c r="G85" i="9"/>
  <c r="F85" i="9"/>
  <c r="E85" i="9"/>
  <c r="P84" i="9"/>
  <c r="O84" i="9"/>
  <c r="N84" i="9"/>
  <c r="M84" i="9"/>
  <c r="L84" i="9"/>
  <c r="K84" i="9"/>
  <c r="J84" i="9"/>
  <c r="I84" i="9"/>
  <c r="H84" i="9"/>
  <c r="G84" i="9"/>
  <c r="F84" i="9"/>
  <c r="E84" i="9"/>
  <c r="P83" i="9"/>
  <c r="O83" i="9"/>
  <c r="N83" i="9"/>
  <c r="M83" i="9"/>
  <c r="L83" i="9"/>
  <c r="K83" i="9"/>
  <c r="J83" i="9"/>
  <c r="I83" i="9"/>
  <c r="H83" i="9"/>
  <c r="G83" i="9"/>
  <c r="F83" i="9"/>
  <c r="E83" i="9"/>
  <c r="P82" i="9"/>
  <c r="O82" i="9"/>
  <c r="N82" i="9"/>
  <c r="M82" i="9"/>
  <c r="L82" i="9"/>
  <c r="K82" i="9"/>
  <c r="J82" i="9"/>
  <c r="I82" i="9"/>
  <c r="H82" i="9"/>
  <c r="G82" i="9"/>
  <c r="F82" i="9"/>
  <c r="E82" i="9"/>
  <c r="P81" i="9"/>
  <c r="O81" i="9"/>
  <c r="N81" i="9"/>
  <c r="M81" i="9"/>
  <c r="L81" i="9"/>
  <c r="K81" i="9"/>
  <c r="J81" i="9"/>
  <c r="I81" i="9"/>
  <c r="H81" i="9"/>
  <c r="G81" i="9"/>
  <c r="F81" i="9"/>
  <c r="E81" i="9"/>
  <c r="P80" i="9"/>
  <c r="O80" i="9"/>
  <c r="N80" i="9"/>
  <c r="M80" i="9"/>
  <c r="L80" i="9"/>
  <c r="K80" i="9"/>
  <c r="J80" i="9"/>
  <c r="I80" i="9"/>
  <c r="H80" i="9"/>
  <c r="G80" i="9"/>
  <c r="F80" i="9"/>
  <c r="E80" i="9"/>
  <c r="P79" i="9"/>
  <c r="O79" i="9"/>
  <c r="N79" i="9"/>
  <c r="M79" i="9"/>
  <c r="L79" i="9"/>
  <c r="K79" i="9"/>
  <c r="J79" i="9"/>
  <c r="I79" i="9"/>
  <c r="H79" i="9"/>
  <c r="G79" i="9"/>
  <c r="F79" i="9"/>
  <c r="E79" i="9"/>
  <c r="P78" i="9"/>
  <c r="O78" i="9"/>
  <c r="N78" i="9"/>
  <c r="M78" i="9"/>
  <c r="L78" i="9"/>
  <c r="K78" i="9"/>
  <c r="J78" i="9"/>
  <c r="I78" i="9"/>
  <c r="H78" i="9"/>
  <c r="G78" i="9"/>
  <c r="F78" i="9"/>
  <c r="E78" i="9"/>
  <c r="P77" i="9"/>
  <c r="O77" i="9"/>
  <c r="N77" i="9"/>
  <c r="M77" i="9"/>
  <c r="L77" i="9"/>
  <c r="K77" i="9"/>
  <c r="J77" i="9"/>
  <c r="I77" i="9"/>
  <c r="H77" i="9"/>
  <c r="G77" i="9"/>
  <c r="F77" i="9"/>
  <c r="E77" i="9"/>
  <c r="P76" i="9"/>
  <c r="O76" i="9"/>
  <c r="N76" i="9"/>
  <c r="M76" i="9"/>
  <c r="L76" i="9"/>
  <c r="K76" i="9"/>
  <c r="J76" i="9"/>
  <c r="I76" i="9"/>
  <c r="H76" i="9"/>
  <c r="G76" i="9"/>
  <c r="F76" i="9"/>
  <c r="E76" i="9"/>
  <c r="P75" i="9"/>
  <c r="O75" i="9"/>
  <c r="N75" i="9"/>
  <c r="M75" i="9"/>
  <c r="L75" i="9"/>
  <c r="K75" i="9"/>
  <c r="J75" i="9"/>
  <c r="I75" i="9"/>
  <c r="H75" i="9"/>
  <c r="G75" i="9"/>
  <c r="F75" i="9"/>
  <c r="E75" i="9"/>
  <c r="P74" i="9"/>
  <c r="O74" i="9"/>
  <c r="N74" i="9"/>
  <c r="M74" i="9"/>
  <c r="L74" i="9"/>
  <c r="K74" i="9"/>
  <c r="J74" i="9"/>
  <c r="I74" i="9"/>
  <c r="H74" i="9"/>
  <c r="G74" i="9"/>
  <c r="F74" i="9"/>
  <c r="E74" i="9"/>
  <c r="P73" i="9"/>
  <c r="O73" i="9"/>
  <c r="N73" i="9"/>
  <c r="M73" i="9"/>
  <c r="L73" i="9"/>
  <c r="K73" i="9"/>
  <c r="J73" i="9"/>
  <c r="I73" i="9"/>
  <c r="H73" i="9"/>
  <c r="G73" i="9"/>
  <c r="F73" i="9"/>
  <c r="E73" i="9"/>
  <c r="P72" i="9"/>
  <c r="O72" i="9"/>
  <c r="N72" i="9"/>
  <c r="M72" i="9"/>
  <c r="L72" i="9"/>
  <c r="K72" i="9"/>
  <c r="J72" i="9"/>
  <c r="I72" i="9"/>
  <c r="H72" i="9"/>
  <c r="G72" i="9"/>
  <c r="F72" i="9"/>
  <c r="E72" i="9"/>
  <c r="P71" i="9"/>
  <c r="O71" i="9"/>
  <c r="N71" i="9"/>
  <c r="M71" i="9"/>
  <c r="L71" i="9"/>
  <c r="K71" i="9"/>
  <c r="J71" i="9"/>
  <c r="I71" i="9"/>
  <c r="H71" i="9"/>
  <c r="G71" i="9"/>
  <c r="F71" i="9"/>
  <c r="E71" i="9"/>
  <c r="P70" i="9"/>
  <c r="O70" i="9"/>
  <c r="N70" i="9"/>
  <c r="M70" i="9"/>
  <c r="L70" i="9"/>
  <c r="K70" i="9"/>
  <c r="J70" i="9"/>
  <c r="I70" i="9"/>
  <c r="H70" i="9"/>
  <c r="G70" i="9"/>
  <c r="F70" i="9"/>
  <c r="E70" i="9"/>
  <c r="P69" i="9"/>
  <c r="O69" i="9"/>
  <c r="N69" i="9"/>
  <c r="M69" i="9"/>
  <c r="L69" i="9"/>
  <c r="K69" i="9"/>
  <c r="J69" i="9"/>
  <c r="I69" i="9"/>
  <c r="H69" i="9"/>
  <c r="G69" i="9"/>
  <c r="F69" i="9"/>
  <c r="E69" i="9"/>
  <c r="P68" i="9"/>
  <c r="O68" i="9"/>
  <c r="N68" i="9"/>
  <c r="M68" i="9"/>
  <c r="L68" i="9"/>
  <c r="K68" i="9"/>
  <c r="J68" i="9"/>
  <c r="I68" i="9"/>
  <c r="H68" i="9"/>
  <c r="G68" i="9"/>
  <c r="F68" i="9"/>
  <c r="E68" i="9"/>
  <c r="P67" i="9"/>
  <c r="O67" i="9"/>
  <c r="N67" i="9"/>
  <c r="M67" i="9"/>
  <c r="L67" i="9"/>
  <c r="K67" i="9"/>
  <c r="J67" i="9"/>
  <c r="I67" i="9"/>
  <c r="H67" i="9"/>
  <c r="G67" i="9"/>
  <c r="F67" i="9"/>
  <c r="E67" i="9"/>
  <c r="P66" i="9"/>
  <c r="O66" i="9"/>
  <c r="N66" i="9"/>
  <c r="M66" i="9"/>
  <c r="L66" i="9"/>
  <c r="K66" i="9"/>
  <c r="J66" i="9"/>
  <c r="I66" i="9"/>
  <c r="H66" i="9"/>
  <c r="G66" i="9"/>
  <c r="F66" i="9"/>
  <c r="E66" i="9"/>
  <c r="P65" i="9"/>
  <c r="O65" i="9"/>
  <c r="N65" i="9"/>
  <c r="M65" i="9"/>
  <c r="L65" i="9"/>
  <c r="K65" i="9"/>
  <c r="J65" i="9"/>
  <c r="I65" i="9"/>
  <c r="H65" i="9"/>
  <c r="G65" i="9"/>
  <c r="F65" i="9"/>
  <c r="E65" i="9"/>
  <c r="P64" i="9"/>
  <c r="O64" i="9"/>
  <c r="N64" i="9"/>
  <c r="M64" i="9"/>
  <c r="L64" i="9"/>
  <c r="K64" i="9"/>
  <c r="J64" i="9"/>
  <c r="I64" i="9"/>
  <c r="H64" i="9"/>
  <c r="G64" i="9"/>
  <c r="F64" i="9"/>
  <c r="E64" i="9"/>
  <c r="P63" i="9"/>
  <c r="O63" i="9"/>
  <c r="N63" i="9"/>
  <c r="M63" i="9"/>
  <c r="L63" i="9"/>
  <c r="K63" i="9"/>
  <c r="J63" i="9"/>
  <c r="I63" i="9"/>
  <c r="H63" i="9"/>
  <c r="G63" i="9"/>
  <c r="F63" i="9"/>
  <c r="E63" i="9"/>
  <c r="P62" i="9"/>
  <c r="O62" i="9"/>
  <c r="N62" i="9"/>
  <c r="M62" i="9"/>
  <c r="L62" i="9"/>
  <c r="K62" i="9"/>
  <c r="J62" i="9"/>
  <c r="I62" i="9"/>
  <c r="H62" i="9"/>
  <c r="G62" i="9"/>
  <c r="F62" i="9"/>
  <c r="E62" i="9"/>
  <c r="P61" i="9"/>
  <c r="O61" i="9"/>
  <c r="N61" i="9"/>
  <c r="M61" i="9"/>
  <c r="L61" i="9"/>
  <c r="K61" i="9"/>
  <c r="J61" i="9"/>
  <c r="I61" i="9"/>
  <c r="H61" i="9"/>
  <c r="G61" i="9"/>
  <c r="F61" i="9"/>
  <c r="E61" i="9"/>
  <c r="P60" i="9"/>
  <c r="O60" i="9"/>
  <c r="N60" i="9"/>
  <c r="M60" i="9"/>
  <c r="L60" i="9"/>
  <c r="K60" i="9"/>
  <c r="J60" i="9"/>
  <c r="I60" i="9"/>
  <c r="H60" i="9"/>
  <c r="G60" i="9"/>
  <c r="F60" i="9"/>
  <c r="E60" i="9"/>
  <c r="P59" i="9"/>
  <c r="O59" i="9"/>
  <c r="N59" i="9"/>
  <c r="M59" i="9"/>
  <c r="L59" i="9"/>
  <c r="K59" i="9"/>
  <c r="J59" i="9"/>
  <c r="I59" i="9"/>
  <c r="H59" i="9"/>
  <c r="G59" i="9"/>
  <c r="F59" i="9"/>
  <c r="E59" i="9"/>
  <c r="P58" i="9"/>
  <c r="O58" i="9"/>
  <c r="N58" i="9"/>
  <c r="M58" i="9"/>
  <c r="L58" i="9"/>
  <c r="K58" i="9"/>
  <c r="J58" i="9"/>
  <c r="I58" i="9"/>
  <c r="H58" i="9"/>
  <c r="G58" i="9"/>
  <c r="F58" i="9"/>
  <c r="E58" i="9"/>
  <c r="P57" i="9"/>
  <c r="O57" i="9"/>
  <c r="N57" i="9"/>
  <c r="M57" i="9"/>
  <c r="L57" i="9"/>
  <c r="K57" i="9"/>
  <c r="J57" i="9"/>
  <c r="I57" i="9"/>
  <c r="H57" i="9"/>
  <c r="G57" i="9"/>
  <c r="F57" i="9"/>
  <c r="E57" i="9"/>
  <c r="P56" i="9"/>
  <c r="O56" i="9"/>
  <c r="N56" i="9"/>
  <c r="M56" i="9"/>
  <c r="L56" i="9"/>
  <c r="K56" i="9"/>
  <c r="J56" i="9"/>
  <c r="I56" i="9"/>
  <c r="H56" i="9"/>
  <c r="G56" i="9"/>
  <c r="F56" i="9"/>
  <c r="E56" i="9"/>
  <c r="P55" i="9"/>
  <c r="O55" i="9"/>
  <c r="N55" i="9"/>
  <c r="M55" i="9"/>
  <c r="L55" i="9"/>
  <c r="K55" i="9"/>
  <c r="J55" i="9"/>
  <c r="I55" i="9"/>
  <c r="H55" i="9"/>
  <c r="G55" i="9"/>
  <c r="F55" i="9"/>
  <c r="E55" i="9"/>
  <c r="P54" i="9"/>
  <c r="O54" i="9"/>
  <c r="N54" i="9"/>
  <c r="M54" i="9"/>
  <c r="L54" i="9"/>
  <c r="K54" i="9"/>
  <c r="J54" i="9"/>
  <c r="I54" i="9"/>
  <c r="H54" i="9"/>
  <c r="G54" i="9"/>
  <c r="F54" i="9"/>
  <c r="E54" i="9"/>
  <c r="P53" i="9"/>
  <c r="O53" i="9"/>
  <c r="N53" i="9"/>
  <c r="M53" i="9"/>
  <c r="L53" i="9"/>
  <c r="K53" i="9"/>
  <c r="J53" i="9"/>
  <c r="I53" i="9"/>
  <c r="H53" i="9"/>
  <c r="G53" i="9"/>
  <c r="F53" i="9"/>
  <c r="E53" i="9"/>
  <c r="P52" i="9"/>
  <c r="O52" i="9"/>
  <c r="N52" i="9"/>
  <c r="M52" i="9"/>
  <c r="L52" i="9"/>
  <c r="K52" i="9"/>
  <c r="J52" i="9"/>
  <c r="I52" i="9"/>
  <c r="H52" i="9"/>
  <c r="G52" i="9"/>
  <c r="F52" i="9"/>
  <c r="E52" i="9"/>
  <c r="P51" i="9"/>
  <c r="O51" i="9"/>
  <c r="N51" i="9"/>
  <c r="M51" i="9"/>
  <c r="L51" i="9"/>
  <c r="K51" i="9"/>
  <c r="J51" i="9"/>
  <c r="I51" i="9"/>
  <c r="H51" i="9"/>
  <c r="G51" i="9"/>
  <c r="F51" i="9"/>
  <c r="E51" i="9"/>
  <c r="P50" i="9"/>
  <c r="O50" i="9"/>
  <c r="N50" i="9"/>
  <c r="M50" i="9"/>
  <c r="L50" i="9"/>
  <c r="K50" i="9"/>
  <c r="J50" i="9"/>
  <c r="I50" i="9"/>
  <c r="H50" i="9"/>
  <c r="G50" i="9"/>
  <c r="F50" i="9"/>
  <c r="E50" i="9"/>
  <c r="P49" i="9"/>
  <c r="O49" i="9"/>
  <c r="N49" i="9"/>
  <c r="M49" i="9"/>
  <c r="L49" i="9"/>
  <c r="K49" i="9"/>
  <c r="J49" i="9"/>
  <c r="I49" i="9"/>
  <c r="H49" i="9"/>
  <c r="G49" i="9"/>
  <c r="F49" i="9"/>
  <c r="E49" i="9"/>
  <c r="P48" i="9"/>
  <c r="O48" i="9"/>
  <c r="N48" i="9"/>
  <c r="M48" i="9"/>
  <c r="L48" i="9"/>
  <c r="K48" i="9"/>
  <c r="J48" i="9"/>
  <c r="I48" i="9"/>
  <c r="H48" i="9"/>
  <c r="G48" i="9"/>
  <c r="F48" i="9"/>
  <c r="E48" i="9"/>
  <c r="P47" i="9"/>
  <c r="O47" i="9"/>
  <c r="N47" i="9"/>
  <c r="M47" i="9"/>
  <c r="L47" i="9"/>
  <c r="K47" i="9"/>
  <c r="J47" i="9"/>
  <c r="I47" i="9"/>
  <c r="H47" i="9"/>
  <c r="G47" i="9"/>
  <c r="F47" i="9"/>
  <c r="E47" i="9"/>
  <c r="P46" i="9"/>
  <c r="O46" i="9"/>
  <c r="N46" i="9"/>
  <c r="M46" i="9"/>
  <c r="L46" i="9"/>
  <c r="K46" i="9"/>
  <c r="J46" i="9"/>
  <c r="I46" i="9"/>
  <c r="H46" i="9"/>
  <c r="G46" i="9"/>
  <c r="F46" i="9"/>
  <c r="E46" i="9"/>
  <c r="P45" i="9"/>
  <c r="O45" i="9"/>
  <c r="N45" i="9"/>
  <c r="M45" i="9"/>
  <c r="L45" i="9"/>
  <c r="K45" i="9"/>
  <c r="J45" i="9"/>
  <c r="I45" i="9"/>
  <c r="H45" i="9"/>
  <c r="G45" i="9"/>
  <c r="F45" i="9"/>
  <c r="E45" i="9"/>
  <c r="P44" i="9"/>
  <c r="O44" i="9"/>
  <c r="N44" i="9"/>
  <c r="M44" i="9"/>
  <c r="L44" i="9"/>
  <c r="K44" i="9"/>
  <c r="J44" i="9"/>
  <c r="I44" i="9"/>
  <c r="H44" i="9"/>
  <c r="G44" i="9"/>
  <c r="F44" i="9"/>
  <c r="E44" i="9"/>
  <c r="P43" i="9"/>
  <c r="O43" i="9"/>
  <c r="N43" i="9"/>
  <c r="M43" i="9"/>
  <c r="L43" i="9"/>
  <c r="K43" i="9"/>
  <c r="J43" i="9"/>
  <c r="I43" i="9"/>
  <c r="H43" i="9"/>
  <c r="G43" i="9"/>
  <c r="F43" i="9"/>
  <c r="E43" i="9"/>
  <c r="P42" i="9"/>
  <c r="O42" i="9"/>
  <c r="N42" i="9"/>
  <c r="M42" i="9"/>
  <c r="L42" i="9"/>
  <c r="K42" i="9"/>
  <c r="J42" i="9"/>
  <c r="I42" i="9"/>
  <c r="H42" i="9"/>
  <c r="G42" i="9"/>
  <c r="F42" i="9"/>
  <c r="E42" i="9"/>
  <c r="P41" i="9"/>
  <c r="O41" i="9"/>
  <c r="N41" i="9"/>
  <c r="M41" i="9"/>
  <c r="L41" i="9"/>
  <c r="K41" i="9"/>
  <c r="J41" i="9"/>
  <c r="I41" i="9"/>
  <c r="H41" i="9"/>
  <c r="G41" i="9"/>
  <c r="F41" i="9"/>
  <c r="E41" i="9"/>
  <c r="P40" i="9"/>
  <c r="O40" i="9"/>
  <c r="N40" i="9"/>
  <c r="M40" i="9"/>
  <c r="L40" i="9"/>
  <c r="K40" i="9"/>
  <c r="J40" i="9"/>
  <c r="I40" i="9"/>
  <c r="H40" i="9"/>
  <c r="G40" i="9"/>
  <c r="F40" i="9"/>
  <c r="E40" i="9"/>
  <c r="P39" i="9"/>
  <c r="O39" i="9"/>
  <c r="N39" i="9"/>
  <c r="M39" i="9"/>
  <c r="L39" i="9"/>
  <c r="K39" i="9"/>
  <c r="J39" i="9"/>
  <c r="I39" i="9"/>
  <c r="H39" i="9"/>
  <c r="G39" i="9"/>
  <c r="F39" i="9"/>
  <c r="E39" i="9"/>
  <c r="P38" i="9"/>
  <c r="O38" i="9"/>
  <c r="N38" i="9"/>
  <c r="M38" i="9"/>
  <c r="L38" i="9"/>
  <c r="K38" i="9"/>
  <c r="J38" i="9"/>
  <c r="I38" i="9"/>
  <c r="H38" i="9"/>
  <c r="G38" i="9"/>
  <c r="F38" i="9"/>
  <c r="E38" i="9"/>
  <c r="P37" i="9"/>
  <c r="O37" i="9"/>
  <c r="N37" i="9"/>
  <c r="M37" i="9"/>
  <c r="L37" i="9"/>
  <c r="K37" i="9"/>
  <c r="J37" i="9"/>
  <c r="I37" i="9"/>
  <c r="H37" i="9"/>
  <c r="G37" i="9"/>
  <c r="F37" i="9"/>
  <c r="E37" i="9"/>
  <c r="P36" i="9"/>
  <c r="O36" i="9"/>
  <c r="N36" i="9"/>
  <c r="M36" i="9"/>
  <c r="L36" i="9"/>
  <c r="K36" i="9"/>
  <c r="J36" i="9"/>
  <c r="I36" i="9"/>
  <c r="H36" i="9"/>
  <c r="G36" i="9"/>
  <c r="F36" i="9"/>
  <c r="E36" i="9"/>
  <c r="P35" i="9"/>
  <c r="O35" i="9"/>
  <c r="N35" i="9"/>
  <c r="M35" i="9"/>
  <c r="L35" i="9"/>
  <c r="K35" i="9"/>
  <c r="J35" i="9"/>
  <c r="I35" i="9"/>
  <c r="H35" i="9"/>
  <c r="G35" i="9"/>
  <c r="F35" i="9"/>
  <c r="E35" i="9"/>
  <c r="P34" i="9"/>
  <c r="O34" i="9"/>
  <c r="N34" i="9"/>
  <c r="M34" i="9"/>
  <c r="L34" i="9"/>
  <c r="K34" i="9"/>
  <c r="J34" i="9"/>
  <c r="I34" i="9"/>
  <c r="H34" i="9"/>
  <c r="G34" i="9"/>
  <c r="F34" i="9"/>
  <c r="E34" i="9"/>
  <c r="P33" i="9"/>
  <c r="O33" i="9"/>
  <c r="N33" i="9"/>
  <c r="M33" i="9"/>
  <c r="L33" i="9"/>
  <c r="K33" i="9"/>
  <c r="J33" i="9"/>
  <c r="I33" i="9"/>
  <c r="H33" i="9"/>
  <c r="G33" i="9"/>
  <c r="F33" i="9"/>
  <c r="E33" i="9"/>
  <c r="P32" i="9"/>
  <c r="O32" i="9"/>
  <c r="N32" i="9"/>
  <c r="M32" i="9"/>
  <c r="L32" i="9"/>
  <c r="K32" i="9"/>
  <c r="J32" i="9"/>
  <c r="I32" i="9"/>
  <c r="H32" i="9"/>
  <c r="G32" i="9"/>
  <c r="F32" i="9"/>
  <c r="E32" i="9"/>
  <c r="P31" i="9"/>
  <c r="O31" i="9"/>
  <c r="N31" i="9"/>
  <c r="M31" i="9"/>
  <c r="L31" i="9"/>
  <c r="K31" i="9"/>
  <c r="J31" i="9"/>
  <c r="I31" i="9"/>
  <c r="H31" i="9"/>
  <c r="G31" i="9"/>
  <c r="F31" i="9"/>
  <c r="E31" i="9"/>
  <c r="P30" i="9"/>
  <c r="O30" i="9"/>
  <c r="N30" i="9"/>
  <c r="M30" i="9"/>
  <c r="L30" i="9"/>
  <c r="K30" i="9"/>
  <c r="J30" i="9"/>
  <c r="I30" i="9"/>
  <c r="H30" i="9"/>
  <c r="G30" i="9"/>
  <c r="F30" i="9"/>
  <c r="E30" i="9"/>
  <c r="P29" i="9"/>
  <c r="O29" i="9"/>
  <c r="N29" i="9"/>
  <c r="M29" i="9"/>
  <c r="L29" i="9"/>
  <c r="K29" i="9"/>
  <c r="J29" i="9"/>
  <c r="I29" i="9"/>
  <c r="H29" i="9"/>
  <c r="G29" i="9"/>
  <c r="F29" i="9"/>
  <c r="E29" i="9"/>
  <c r="P28" i="9"/>
  <c r="O28" i="9"/>
  <c r="N28" i="9"/>
  <c r="M28" i="9"/>
  <c r="L28" i="9"/>
  <c r="K28" i="9"/>
  <c r="J28" i="9"/>
  <c r="I28" i="9"/>
  <c r="H28" i="9"/>
  <c r="G28" i="9"/>
  <c r="F28" i="9"/>
  <c r="E28" i="9"/>
  <c r="P27" i="9"/>
  <c r="O27" i="9"/>
  <c r="N27" i="9"/>
  <c r="M27" i="9"/>
  <c r="L27" i="9"/>
  <c r="K27" i="9"/>
  <c r="J27" i="9"/>
  <c r="I27" i="9"/>
  <c r="H27" i="9"/>
  <c r="G27" i="9"/>
  <c r="F27" i="9"/>
  <c r="E27" i="9"/>
  <c r="P26" i="9"/>
  <c r="O26" i="9"/>
  <c r="N26" i="9"/>
  <c r="M26" i="9"/>
  <c r="L26" i="9"/>
  <c r="K26" i="9"/>
  <c r="J26" i="9"/>
  <c r="I26" i="9"/>
  <c r="H26" i="9"/>
  <c r="G26" i="9"/>
  <c r="F26" i="9"/>
  <c r="E26" i="9"/>
  <c r="P25" i="9"/>
  <c r="O25" i="9"/>
  <c r="N25" i="9"/>
  <c r="M25" i="9"/>
  <c r="L25" i="9"/>
  <c r="K25" i="9"/>
  <c r="J25" i="9"/>
  <c r="I25" i="9"/>
  <c r="H25" i="9"/>
  <c r="G25" i="9"/>
  <c r="F25" i="9"/>
  <c r="E25" i="9"/>
  <c r="P24" i="9"/>
  <c r="O24" i="9"/>
  <c r="N24" i="9"/>
  <c r="M24" i="9"/>
  <c r="L24" i="9"/>
  <c r="K24" i="9"/>
  <c r="J24" i="9"/>
  <c r="I24" i="9"/>
  <c r="H24" i="9"/>
  <c r="G24" i="9"/>
  <c r="F24" i="9"/>
  <c r="E24" i="9"/>
  <c r="P23" i="9"/>
  <c r="O23" i="9"/>
  <c r="N23" i="9"/>
  <c r="M23" i="9"/>
  <c r="L23" i="9"/>
  <c r="K23" i="9"/>
  <c r="J23" i="9"/>
  <c r="I23" i="9"/>
  <c r="H23" i="9"/>
  <c r="G23" i="9"/>
  <c r="F23" i="9"/>
  <c r="E23" i="9"/>
  <c r="P22" i="9"/>
  <c r="O22" i="9"/>
  <c r="N22" i="9"/>
  <c r="M22" i="9"/>
  <c r="L22" i="9"/>
  <c r="K22" i="9"/>
  <c r="J22" i="9"/>
  <c r="I22" i="9"/>
  <c r="H22" i="9"/>
  <c r="G22" i="9"/>
  <c r="F22" i="9"/>
  <c r="E22" i="9"/>
  <c r="P21" i="9"/>
  <c r="O21" i="9"/>
  <c r="N21" i="9"/>
  <c r="M21" i="9"/>
  <c r="L21" i="9"/>
  <c r="K21" i="9"/>
  <c r="J21" i="9"/>
  <c r="I21" i="9"/>
  <c r="H21" i="9"/>
  <c r="G21" i="9"/>
  <c r="F21" i="9"/>
  <c r="E21" i="9"/>
  <c r="P20" i="9"/>
  <c r="O20" i="9"/>
  <c r="N20" i="9"/>
  <c r="M20" i="9"/>
  <c r="L20" i="9"/>
  <c r="K20" i="9"/>
  <c r="J20" i="9"/>
  <c r="I20" i="9"/>
  <c r="H20" i="9"/>
  <c r="G20" i="9"/>
  <c r="F20" i="9"/>
  <c r="E20" i="9"/>
  <c r="P19" i="9"/>
  <c r="O19" i="9"/>
  <c r="N19" i="9"/>
  <c r="M19" i="9"/>
  <c r="L19" i="9"/>
  <c r="K19" i="9"/>
  <c r="J19" i="9"/>
  <c r="I19" i="9"/>
  <c r="H19" i="9"/>
  <c r="G19" i="9"/>
  <c r="F19" i="9"/>
  <c r="E19" i="9"/>
  <c r="P18" i="9"/>
  <c r="O18" i="9"/>
  <c r="N18" i="9"/>
  <c r="M18" i="9"/>
  <c r="L18" i="9"/>
  <c r="K18" i="9"/>
  <c r="J18" i="9"/>
  <c r="I18" i="9"/>
  <c r="H18" i="9"/>
  <c r="G18" i="9"/>
  <c r="F18" i="9"/>
  <c r="E18" i="9"/>
  <c r="P17" i="9"/>
  <c r="O17" i="9"/>
  <c r="N17" i="9"/>
  <c r="M17" i="9"/>
  <c r="L17" i="9"/>
  <c r="K17" i="9"/>
  <c r="J17" i="9"/>
  <c r="I17" i="9"/>
  <c r="H17" i="9"/>
  <c r="G17" i="9"/>
  <c r="F17" i="9"/>
  <c r="E17" i="9"/>
  <c r="P16" i="9"/>
  <c r="O16" i="9"/>
  <c r="N16" i="9"/>
  <c r="M16" i="9"/>
  <c r="L16" i="9"/>
  <c r="K16" i="9"/>
  <c r="J16" i="9"/>
  <c r="I16" i="9"/>
  <c r="H16" i="9"/>
  <c r="G16" i="9"/>
  <c r="F16" i="9"/>
  <c r="E16" i="9"/>
  <c r="P15" i="9"/>
  <c r="O15" i="9"/>
  <c r="N15" i="9"/>
  <c r="M15" i="9"/>
  <c r="L15" i="9"/>
  <c r="K15" i="9"/>
  <c r="J15" i="9"/>
  <c r="I15" i="9"/>
  <c r="H15" i="9"/>
  <c r="G15" i="9"/>
  <c r="F15" i="9"/>
  <c r="E15" i="9"/>
  <c r="P14" i="9"/>
  <c r="O14" i="9"/>
  <c r="N14" i="9"/>
  <c r="M14" i="9"/>
  <c r="L14" i="9"/>
  <c r="K14" i="9"/>
  <c r="J14" i="9"/>
  <c r="I14" i="9"/>
  <c r="H14" i="9"/>
  <c r="G14" i="9"/>
  <c r="F14" i="9"/>
  <c r="E14" i="9"/>
  <c r="P13" i="9"/>
  <c r="O13" i="9"/>
  <c r="N13" i="9"/>
  <c r="M13" i="9"/>
  <c r="L13" i="9"/>
  <c r="K13" i="9"/>
  <c r="J13" i="9"/>
  <c r="I13" i="9"/>
  <c r="H13" i="9"/>
  <c r="G13" i="9"/>
  <c r="F13" i="9"/>
  <c r="E13" i="9"/>
  <c r="P12" i="9"/>
  <c r="O12" i="9"/>
  <c r="N12" i="9"/>
  <c r="M12" i="9"/>
  <c r="L12" i="9"/>
  <c r="K12" i="9"/>
  <c r="J12" i="9"/>
  <c r="I12" i="9"/>
  <c r="H12" i="9"/>
  <c r="G12" i="9"/>
  <c r="F12" i="9"/>
  <c r="E12" i="9"/>
  <c r="P11" i="9"/>
  <c r="O11" i="9"/>
  <c r="N11" i="9"/>
  <c r="M11" i="9"/>
  <c r="L11" i="9"/>
  <c r="K11" i="9"/>
  <c r="J11" i="9"/>
  <c r="I11" i="9"/>
  <c r="H11" i="9"/>
  <c r="G11" i="9"/>
  <c r="F11" i="9"/>
  <c r="E11" i="9"/>
  <c r="P10" i="9"/>
  <c r="O10" i="9"/>
  <c r="N10" i="9"/>
  <c r="M10" i="9"/>
  <c r="L10" i="9"/>
  <c r="K10" i="9"/>
  <c r="J10" i="9"/>
  <c r="I10" i="9"/>
  <c r="H10" i="9"/>
  <c r="G10" i="9"/>
  <c r="F10" i="9"/>
  <c r="E10" i="9"/>
  <c r="P9" i="9"/>
  <c r="O9" i="9"/>
  <c r="N9" i="9"/>
  <c r="M9" i="9"/>
  <c r="L9" i="9"/>
  <c r="K9" i="9"/>
  <c r="J9" i="9"/>
  <c r="I9" i="9"/>
  <c r="H9" i="9"/>
  <c r="G9" i="9"/>
  <c r="F9" i="9"/>
  <c r="E9" i="9"/>
  <c r="P8" i="9"/>
  <c r="O8" i="9"/>
  <c r="N8" i="9"/>
  <c r="M8" i="9"/>
  <c r="L8" i="9"/>
  <c r="K8" i="9"/>
  <c r="J8" i="9"/>
  <c r="I8" i="9"/>
  <c r="H8" i="9"/>
  <c r="G8" i="9"/>
  <c r="F8" i="9"/>
  <c r="E8" i="9"/>
  <c r="P7" i="9"/>
  <c r="O7" i="9"/>
  <c r="N7" i="9"/>
  <c r="M7" i="9"/>
  <c r="L7" i="9"/>
  <c r="K7" i="9"/>
  <c r="J7" i="9"/>
  <c r="I7" i="9"/>
  <c r="H7" i="9"/>
  <c r="G7" i="9"/>
  <c r="F7" i="9"/>
  <c r="E7" i="9"/>
  <c r="P6" i="9"/>
  <c r="O6" i="9"/>
  <c r="N6" i="9"/>
  <c r="M6" i="9"/>
  <c r="L6" i="9"/>
  <c r="K6" i="9"/>
  <c r="J6" i="9"/>
  <c r="I6" i="9"/>
  <c r="H6" i="9"/>
  <c r="G6" i="9"/>
  <c r="F6" i="9"/>
  <c r="E6" i="9"/>
  <c r="P5" i="9"/>
  <c r="O5" i="9"/>
  <c r="N5" i="9"/>
  <c r="M5" i="9"/>
  <c r="L5" i="9"/>
  <c r="K5" i="9"/>
  <c r="J5" i="9"/>
  <c r="I5" i="9"/>
  <c r="H5" i="9"/>
  <c r="G5" i="9"/>
  <c r="F5" i="9"/>
  <c r="E5" i="9"/>
  <c r="P4" i="9"/>
  <c r="O4" i="9"/>
  <c r="N4" i="9"/>
  <c r="M4" i="9"/>
  <c r="L4" i="9"/>
  <c r="K4" i="9"/>
  <c r="J4" i="9"/>
  <c r="I4" i="9"/>
  <c r="H4" i="9"/>
  <c r="G4" i="9"/>
  <c r="F4" i="9"/>
  <c r="E4" i="9"/>
  <c r="P3" i="9"/>
  <c r="O3" i="9"/>
  <c r="N3" i="9"/>
  <c r="M3" i="9"/>
  <c r="L3" i="9"/>
  <c r="K3" i="9"/>
  <c r="J3" i="9"/>
  <c r="I3" i="9"/>
  <c r="H3" i="9"/>
  <c r="G3" i="9"/>
  <c r="F3" i="9"/>
  <c r="E3" i="9"/>
  <c r="P2" i="9"/>
  <c r="O2" i="9"/>
  <c r="N2" i="9"/>
  <c r="M2" i="9"/>
  <c r="L2" i="9"/>
  <c r="K2" i="9"/>
  <c r="J2" i="9"/>
  <c r="I2" i="9"/>
  <c r="H2" i="9"/>
  <c r="G2" i="9"/>
  <c r="F2" i="9"/>
  <c r="E2" i="9"/>
  <c r="O276" i="8"/>
  <c r="N276" i="8"/>
  <c r="M276" i="8"/>
  <c r="L276" i="8"/>
  <c r="K276" i="8"/>
  <c r="J276" i="8"/>
  <c r="I276" i="8"/>
  <c r="H276" i="8"/>
  <c r="G276" i="8"/>
  <c r="F276" i="8"/>
  <c r="E276" i="8"/>
  <c r="O275" i="8"/>
  <c r="N275" i="8"/>
  <c r="M275" i="8"/>
  <c r="L275" i="8"/>
  <c r="K275" i="8"/>
  <c r="J275" i="8"/>
  <c r="I275" i="8"/>
  <c r="H275" i="8"/>
  <c r="G275" i="8"/>
  <c r="F275" i="8"/>
  <c r="E275" i="8"/>
  <c r="O274" i="8"/>
  <c r="N274" i="8"/>
  <c r="M274" i="8"/>
  <c r="L274" i="8"/>
  <c r="K274" i="8"/>
  <c r="J274" i="8"/>
  <c r="I274" i="8"/>
  <c r="H274" i="8"/>
  <c r="G274" i="8"/>
  <c r="F274" i="8"/>
  <c r="E274" i="8"/>
  <c r="O273" i="8"/>
  <c r="N273" i="8"/>
  <c r="M273" i="8"/>
  <c r="L273" i="8"/>
  <c r="K273" i="8"/>
  <c r="J273" i="8"/>
  <c r="I273" i="8"/>
  <c r="H273" i="8"/>
  <c r="G273" i="8"/>
  <c r="F273" i="8"/>
  <c r="E273" i="8"/>
  <c r="O272" i="8"/>
  <c r="N272" i="8"/>
  <c r="M272" i="8"/>
  <c r="L272" i="8"/>
  <c r="K272" i="8"/>
  <c r="J272" i="8"/>
  <c r="I272" i="8"/>
  <c r="H272" i="8"/>
  <c r="G272" i="8"/>
  <c r="F272" i="8"/>
  <c r="E272" i="8"/>
  <c r="O271" i="8"/>
  <c r="N271" i="8"/>
  <c r="M271" i="8"/>
  <c r="L271" i="8"/>
  <c r="K271" i="8"/>
  <c r="J271" i="8"/>
  <c r="I271" i="8"/>
  <c r="H271" i="8"/>
  <c r="G271" i="8"/>
  <c r="F271" i="8"/>
  <c r="E271" i="8"/>
  <c r="O270" i="8"/>
  <c r="N270" i="8"/>
  <c r="M270" i="8"/>
  <c r="L270" i="8"/>
  <c r="K270" i="8"/>
  <c r="J270" i="8"/>
  <c r="I270" i="8"/>
  <c r="H270" i="8"/>
  <c r="G270" i="8"/>
  <c r="F270" i="8"/>
  <c r="E270" i="8"/>
  <c r="O269" i="8"/>
  <c r="N269" i="8"/>
  <c r="M269" i="8"/>
  <c r="L269" i="8"/>
  <c r="K269" i="8"/>
  <c r="J269" i="8"/>
  <c r="I269" i="8"/>
  <c r="H269" i="8"/>
  <c r="G269" i="8"/>
  <c r="F269" i="8"/>
  <c r="E269" i="8"/>
  <c r="O268" i="8"/>
  <c r="N268" i="8"/>
  <c r="M268" i="8"/>
  <c r="L268" i="8"/>
  <c r="K268" i="8"/>
  <c r="J268" i="8"/>
  <c r="I268" i="8"/>
  <c r="H268" i="8"/>
  <c r="G268" i="8"/>
  <c r="F268" i="8"/>
  <c r="E268" i="8"/>
  <c r="O267" i="8"/>
  <c r="N267" i="8"/>
  <c r="M267" i="8"/>
  <c r="L267" i="8"/>
  <c r="K267" i="8"/>
  <c r="J267" i="8"/>
  <c r="I267" i="8"/>
  <c r="H267" i="8"/>
  <c r="G267" i="8"/>
  <c r="F267" i="8"/>
  <c r="E267" i="8"/>
  <c r="O266" i="8"/>
  <c r="N266" i="8"/>
  <c r="M266" i="8"/>
  <c r="L266" i="8"/>
  <c r="K266" i="8"/>
  <c r="J266" i="8"/>
  <c r="I266" i="8"/>
  <c r="H266" i="8"/>
  <c r="G266" i="8"/>
  <c r="F266" i="8"/>
  <c r="E266" i="8"/>
  <c r="O265" i="8"/>
  <c r="N265" i="8"/>
  <c r="M265" i="8"/>
  <c r="L265" i="8"/>
  <c r="K265" i="8"/>
  <c r="J265" i="8"/>
  <c r="I265" i="8"/>
  <c r="H265" i="8"/>
  <c r="G265" i="8"/>
  <c r="F265" i="8"/>
  <c r="E265" i="8"/>
  <c r="O264" i="8"/>
  <c r="N264" i="8"/>
  <c r="M264" i="8"/>
  <c r="L264" i="8"/>
  <c r="K264" i="8"/>
  <c r="J264" i="8"/>
  <c r="I264" i="8"/>
  <c r="H264" i="8"/>
  <c r="G264" i="8"/>
  <c r="F264" i="8"/>
  <c r="E264" i="8"/>
  <c r="O263" i="8"/>
  <c r="N263" i="8"/>
  <c r="M263" i="8"/>
  <c r="L263" i="8"/>
  <c r="K263" i="8"/>
  <c r="J263" i="8"/>
  <c r="I263" i="8"/>
  <c r="H263" i="8"/>
  <c r="G263" i="8"/>
  <c r="F263" i="8"/>
  <c r="E263" i="8"/>
  <c r="O262" i="8"/>
  <c r="N262" i="8"/>
  <c r="M262" i="8"/>
  <c r="L262" i="8"/>
  <c r="K262" i="8"/>
  <c r="J262" i="8"/>
  <c r="I262" i="8"/>
  <c r="H262" i="8"/>
  <c r="G262" i="8"/>
  <c r="F262" i="8"/>
  <c r="E262" i="8"/>
  <c r="O261" i="8"/>
  <c r="N261" i="8"/>
  <c r="M261" i="8"/>
  <c r="L261" i="8"/>
  <c r="K261" i="8"/>
  <c r="J261" i="8"/>
  <c r="I261" i="8"/>
  <c r="H261" i="8"/>
  <c r="G261" i="8"/>
  <c r="F261" i="8"/>
  <c r="E261" i="8"/>
  <c r="O260" i="8"/>
  <c r="N260" i="8"/>
  <c r="M260" i="8"/>
  <c r="L260" i="8"/>
  <c r="K260" i="8"/>
  <c r="J260" i="8"/>
  <c r="I260" i="8"/>
  <c r="H260" i="8"/>
  <c r="G260" i="8"/>
  <c r="F260" i="8"/>
  <c r="E260" i="8"/>
  <c r="O259" i="8"/>
  <c r="N259" i="8"/>
  <c r="M259" i="8"/>
  <c r="L259" i="8"/>
  <c r="K259" i="8"/>
  <c r="J259" i="8"/>
  <c r="I259" i="8"/>
  <c r="H259" i="8"/>
  <c r="G259" i="8"/>
  <c r="F259" i="8"/>
  <c r="E259" i="8"/>
  <c r="O258" i="8"/>
  <c r="N258" i="8"/>
  <c r="M258" i="8"/>
  <c r="L258" i="8"/>
  <c r="K258" i="8"/>
  <c r="J258" i="8"/>
  <c r="I258" i="8"/>
  <c r="H258" i="8"/>
  <c r="G258" i="8"/>
  <c r="F258" i="8"/>
  <c r="E258" i="8"/>
  <c r="O257" i="8"/>
  <c r="N257" i="8"/>
  <c r="M257" i="8"/>
  <c r="L257" i="8"/>
  <c r="K257" i="8"/>
  <c r="J257" i="8"/>
  <c r="I257" i="8"/>
  <c r="H257" i="8"/>
  <c r="G257" i="8"/>
  <c r="F257" i="8"/>
  <c r="E257" i="8"/>
  <c r="O256" i="8"/>
  <c r="N256" i="8"/>
  <c r="M256" i="8"/>
  <c r="L256" i="8"/>
  <c r="K256" i="8"/>
  <c r="J256" i="8"/>
  <c r="I256" i="8"/>
  <c r="H256" i="8"/>
  <c r="G256" i="8"/>
  <c r="F256" i="8"/>
  <c r="E256" i="8"/>
  <c r="O255" i="8"/>
  <c r="N255" i="8"/>
  <c r="M255" i="8"/>
  <c r="L255" i="8"/>
  <c r="K255" i="8"/>
  <c r="J255" i="8"/>
  <c r="I255" i="8"/>
  <c r="H255" i="8"/>
  <c r="G255" i="8"/>
  <c r="F255" i="8"/>
  <c r="E255" i="8"/>
  <c r="O254" i="8"/>
  <c r="N254" i="8"/>
  <c r="M254" i="8"/>
  <c r="L254" i="8"/>
  <c r="K254" i="8"/>
  <c r="J254" i="8"/>
  <c r="I254" i="8"/>
  <c r="H254" i="8"/>
  <c r="G254" i="8"/>
  <c r="F254" i="8"/>
  <c r="E254" i="8"/>
  <c r="O253" i="8"/>
  <c r="N253" i="8"/>
  <c r="M253" i="8"/>
  <c r="L253" i="8"/>
  <c r="K253" i="8"/>
  <c r="J253" i="8"/>
  <c r="I253" i="8"/>
  <c r="H253" i="8"/>
  <c r="G253" i="8"/>
  <c r="F253" i="8"/>
  <c r="E253" i="8"/>
  <c r="O252" i="8"/>
  <c r="N252" i="8"/>
  <c r="M252" i="8"/>
  <c r="L252" i="8"/>
  <c r="K252" i="8"/>
  <c r="J252" i="8"/>
  <c r="I252" i="8"/>
  <c r="H252" i="8"/>
  <c r="G252" i="8"/>
  <c r="F252" i="8"/>
  <c r="E252" i="8"/>
  <c r="O251" i="8"/>
  <c r="N251" i="8"/>
  <c r="M251" i="8"/>
  <c r="L251" i="8"/>
  <c r="K251" i="8"/>
  <c r="J251" i="8"/>
  <c r="I251" i="8"/>
  <c r="H251" i="8"/>
  <c r="G251" i="8"/>
  <c r="F251" i="8"/>
  <c r="E251" i="8"/>
  <c r="O250" i="8"/>
  <c r="N250" i="8"/>
  <c r="M250" i="8"/>
  <c r="L250" i="8"/>
  <c r="K250" i="8"/>
  <c r="J250" i="8"/>
  <c r="I250" i="8"/>
  <c r="H250" i="8"/>
  <c r="G250" i="8"/>
  <c r="F250" i="8"/>
  <c r="E250" i="8"/>
  <c r="O249" i="8"/>
  <c r="N249" i="8"/>
  <c r="M249" i="8"/>
  <c r="L249" i="8"/>
  <c r="K249" i="8"/>
  <c r="J249" i="8"/>
  <c r="I249" i="8"/>
  <c r="H249" i="8"/>
  <c r="G249" i="8"/>
  <c r="F249" i="8"/>
  <c r="E249" i="8"/>
  <c r="O248" i="8"/>
  <c r="N248" i="8"/>
  <c r="M248" i="8"/>
  <c r="L248" i="8"/>
  <c r="K248" i="8"/>
  <c r="J248" i="8"/>
  <c r="I248" i="8"/>
  <c r="H248" i="8"/>
  <c r="G248" i="8"/>
  <c r="F248" i="8"/>
  <c r="E248" i="8"/>
  <c r="O247" i="8"/>
  <c r="N247" i="8"/>
  <c r="M247" i="8"/>
  <c r="L247" i="8"/>
  <c r="K247" i="8"/>
  <c r="J247" i="8"/>
  <c r="I247" i="8"/>
  <c r="H247" i="8"/>
  <c r="G247" i="8"/>
  <c r="F247" i="8"/>
  <c r="E247" i="8"/>
  <c r="O246" i="8"/>
  <c r="N246" i="8"/>
  <c r="M246" i="8"/>
  <c r="L246" i="8"/>
  <c r="K246" i="8"/>
  <c r="J246" i="8"/>
  <c r="I246" i="8"/>
  <c r="H246" i="8"/>
  <c r="G246" i="8"/>
  <c r="F246" i="8"/>
  <c r="E246" i="8"/>
  <c r="O245" i="8"/>
  <c r="N245" i="8"/>
  <c r="M245" i="8"/>
  <c r="L245" i="8"/>
  <c r="K245" i="8"/>
  <c r="J245" i="8"/>
  <c r="I245" i="8"/>
  <c r="H245" i="8"/>
  <c r="G245" i="8"/>
  <c r="F245" i="8"/>
  <c r="E245" i="8"/>
  <c r="O244" i="8"/>
  <c r="N244" i="8"/>
  <c r="M244" i="8"/>
  <c r="L244" i="8"/>
  <c r="K244" i="8"/>
  <c r="J244" i="8"/>
  <c r="I244" i="8"/>
  <c r="H244" i="8"/>
  <c r="G244" i="8"/>
  <c r="F244" i="8"/>
  <c r="E244" i="8"/>
  <c r="O243" i="8"/>
  <c r="N243" i="8"/>
  <c r="M243" i="8"/>
  <c r="L243" i="8"/>
  <c r="K243" i="8"/>
  <c r="J243" i="8"/>
  <c r="I243" i="8"/>
  <c r="H243" i="8"/>
  <c r="G243" i="8"/>
  <c r="F243" i="8"/>
  <c r="E243" i="8"/>
  <c r="O242" i="8"/>
  <c r="N242" i="8"/>
  <c r="M242" i="8"/>
  <c r="L242" i="8"/>
  <c r="K242" i="8"/>
  <c r="J242" i="8"/>
  <c r="I242" i="8"/>
  <c r="H242" i="8"/>
  <c r="G242" i="8"/>
  <c r="F242" i="8"/>
  <c r="E242" i="8"/>
  <c r="O241" i="8"/>
  <c r="N241" i="8"/>
  <c r="M241" i="8"/>
  <c r="L241" i="8"/>
  <c r="K241" i="8"/>
  <c r="J241" i="8"/>
  <c r="I241" i="8"/>
  <c r="H241" i="8"/>
  <c r="G241" i="8"/>
  <c r="F241" i="8"/>
  <c r="E241" i="8"/>
  <c r="O240" i="8"/>
  <c r="N240" i="8"/>
  <c r="M240" i="8"/>
  <c r="L240" i="8"/>
  <c r="K240" i="8"/>
  <c r="J240" i="8"/>
  <c r="I240" i="8"/>
  <c r="H240" i="8"/>
  <c r="G240" i="8"/>
  <c r="F240" i="8"/>
  <c r="E240" i="8"/>
  <c r="O239" i="8"/>
  <c r="N239" i="8"/>
  <c r="M239" i="8"/>
  <c r="L239" i="8"/>
  <c r="K239" i="8"/>
  <c r="J239" i="8"/>
  <c r="I239" i="8"/>
  <c r="H239" i="8"/>
  <c r="G239" i="8"/>
  <c r="F239" i="8"/>
  <c r="E239" i="8"/>
  <c r="O238" i="8"/>
  <c r="N238" i="8"/>
  <c r="M238" i="8"/>
  <c r="L238" i="8"/>
  <c r="K238" i="8"/>
  <c r="J238" i="8"/>
  <c r="I238" i="8"/>
  <c r="H238" i="8"/>
  <c r="G238" i="8"/>
  <c r="F238" i="8"/>
  <c r="E238" i="8"/>
  <c r="O237" i="8"/>
  <c r="N237" i="8"/>
  <c r="M237" i="8"/>
  <c r="L237" i="8"/>
  <c r="K237" i="8"/>
  <c r="J237" i="8"/>
  <c r="I237" i="8"/>
  <c r="H237" i="8"/>
  <c r="G237" i="8"/>
  <c r="F237" i="8"/>
  <c r="E237" i="8"/>
  <c r="O236" i="8"/>
  <c r="N236" i="8"/>
  <c r="M236" i="8"/>
  <c r="L236" i="8"/>
  <c r="K236" i="8"/>
  <c r="J236" i="8"/>
  <c r="I236" i="8"/>
  <c r="H236" i="8"/>
  <c r="G236" i="8"/>
  <c r="F236" i="8"/>
  <c r="E236" i="8"/>
  <c r="O235" i="8"/>
  <c r="N235" i="8"/>
  <c r="M235" i="8"/>
  <c r="L235" i="8"/>
  <c r="K235" i="8"/>
  <c r="J235" i="8"/>
  <c r="I235" i="8"/>
  <c r="H235" i="8"/>
  <c r="G235" i="8"/>
  <c r="F235" i="8"/>
  <c r="E235" i="8"/>
  <c r="O234" i="8"/>
  <c r="N234" i="8"/>
  <c r="M234" i="8"/>
  <c r="L234" i="8"/>
  <c r="K234" i="8"/>
  <c r="J234" i="8"/>
  <c r="I234" i="8"/>
  <c r="H234" i="8"/>
  <c r="G234" i="8"/>
  <c r="F234" i="8"/>
  <c r="E234" i="8"/>
  <c r="O233" i="8"/>
  <c r="N233" i="8"/>
  <c r="M233" i="8"/>
  <c r="L233" i="8"/>
  <c r="K233" i="8"/>
  <c r="J233" i="8"/>
  <c r="I233" i="8"/>
  <c r="H233" i="8"/>
  <c r="G233" i="8"/>
  <c r="F233" i="8"/>
  <c r="E233" i="8"/>
  <c r="O232" i="8"/>
  <c r="N232" i="8"/>
  <c r="M232" i="8"/>
  <c r="L232" i="8"/>
  <c r="K232" i="8"/>
  <c r="J232" i="8"/>
  <c r="I232" i="8"/>
  <c r="H232" i="8"/>
  <c r="G232" i="8"/>
  <c r="F232" i="8"/>
  <c r="E232" i="8"/>
  <c r="O231" i="8"/>
  <c r="N231" i="8"/>
  <c r="M231" i="8"/>
  <c r="L231" i="8"/>
  <c r="K231" i="8"/>
  <c r="J231" i="8"/>
  <c r="I231" i="8"/>
  <c r="H231" i="8"/>
  <c r="G231" i="8"/>
  <c r="F231" i="8"/>
  <c r="E231" i="8"/>
  <c r="O230" i="8"/>
  <c r="N230" i="8"/>
  <c r="M230" i="8"/>
  <c r="L230" i="8"/>
  <c r="K230" i="8"/>
  <c r="J230" i="8"/>
  <c r="I230" i="8"/>
  <c r="H230" i="8"/>
  <c r="G230" i="8"/>
  <c r="F230" i="8"/>
  <c r="E230" i="8"/>
  <c r="O229" i="8"/>
  <c r="N229" i="8"/>
  <c r="M229" i="8"/>
  <c r="L229" i="8"/>
  <c r="K229" i="8"/>
  <c r="J229" i="8"/>
  <c r="I229" i="8"/>
  <c r="H229" i="8"/>
  <c r="G229" i="8"/>
  <c r="F229" i="8"/>
  <c r="E229" i="8"/>
  <c r="O228" i="8"/>
  <c r="N228" i="8"/>
  <c r="M228" i="8"/>
  <c r="L228" i="8"/>
  <c r="K228" i="8"/>
  <c r="J228" i="8"/>
  <c r="I228" i="8"/>
  <c r="H228" i="8"/>
  <c r="G228" i="8"/>
  <c r="F228" i="8"/>
  <c r="E228" i="8"/>
  <c r="O227" i="8"/>
  <c r="N227" i="8"/>
  <c r="M227" i="8"/>
  <c r="L227" i="8"/>
  <c r="K227" i="8"/>
  <c r="J227" i="8"/>
  <c r="I227" i="8"/>
  <c r="H227" i="8"/>
  <c r="G227" i="8"/>
  <c r="F227" i="8"/>
  <c r="E227" i="8"/>
  <c r="O226" i="8"/>
  <c r="N226" i="8"/>
  <c r="M226" i="8"/>
  <c r="L226" i="8"/>
  <c r="K226" i="8"/>
  <c r="J226" i="8"/>
  <c r="I226" i="8"/>
  <c r="H226" i="8"/>
  <c r="G226" i="8"/>
  <c r="F226" i="8"/>
  <c r="E226" i="8"/>
  <c r="O225" i="8"/>
  <c r="N225" i="8"/>
  <c r="M225" i="8"/>
  <c r="L225" i="8"/>
  <c r="K225" i="8"/>
  <c r="J225" i="8"/>
  <c r="I225" i="8"/>
  <c r="H225" i="8"/>
  <c r="G225" i="8"/>
  <c r="F225" i="8"/>
  <c r="E225" i="8"/>
  <c r="O224" i="8"/>
  <c r="N224" i="8"/>
  <c r="M224" i="8"/>
  <c r="L224" i="8"/>
  <c r="K224" i="8"/>
  <c r="J224" i="8"/>
  <c r="I224" i="8"/>
  <c r="H224" i="8"/>
  <c r="G224" i="8"/>
  <c r="F224" i="8"/>
  <c r="E224" i="8"/>
  <c r="O223" i="8"/>
  <c r="N223" i="8"/>
  <c r="M223" i="8"/>
  <c r="L223" i="8"/>
  <c r="K223" i="8"/>
  <c r="J223" i="8"/>
  <c r="I223" i="8"/>
  <c r="H223" i="8"/>
  <c r="G223" i="8"/>
  <c r="F223" i="8"/>
  <c r="E223" i="8"/>
  <c r="O222" i="8"/>
  <c r="N222" i="8"/>
  <c r="M222" i="8"/>
  <c r="L222" i="8"/>
  <c r="K222" i="8"/>
  <c r="J222" i="8"/>
  <c r="I222" i="8"/>
  <c r="H222" i="8"/>
  <c r="G222" i="8"/>
  <c r="F222" i="8"/>
  <c r="E222" i="8"/>
  <c r="O221" i="8"/>
  <c r="N221" i="8"/>
  <c r="M221" i="8"/>
  <c r="L221" i="8"/>
  <c r="K221" i="8"/>
  <c r="J221" i="8"/>
  <c r="I221" i="8"/>
  <c r="H221" i="8"/>
  <c r="G221" i="8"/>
  <c r="F221" i="8"/>
  <c r="E221" i="8"/>
  <c r="O220" i="8"/>
  <c r="N220" i="8"/>
  <c r="M220" i="8"/>
  <c r="L220" i="8"/>
  <c r="K220" i="8"/>
  <c r="J220" i="8"/>
  <c r="I220" i="8"/>
  <c r="H220" i="8"/>
  <c r="G220" i="8"/>
  <c r="F220" i="8"/>
  <c r="E220" i="8"/>
  <c r="O219" i="8"/>
  <c r="N219" i="8"/>
  <c r="M219" i="8"/>
  <c r="L219" i="8"/>
  <c r="K219" i="8"/>
  <c r="J219" i="8"/>
  <c r="I219" i="8"/>
  <c r="H219" i="8"/>
  <c r="G219" i="8"/>
  <c r="F219" i="8"/>
  <c r="E219" i="8"/>
  <c r="O218" i="8"/>
  <c r="N218" i="8"/>
  <c r="M218" i="8"/>
  <c r="L218" i="8"/>
  <c r="K218" i="8"/>
  <c r="J218" i="8"/>
  <c r="I218" i="8"/>
  <c r="H218" i="8"/>
  <c r="G218" i="8"/>
  <c r="F218" i="8"/>
  <c r="E218" i="8"/>
  <c r="O217" i="8"/>
  <c r="N217" i="8"/>
  <c r="M217" i="8"/>
  <c r="L217" i="8"/>
  <c r="K217" i="8"/>
  <c r="J217" i="8"/>
  <c r="I217" i="8"/>
  <c r="H217" i="8"/>
  <c r="G217" i="8"/>
  <c r="F217" i="8"/>
  <c r="E217" i="8"/>
  <c r="O216" i="8"/>
  <c r="N216" i="8"/>
  <c r="M216" i="8"/>
  <c r="L216" i="8"/>
  <c r="K216" i="8"/>
  <c r="J216" i="8"/>
  <c r="I216" i="8"/>
  <c r="H216" i="8"/>
  <c r="G216" i="8"/>
  <c r="F216" i="8"/>
  <c r="E216" i="8"/>
  <c r="O215" i="8"/>
  <c r="N215" i="8"/>
  <c r="M215" i="8"/>
  <c r="L215" i="8"/>
  <c r="K215" i="8"/>
  <c r="J215" i="8"/>
  <c r="I215" i="8"/>
  <c r="H215" i="8"/>
  <c r="G215" i="8"/>
  <c r="F215" i="8"/>
  <c r="E215" i="8"/>
  <c r="O214" i="8"/>
  <c r="N214" i="8"/>
  <c r="M214" i="8"/>
  <c r="L214" i="8"/>
  <c r="K214" i="8"/>
  <c r="J214" i="8"/>
  <c r="I214" i="8"/>
  <c r="H214" i="8"/>
  <c r="G214" i="8"/>
  <c r="F214" i="8"/>
  <c r="E214" i="8"/>
  <c r="O213" i="8"/>
  <c r="N213" i="8"/>
  <c r="M213" i="8"/>
  <c r="L213" i="8"/>
  <c r="K213" i="8"/>
  <c r="J213" i="8"/>
  <c r="I213" i="8"/>
  <c r="H213" i="8"/>
  <c r="G213" i="8"/>
  <c r="F213" i="8"/>
  <c r="E213" i="8"/>
  <c r="O212" i="8"/>
  <c r="N212" i="8"/>
  <c r="M212" i="8"/>
  <c r="L212" i="8"/>
  <c r="K212" i="8"/>
  <c r="J212" i="8"/>
  <c r="I212" i="8"/>
  <c r="H212" i="8"/>
  <c r="G212" i="8"/>
  <c r="F212" i="8"/>
  <c r="E212" i="8"/>
  <c r="O211" i="8"/>
  <c r="N211" i="8"/>
  <c r="M211" i="8"/>
  <c r="L211" i="8"/>
  <c r="K211" i="8"/>
  <c r="J211" i="8"/>
  <c r="I211" i="8"/>
  <c r="H211" i="8"/>
  <c r="G211" i="8"/>
  <c r="F211" i="8"/>
  <c r="E211" i="8"/>
  <c r="O210" i="8"/>
  <c r="N210" i="8"/>
  <c r="M210" i="8"/>
  <c r="L210" i="8"/>
  <c r="K210" i="8"/>
  <c r="J210" i="8"/>
  <c r="I210" i="8"/>
  <c r="H210" i="8"/>
  <c r="G210" i="8"/>
  <c r="F210" i="8"/>
  <c r="E210" i="8"/>
  <c r="O209" i="8"/>
  <c r="N209" i="8"/>
  <c r="M209" i="8"/>
  <c r="L209" i="8"/>
  <c r="K209" i="8"/>
  <c r="J209" i="8"/>
  <c r="I209" i="8"/>
  <c r="H209" i="8"/>
  <c r="G209" i="8"/>
  <c r="F209" i="8"/>
  <c r="E209" i="8"/>
  <c r="O208" i="8"/>
  <c r="N208" i="8"/>
  <c r="M208" i="8"/>
  <c r="L208" i="8"/>
  <c r="K208" i="8"/>
  <c r="J208" i="8"/>
  <c r="I208" i="8"/>
  <c r="H208" i="8"/>
  <c r="G208" i="8"/>
  <c r="F208" i="8"/>
  <c r="E208" i="8"/>
  <c r="O207" i="8"/>
  <c r="N207" i="8"/>
  <c r="M207" i="8"/>
  <c r="L207" i="8"/>
  <c r="K207" i="8"/>
  <c r="J207" i="8"/>
  <c r="I207" i="8"/>
  <c r="H207" i="8"/>
  <c r="G207" i="8"/>
  <c r="F207" i="8"/>
  <c r="E207" i="8"/>
  <c r="O206" i="8"/>
  <c r="N206" i="8"/>
  <c r="M206" i="8"/>
  <c r="L206" i="8"/>
  <c r="K206" i="8"/>
  <c r="J206" i="8"/>
  <c r="I206" i="8"/>
  <c r="H206" i="8"/>
  <c r="G206" i="8"/>
  <c r="F206" i="8"/>
  <c r="E206" i="8"/>
  <c r="O205" i="8"/>
  <c r="N205" i="8"/>
  <c r="M205" i="8"/>
  <c r="L205" i="8"/>
  <c r="K205" i="8"/>
  <c r="J205" i="8"/>
  <c r="I205" i="8"/>
  <c r="H205" i="8"/>
  <c r="G205" i="8"/>
  <c r="F205" i="8"/>
  <c r="E205" i="8"/>
  <c r="O204" i="8"/>
  <c r="N204" i="8"/>
  <c r="M204" i="8"/>
  <c r="L204" i="8"/>
  <c r="K204" i="8"/>
  <c r="J204" i="8"/>
  <c r="I204" i="8"/>
  <c r="H204" i="8"/>
  <c r="G204" i="8"/>
  <c r="F204" i="8"/>
  <c r="E204" i="8"/>
  <c r="O203" i="8"/>
  <c r="N203" i="8"/>
  <c r="M203" i="8"/>
  <c r="L203" i="8"/>
  <c r="K203" i="8"/>
  <c r="J203" i="8"/>
  <c r="I203" i="8"/>
  <c r="H203" i="8"/>
  <c r="G203" i="8"/>
  <c r="F203" i="8"/>
  <c r="E203" i="8"/>
  <c r="O202" i="8"/>
  <c r="N202" i="8"/>
  <c r="M202" i="8"/>
  <c r="L202" i="8"/>
  <c r="K202" i="8"/>
  <c r="J202" i="8"/>
  <c r="I202" i="8"/>
  <c r="H202" i="8"/>
  <c r="G202" i="8"/>
  <c r="F202" i="8"/>
  <c r="E202" i="8"/>
  <c r="O201" i="8"/>
  <c r="N201" i="8"/>
  <c r="M201" i="8"/>
  <c r="L201" i="8"/>
  <c r="K201" i="8"/>
  <c r="J201" i="8"/>
  <c r="I201" i="8"/>
  <c r="H201" i="8"/>
  <c r="G201" i="8"/>
  <c r="F201" i="8"/>
  <c r="E201" i="8"/>
  <c r="O200" i="8"/>
  <c r="N200" i="8"/>
  <c r="M200" i="8"/>
  <c r="L200" i="8"/>
  <c r="K200" i="8"/>
  <c r="J200" i="8"/>
  <c r="I200" i="8"/>
  <c r="H200" i="8"/>
  <c r="G200" i="8"/>
  <c r="F200" i="8"/>
  <c r="E200" i="8"/>
  <c r="O199" i="8"/>
  <c r="N199" i="8"/>
  <c r="M199" i="8"/>
  <c r="L199" i="8"/>
  <c r="K199" i="8"/>
  <c r="J199" i="8"/>
  <c r="I199" i="8"/>
  <c r="H199" i="8"/>
  <c r="G199" i="8"/>
  <c r="F199" i="8"/>
  <c r="E199" i="8"/>
  <c r="O198" i="8"/>
  <c r="N198" i="8"/>
  <c r="M198" i="8"/>
  <c r="L198" i="8"/>
  <c r="K198" i="8"/>
  <c r="J198" i="8"/>
  <c r="I198" i="8"/>
  <c r="H198" i="8"/>
  <c r="G198" i="8"/>
  <c r="F198" i="8"/>
  <c r="E198" i="8"/>
  <c r="O197" i="8"/>
  <c r="N197" i="8"/>
  <c r="M197" i="8"/>
  <c r="L197" i="8"/>
  <c r="K197" i="8"/>
  <c r="J197" i="8"/>
  <c r="I197" i="8"/>
  <c r="H197" i="8"/>
  <c r="G197" i="8"/>
  <c r="F197" i="8"/>
  <c r="E197" i="8"/>
  <c r="O196" i="8"/>
  <c r="N196" i="8"/>
  <c r="M196" i="8"/>
  <c r="L196" i="8"/>
  <c r="K196" i="8"/>
  <c r="J196" i="8"/>
  <c r="I196" i="8"/>
  <c r="H196" i="8"/>
  <c r="G196" i="8"/>
  <c r="F196" i="8"/>
  <c r="E196" i="8"/>
  <c r="O195" i="8"/>
  <c r="N195" i="8"/>
  <c r="M195" i="8"/>
  <c r="L195" i="8"/>
  <c r="K195" i="8"/>
  <c r="J195" i="8"/>
  <c r="I195" i="8"/>
  <c r="H195" i="8"/>
  <c r="G195" i="8"/>
  <c r="F195" i="8"/>
  <c r="E195" i="8"/>
  <c r="O194" i="8"/>
  <c r="N194" i="8"/>
  <c r="M194" i="8"/>
  <c r="L194" i="8"/>
  <c r="K194" i="8"/>
  <c r="J194" i="8"/>
  <c r="I194" i="8"/>
  <c r="H194" i="8"/>
  <c r="G194" i="8"/>
  <c r="F194" i="8"/>
  <c r="E194" i="8"/>
  <c r="O193" i="8"/>
  <c r="N193" i="8"/>
  <c r="M193" i="8"/>
  <c r="L193" i="8"/>
  <c r="K193" i="8"/>
  <c r="J193" i="8"/>
  <c r="I193" i="8"/>
  <c r="H193" i="8"/>
  <c r="G193" i="8"/>
  <c r="F193" i="8"/>
  <c r="E193" i="8"/>
  <c r="O192" i="8"/>
  <c r="N192" i="8"/>
  <c r="M192" i="8"/>
  <c r="L192" i="8"/>
  <c r="K192" i="8"/>
  <c r="J192" i="8"/>
  <c r="I192" i="8"/>
  <c r="H192" i="8"/>
  <c r="G192" i="8"/>
  <c r="F192" i="8"/>
  <c r="E192" i="8"/>
  <c r="O191" i="8"/>
  <c r="N191" i="8"/>
  <c r="M191" i="8"/>
  <c r="L191" i="8"/>
  <c r="K191" i="8"/>
  <c r="J191" i="8"/>
  <c r="I191" i="8"/>
  <c r="H191" i="8"/>
  <c r="G191" i="8"/>
  <c r="F191" i="8"/>
  <c r="E191" i="8"/>
  <c r="O190" i="8"/>
  <c r="N190" i="8"/>
  <c r="M190" i="8"/>
  <c r="L190" i="8"/>
  <c r="K190" i="8"/>
  <c r="J190" i="8"/>
  <c r="I190" i="8"/>
  <c r="H190" i="8"/>
  <c r="G190" i="8"/>
  <c r="F190" i="8"/>
  <c r="E190" i="8"/>
  <c r="O189" i="8"/>
  <c r="N189" i="8"/>
  <c r="M189" i="8"/>
  <c r="L189" i="8"/>
  <c r="K189" i="8"/>
  <c r="J189" i="8"/>
  <c r="I189" i="8"/>
  <c r="H189" i="8"/>
  <c r="G189" i="8"/>
  <c r="F189" i="8"/>
  <c r="E189" i="8"/>
  <c r="O188" i="8"/>
  <c r="N188" i="8"/>
  <c r="M188" i="8"/>
  <c r="L188" i="8"/>
  <c r="K188" i="8"/>
  <c r="J188" i="8"/>
  <c r="I188" i="8"/>
  <c r="H188" i="8"/>
  <c r="G188" i="8"/>
  <c r="F188" i="8"/>
  <c r="E188" i="8"/>
  <c r="O187" i="8"/>
  <c r="N187" i="8"/>
  <c r="M187" i="8"/>
  <c r="L187" i="8"/>
  <c r="K187" i="8"/>
  <c r="J187" i="8"/>
  <c r="I187" i="8"/>
  <c r="H187" i="8"/>
  <c r="G187" i="8"/>
  <c r="F187" i="8"/>
  <c r="E187" i="8"/>
  <c r="O186" i="8"/>
  <c r="N186" i="8"/>
  <c r="M186" i="8"/>
  <c r="L186" i="8"/>
  <c r="K186" i="8"/>
  <c r="J186" i="8"/>
  <c r="I186" i="8"/>
  <c r="H186" i="8"/>
  <c r="G186" i="8"/>
  <c r="F186" i="8"/>
  <c r="E186" i="8"/>
  <c r="O185" i="8"/>
  <c r="N185" i="8"/>
  <c r="M185" i="8"/>
  <c r="L185" i="8"/>
  <c r="K185" i="8"/>
  <c r="J185" i="8"/>
  <c r="I185" i="8"/>
  <c r="H185" i="8"/>
  <c r="G185" i="8"/>
  <c r="F185" i="8"/>
  <c r="E185" i="8"/>
  <c r="O184" i="8"/>
  <c r="N184" i="8"/>
  <c r="M184" i="8"/>
  <c r="L184" i="8"/>
  <c r="K184" i="8"/>
  <c r="J184" i="8"/>
  <c r="I184" i="8"/>
  <c r="H184" i="8"/>
  <c r="G184" i="8"/>
  <c r="F184" i="8"/>
  <c r="E184" i="8"/>
  <c r="O183" i="8"/>
  <c r="N183" i="8"/>
  <c r="M183" i="8"/>
  <c r="L183" i="8"/>
  <c r="K183" i="8"/>
  <c r="J183" i="8"/>
  <c r="I183" i="8"/>
  <c r="H183" i="8"/>
  <c r="G183" i="8"/>
  <c r="F183" i="8"/>
  <c r="E183" i="8"/>
  <c r="O182" i="8"/>
  <c r="N182" i="8"/>
  <c r="M182" i="8"/>
  <c r="L182" i="8"/>
  <c r="K182" i="8"/>
  <c r="J182" i="8"/>
  <c r="I182" i="8"/>
  <c r="H182" i="8"/>
  <c r="G182" i="8"/>
  <c r="F182" i="8"/>
  <c r="E182" i="8"/>
  <c r="O181" i="8"/>
  <c r="N181" i="8"/>
  <c r="M181" i="8"/>
  <c r="L181" i="8"/>
  <c r="K181" i="8"/>
  <c r="J181" i="8"/>
  <c r="I181" i="8"/>
  <c r="H181" i="8"/>
  <c r="G181" i="8"/>
  <c r="F181" i="8"/>
  <c r="E181" i="8"/>
  <c r="O180" i="8"/>
  <c r="N180" i="8"/>
  <c r="M180" i="8"/>
  <c r="L180" i="8"/>
  <c r="K180" i="8"/>
  <c r="J180" i="8"/>
  <c r="I180" i="8"/>
  <c r="H180" i="8"/>
  <c r="G180" i="8"/>
  <c r="F180" i="8"/>
  <c r="E180" i="8"/>
  <c r="O179" i="8"/>
  <c r="N179" i="8"/>
  <c r="M179" i="8"/>
  <c r="L179" i="8"/>
  <c r="K179" i="8"/>
  <c r="J179" i="8"/>
  <c r="I179" i="8"/>
  <c r="H179" i="8"/>
  <c r="G179" i="8"/>
  <c r="F179" i="8"/>
  <c r="E179" i="8"/>
  <c r="O178" i="8"/>
  <c r="N178" i="8"/>
  <c r="M178" i="8"/>
  <c r="L178" i="8"/>
  <c r="K178" i="8"/>
  <c r="J178" i="8"/>
  <c r="I178" i="8"/>
  <c r="H178" i="8"/>
  <c r="G178" i="8"/>
  <c r="F178" i="8"/>
  <c r="E178" i="8"/>
  <c r="O177" i="8"/>
  <c r="N177" i="8"/>
  <c r="M177" i="8"/>
  <c r="L177" i="8"/>
  <c r="K177" i="8"/>
  <c r="J177" i="8"/>
  <c r="I177" i="8"/>
  <c r="H177" i="8"/>
  <c r="G177" i="8"/>
  <c r="F177" i="8"/>
  <c r="E177" i="8"/>
  <c r="O176" i="8"/>
  <c r="N176" i="8"/>
  <c r="M176" i="8"/>
  <c r="L176" i="8"/>
  <c r="K176" i="8"/>
  <c r="J176" i="8"/>
  <c r="I176" i="8"/>
  <c r="H176" i="8"/>
  <c r="G176" i="8"/>
  <c r="F176" i="8"/>
  <c r="E176" i="8"/>
  <c r="O175" i="8"/>
  <c r="N175" i="8"/>
  <c r="M175" i="8"/>
  <c r="L175" i="8"/>
  <c r="K175" i="8"/>
  <c r="J175" i="8"/>
  <c r="I175" i="8"/>
  <c r="H175" i="8"/>
  <c r="G175" i="8"/>
  <c r="F175" i="8"/>
  <c r="E175" i="8"/>
  <c r="O174" i="8"/>
  <c r="N174" i="8"/>
  <c r="M174" i="8"/>
  <c r="L174" i="8"/>
  <c r="K174" i="8"/>
  <c r="J174" i="8"/>
  <c r="I174" i="8"/>
  <c r="H174" i="8"/>
  <c r="G174" i="8"/>
  <c r="F174" i="8"/>
  <c r="E174" i="8"/>
  <c r="O173" i="8"/>
  <c r="N173" i="8"/>
  <c r="M173" i="8"/>
  <c r="L173" i="8"/>
  <c r="K173" i="8"/>
  <c r="J173" i="8"/>
  <c r="I173" i="8"/>
  <c r="H173" i="8"/>
  <c r="G173" i="8"/>
  <c r="F173" i="8"/>
  <c r="E173" i="8"/>
  <c r="O172" i="8"/>
  <c r="N172" i="8"/>
  <c r="M172" i="8"/>
  <c r="L172" i="8"/>
  <c r="K172" i="8"/>
  <c r="J172" i="8"/>
  <c r="I172" i="8"/>
  <c r="H172" i="8"/>
  <c r="G172" i="8"/>
  <c r="F172" i="8"/>
  <c r="E172" i="8"/>
  <c r="O171" i="8"/>
  <c r="N171" i="8"/>
  <c r="M171" i="8"/>
  <c r="L171" i="8"/>
  <c r="K171" i="8"/>
  <c r="J171" i="8"/>
  <c r="I171" i="8"/>
  <c r="H171" i="8"/>
  <c r="G171" i="8"/>
  <c r="F171" i="8"/>
  <c r="E171" i="8"/>
  <c r="O170" i="8"/>
  <c r="N170" i="8"/>
  <c r="M170" i="8"/>
  <c r="L170" i="8"/>
  <c r="K170" i="8"/>
  <c r="J170" i="8"/>
  <c r="I170" i="8"/>
  <c r="H170" i="8"/>
  <c r="G170" i="8"/>
  <c r="F170" i="8"/>
  <c r="E170" i="8"/>
  <c r="O169" i="8"/>
  <c r="N169" i="8"/>
  <c r="M169" i="8"/>
  <c r="L169" i="8"/>
  <c r="K169" i="8"/>
  <c r="J169" i="8"/>
  <c r="I169" i="8"/>
  <c r="H169" i="8"/>
  <c r="G169" i="8"/>
  <c r="F169" i="8"/>
  <c r="E169" i="8"/>
  <c r="O168" i="8"/>
  <c r="N168" i="8"/>
  <c r="M168" i="8"/>
  <c r="L168" i="8"/>
  <c r="K168" i="8"/>
  <c r="J168" i="8"/>
  <c r="I168" i="8"/>
  <c r="H168" i="8"/>
  <c r="G168" i="8"/>
  <c r="F168" i="8"/>
  <c r="E168" i="8"/>
  <c r="O167" i="8"/>
  <c r="N167" i="8"/>
  <c r="M167" i="8"/>
  <c r="L167" i="8"/>
  <c r="K167" i="8"/>
  <c r="J167" i="8"/>
  <c r="I167" i="8"/>
  <c r="H167" i="8"/>
  <c r="G167" i="8"/>
  <c r="F167" i="8"/>
  <c r="E167" i="8"/>
  <c r="O166" i="8"/>
  <c r="N166" i="8"/>
  <c r="M166" i="8"/>
  <c r="L166" i="8"/>
  <c r="K166" i="8"/>
  <c r="J166" i="8"/>
  <c r="I166" i="8"/>
  <c r="H166" i="8"/>
  <c r="G166" i="8"/>
  <c r="F166" i="8"/>
  <c r="E166" i="8"/>
  <c r="O165" i="8"/>
  <c r="N165" i="8"/>
  <c r="M165" i="8"/>
  <c r="L165" i="8"/>
  <c r="K165" i="8"/>
  <c r="J165" i="8"/>
  <c r="I165" i="8"/>
  <c r="H165" i="8"/>
  <c r="G165" i="8"/>
  <c r="F165" i="8"/>
  <c r="E165" i="8"/>
  <c r="O164" i="8"/>
  <c r="N164" i="8"/>
  <c r="M164" i="8"/>
  <c r="L164" i="8"/>
  <c r="K164" i="8"/>
  <c r="J164" i="8"/>
  <c r="I164" i="8"/>
  <c r="H164" i="8"/>
  <c r="G164" i="8"/>
  <c r="F164" i="8"/>
  <c r="E164" i="8"/>
  <c r="O163" i="8"/>
  <c r="N163" i="8"/>
  <c r="M163" i="8"/>
  <c r="L163" i="8"/>
  <c r="K163" i="8"/>
  <c r="J163" i="8"/>
  <c r="I163" i="8"/>
  <c r="H163" i="8"/>
  <c r="G163" i="8"/>
  <c r="F163" i="8"/>
  <c r="E163" i="8"/>
  <c r="O162" i="8"/>
  <c r="N162" i="8"/>
  <c r="M162" i="8"/>
  <c r="L162" i="8"/>
  <c r="K162" i="8"/>
  <c r="J162" i="8"/>
  <c r="I162" i="8"/>
  <c r="H162" i="8"/>
  <c r="G162" i="8"/>
  <c r="F162" i="8"/>
  <c r="E162" i="8"/>
  <c r="O161" i="8"/>
  <c r="N161" i="8"/>
  <c r="M161" i="8"/>
  <c r="L161" i="8"/>
  <c r="K161" i="8"/>
  <c r="J161" i="8"/>
  <c r="I161" i="8"/>
  <c r="H161" i="8"/>
  <c r="G161" i="8"/>
  <c r="F161" i="8"/>
  <c r="E161" i="8"/>
  <c r="O160" i="8"/>
  <c r="N160" i="8"/>
  <c r="M160" i="8"/>
  <c r="L160" i="8"/>
  <c r="K160" i="8"/>
  <c r="J160" i="8"/>
  <c r="I160" i="8"/>
  <c r="H160" i="8"/>
  <c r="G160" i="8"/>
  <c r="F160" i="8"/>
  <c r="E160" i="8"/>
  <c r="O159" i="8"/>
  <c r="N159" i="8"/>
  <c r="M159" i="8"/>
  <c r="L159" i="8"/>
  <c r="K159" i="8"/>
  <c r="J159" i="8"/>
  <c r="I159" i="8"/>
  <c r="H159" i="8"/>
  <c r="G159" i="8"/>
  <c r="F159" i="8"/>
  <c r="E159" i="8"/>
  <c r="O158" i="8"/>
  <c r="N158" i="8"/>
  <c r="M158" i="8"/>
  <c r="L158" i="8"/>
  <c r="K158" i="8"/>
  <c r="J158" i="8"/>
  <c r="I158" i="8"/>
  <c r="H158" i="8"/>
  <c r="G158" i="8"/>
  <c r="F158" i="8"/>
  <c r="E158" i="8"/>
  <c r="O157" i="8"/>
  <c r="N157" i="8"/>
  <c r="M157" i="8"/>
  <c r="L157" i="8"/>
  <c r="K157" i="8"/>
  <c r="J157" i="8"/>
  <c r="I157" i="8"/>
  <c r="H157" i="8"/>
  <c r="G157" i="8"/>
  <c r="F157" i="8"/>
  <c r="E157" i="8"/>
  <c r="O156" i="8"/>
  <c r="N156" i="8"/>
  <c r="M156" i="8"/>
  <c r="L156" i="8"/>
  <c r="K156" i="8"/>
  <c r="J156" i="8"/>
  <c r="I156" i="8"/>
  <c r="H156" i="8"/>
  <c r="G156" i="8"/>
  <c r="F156" i="8"/>
  <c r="E156" i="8"/>
  <c r="O155" i="8"/>
  <c r="N155" i="8"/>
  <c r="M155" i="8"/>
  <c r="L155" i="8"/>
  <c r="K155" i="8"/>
  <c r="J155" i="8"/>
  <c r="I155" i="8"/>
  <c r="H155" i="8"/>
  <c r="G155" i="8"/>
  <c r="F155" i="8"/>
  <c r="E155" i="8"/>
  <c r="O154" i="8"/>
  <c r="N154" i="8"/>
  <c r="M154" i="8"/>
  <c r="L154" i="8"/>
  <c r="K154" i="8"/>
  <c r="J154" i="8"/>
  <c r="I154" i="8"/>
  <c r="H154" i="8"/>
  <c r="G154" i="8"/>
  <c r="F154" i="8"/>
  <c r="E154" i="8"/>
  <c r="O153" i="8"/>
  <c r="N153" i="8"/>
  <c r="M153" i="8"/>
  <c r="L153" i="8"/>
  <c r="K153" i="8"/>
  <c r="J153" i="8"/>
  <c r="I153" i="8"/>
  <c r="H153" i="8"/>
  <c r="G153" i="8"/>
  <c r="F153" i="8"/>
  <c r="E153" i="8"/>
  <c r="O152" i="8"/>
  <c r="N152" i="8"/>
  <c r="M152" i="8"/>
  <c r="L152" i="8"/>
  <c r="K152" i="8"/>
  <c r="J152" i="8"/>
  <c r="I152" i="8"/>
  <c r="H152" i="8"/>
  <c r="G152" i="8"/>
  <c r="F152" i="8"/>
  <c r="E152" i="8"/>
  <c r="O151" i="8"/>
  <c r="N151" i="8"/>
  <c r="M151" i="8"/>
  <c r="L151" i="8"/>
  <c r="K151" i="8"/>
  <c r="J151" i="8"/>
  <c r="I151" i="8"/>
  <c r="H151" i="8"/>
  <c r="G151" i="8"/>
  <c r="F151" i="8"/>
  <c r="E151" i="8"/>
  <c r="O150" i="8"/>
  <c r="N150" i="8"/>
  <c r="M150" i="8"/>
  <c r="L150" i="8"/>
  <c r="K150" i="8"/>
  <c r="J150" i="8"/>
  <c r="I150" i="8"/>
  <c r="H150" i="8"/>
  <c r="G150" i="8"/>
  <c r="F150" i="8"/>
  <c r="E150" i="8"/>
  <c r="O149" i="8"/>
  <c r="N149" i="8"/>
  <c r="M149" i="8"/>
  <c r="L149" i="8"/>
  <c r="K149" i="8"/>
  <c r="J149" i="8"/>
  <c r="I149" i="8"/>
  <c r="H149" i="8"/>
  <c r="G149" i="8"/>
  <c r="F149" i="8"/>
  <c r="E149" i="8"/>
  <c r="O148" i="8"/>
  <c r="N148" i="8"/>
  <c r="M148" i="8"/>
  <c r="L148" i="8"/>
  <c r="K148" i="8"/>
  <c r="J148" i="8"/>
  <c r="I148" i="8"/>
  <c r="H148" i="8"/>
  <c r="G148" i="8"/>
  <c r="F148" i="8"/>
  <c r="E148" i="8"/>
  <c r="O147" i="8"/>
  <c r="N147" i="8"/>
  <c r="M147" i="8"/>
  <c r="L147" i="8"/>
  <c r="K147" i="8"/>
  <c r="J147" i="8"/>
  <c r="I147" i="8"/>
  <c r="H147" i="8"/>
  <c r="G147" i="8"/>
  <c r="F147" i="8"/>
  <c r="E147" i="8"/>
  <c r="O146" i="8"/>
  <c r="N146" i="8"/>
  <c r="M146" i="8"/>
  <c r="L146" i="8"/>
  <c r="K146" i="8"/>
  <c r="J146" i="8"/>
  <c r="I146" i="8"/>
  <c r="H146" i="8"/>
  <c r="G146" i="8"/>
  <c r="F146" i="8"/>
  <c r="E146" i="8"/>
  <c r="O145" i="8"/>
  <c r="N145" i="8"/>
  <c r="M145" i="8"/>
  <c r="L145" i="8"/>
  <c r="K145" i="8"/>
  <c r="J145" i="8"/>
  <c r="I145" i="8"/>
  <c r="H145" i="8"/>
  <c r="G145" i="8"/>
  <c r="F145" i="8"/>
  <c r="E145" i="8"/>
  <c r="O144" i="8"/>
  <c r="N144" i="8"/>
  <c r="M144" i="8"/>
  <c r="L144" i="8"/>
  <c r="K144" i="8"/>
  <c r="J144" i="8"/>
  <c r="I144" i="8"/>
  <c r="H144" i="8"/>
  <c r="G144" i="8"/>
  <c r="F144" i="8"/>
  <c r="E144" i="8"/>
  <c r="O143" i="8"/>
  <c r="N143" i="8"/>
  <c r="M143" i="8"/>
  <c r="L143" i="8"/>
  <c r="K143" i="8"/>
  <c r="J143" i="8"/>
  <c r="I143" i="8"/>
  <c r="H143" i="8"/>
  <c r="G143" i="8"/>
  <c r="F143" i="8"/>
  <c r="E143" i="8"/>
  <c r="O142" i="8"/>
  <c r="N142" i="8"/>
  <c r="M142" i="8"/>
  <c r="L142" i="8"/>
  <c r="K142" i="8"/>
  <c r="J142" i="8"/>
  <c r="I142" i="8"/>
  <c r="H142" i="8"/>
  <c r="G142" i="8"/>
  <c r="F142" i="8"/>
  <c r="E142" i="8"/>
  <c r="O141" i="8"/>
  <c r="N141" i="8"/>
  <c r="M141" i="8"/>
  <c r="L141" i="8"/>
  <c r="K141" i="8"/>
  <c r="J141" i="8"/>
  <c r="I141" i="8"/>
  <c r="H141" i="8"/>
  <c r="G141" i="8"/>
  <c r="F141" i="8"/>
  <c r="E141" i="8"/>
  <c r="O140" i="8"/>
  <c r="N140" i="8"/>
  <c r="M140" i="8"/>
  <c r="L140" i="8"/>
  <c r="K140" i="8"/>
  <c r="J140" i="8"/>
  <c r="I140" i="8"/>
  <c r="H140" i="8"/>
  <c r="G140" i="8"/>
  <c r="F140" i="8"/>
  <c r="E140" i="8"/>
  <c r="O139" i="8"/>
  <c r="N139" i="8"/>
  <c r="M139" i="8"/>
  <c r="L139" i="8"/>
  <c r="K139" i="8"/>
  <c r="J139" i="8"/>
  <c r="I139" i="8"/>
  <c r="H139" i="8"/>
  <c r="G139" i="8"/>
  <c r="F139" i="8"/>
  <c r="E139" i="8"/>
  <c r="O138" i="8"/>
  <c r="N138" i="8"/>
  <c r="M138" i="8"/>
  <c r="L138" i="8"/>
  <c r="K138" i="8"/>
  <c r="J138" i="8"/>
  <c r="I138" i="8"/>
  <c r="H138" i="8"/>
  <c r="G138" i="8"/>
  <c r="F138" i="8"/>
  <c r="E138" i="8"/>
  <c r="O137" i="8"/>
  <c r="N137" i="8"/>
  <c r="M137" i="8"/>
  <c r="L137" i="8"/>
  <c r="K137" i="8"/>
  <c r="J137" i="8"/>
  <c r="I137" i="8"/>
  <c r="H137" i="8"/>
  <c r="G137" i="8"/>
  <c r="F137" i="8"/>
  <c r="E137" i="8"/>
  <c r="O136" i="8"/>
  <c r="N136" i="8"/>
  <c r="M136" i="8"/>
  <c r="L136" i="8"/>
  <c r="K136" i="8"/>
  <c r="J136" i="8"/>
  <c r="I136" i="8"/>
  <c r="H136" i="8"/>
  <c r="G136" i="8"/>
  <c r="F136" i="8"/>
  <c r="E136" i="8"/>
  <c r="O135" i="8"/>
  <c r="N135" i="8"/>
  <c r="M135" i="8"/>
  <c r="L135" i="8"/>
  <c r="K135" i="8"/>
  <c r="J135" i="8"/>
  <c r="I135" i="8"/>
  <c r="H135" i="8"/>
  <c r="G135" i="8"/>
  <c r="F135" i="8"/>
  <c r="E135" i="8"/>
  <c r="O134" i="8"/>
  <c r="N134" i="8"/>
  <c r="M134" i="8"/>
  <c r="L134" i="8"/>
  <c r="K134" i="8"/>
  <c r="J134" i="8"/>
  <c r="I134" i="8"/>
  <c r="H134" i="8"/>
  <c r="G134" i="8"/>
  <c r="F134" i="8"/>
  <c r="E134" i="8"/>
  <c r="O133" i="8"/>
  <c r="N133" i="8"/>
  <c r="M133" i="8"/>
  <c r="L133" i="8"/>
  <c r="K133" i="8"/>
  <c r="J133" i="8"/>
  <c r="I133" i="8"/>
  <c r="H133" i="8"/>
  <c r="G133" i="8"/>
  <c r="F133" i="8"/>
  <c r="E133" i="8"/>
  <c r="O132" i="8"/>
  <c r="N132" i="8"/>
  <c r="M132" i="8"/>
  <c r="L132" i="8"/>
  <c r="K132" i="8"/>
  <c r="J132" i="8"/>
  <c r="I132" i="8"/>
  <c r="H132" i="8"/>
  <c r="G132" i="8"/>
  <c r="F132" i="8"/>
  <c r="E132" i="8"/>
  <c r="O131" i="8"/>
  <c r="N131" i="8"/>
  <c r="M131" i="8"/>
  <c r="L131" i="8"/>
  <c r="K131" i="8"/>
  <c r="J131" i="8"/>
  <c r="I131" i="8"/>
  <c r="H131" i="8"/>
  <c r="G131" i="8"/>
  <c r="F131" i="8"/>
  <c r="E131" i="8"/>
  <c r="O130" i="8"/>
  <c r="N130" i="8"/>
  <c r="M130" i="8"/>
  <c r="L130" i="8"/>
  <c r="K130" i="8"/>
  <c r="J130" i="8"/>
  <c r="I130" i="8"/>
  <c r="H130" i="8"/>
  <c r="G130" i="8"/>
  <c r="F130" i="8"/>
  <c r="E130" i="8"/>
  <c r="O129" i="8"/>
  <c r="N129" i="8"/>
  <c r="M129" i="8"/>
  <c r="L129" i="8"/>
  <c r="K129" i="8"/>
  <c r="J129" i="8"/>
  <c r="I129" i="8"/>
  <c r="H129" i="8"/>
  <c r="G129" i="8"/>
  <c r="F129" i="8"/>
  <c r="E129" i="8"/>
  <c r="O128" i="8"/>
  <c r="N128" i="8"/>
  <c r="M128" i="8"/>
  <c r="L128" i="8"/>
  <c r="K128" i="8"/>
  <c r="J128" i="8"/>
  <c r="I128" i="8"/>
  <c r="H128" i="8"/>
  <c r="G128" i="8"/>
  <c r="F128" i="8"/>
  <c r="E128" i="8"/>
  <c r="O127" i="8"/>
  <c r="N127" i="8"/>
  <c r="M127" i="8"/>
  <c r="L127" i="8"/>
  <c r="K127" i="8"/>
  <c r="J127" i="8"/>
  <c r="I127" i="8"/>
  <c r="H127" i="8"/>
  <c r="G127" i="8"/>
  <c r="F127" i="8"/>
  <c r="E127" i="8"/>
  <c r="O126" i="8"/>
  <c r="N126" i="8"/>
  <c r="M126" i="8"/>
  <c r="L126" i="8"/>
  <c r="K126" i="8"/>
  <c r="J126" i="8"/>
  <c r="I126" i="8"/>
  <c r="H126" i="8"/>
  <c r="G126" i="8"/>
  <c r="F126" i="8"/>
  <c r="E126" i="8"/>
  <c r="O125" i="8"/>
  <c r="N125" i="8"/>
  <c r="M125" i="8"/>
  <c r="L125" i="8"/>
  <c r="K125" i="8"/>
  <c r="J125" i="8"/>
  <c r="I125" i="8"/>
  <c r="H125" i="8"/>
  <c r="G125" i="8"/>
  <c r="F125" i="8"/>
  <c r="E125" i="8"/>
  <c r="O124" i="8"/>
  <c r="N124" i="8"/>
  <c r="M124" i="8"/>
  <c r="L124" i="8"/>
  <c r="K124" i="8"/>
  <c r="J124" i="8"/>
  <c r="I124" i="8"/>
  <c r="H124" i="8"/>
  <c r="G124" i="8"/>
  <c r="F124" i="8"/>
  <c r="E124" i="8"/>
  <c r="O123" i="8"/>
  <c r="N123" i="8"/>
  <c r="M123" i="8"/>
  <c r="L123" i="8"/>
  <c r="K123" i="8"/>
  <c r="J123" i="8"/>
  <c r="I123" i="8"/>
  <c r="H123" i="8"/>
  <c r="G123" i="8"/>
  <c r="F123" i="8"/>
  <c r="E123" i="8"/>
  <c r="O122" i="8"/>
  <c r="N122" i="8"/>
  <c r="M122" i="8"/>
  <c r="L122" i="8"/>
  <c r="K122" i="8"/>
  <c r="J122" i="8"/>
  <c r="I122" i="8"/>
  <c r="H122" i="8"/>
  <c r="G122" i="8"/>
  <c r="F122" i="8"/>
  <c r="E122" i="8"/>
  <c r="O121" i="8"/>
  <c r="N121" i="8"/>
  <c r="M121" i="8"/>
  <c r="L121" i="8"/>
  <c r="K121" i="8"/>
  <c r="J121" i="8"/>
  <c r="I121" i="8"/>
  <c r="H121" i="8"/>
  <c r="G121" i="8"/>
  <c r="F121" i="8"/>
  <c r="E121" i="8"/>
  <c r="O120" i="8"/>
  <c r="N120" i="8"/>
  <c r="M120" i="8"/>
  <c r="L120" i="8"/>
  <c r="K120" i="8"/>
  <c r="J120" i="8"/>
  <c r="I120" i="8"/>
  <c r="H120" i="8"/>
  <c r="G120" i="8"/>
  <c r="F120" i="8"/>
  <c r="E120" i="8"/>
  <c r="O119" i="8"/>
  <c r="N119" i="8"/>
  <c r="M119" i="8"/>
  <c r="L119" i="8"/>
  <c r="K119" i="8"/>
  <c r="J119" i="8"/>
  <c r="I119" i="8"/>
  <c r="H119" i="8"/>
  <c r="G119" i="8"/>
  <c r="F119" i="8"/>
  <c r="E119" i="8"/>
  <c r="O118" i="8"/>
  <c r="N118" i="8"/>
  <c r="M118" i="8"/>
  <c r="L118" i="8"/>
  <c r="K118" i="8"/>
  <c r="J118" i="8"/>
  <c r="I118" i="8"/>
  <c r="H118" i="8"/>
  <c r="G118" i="8"/>
  <c r="F118" i="8"/>
  <c r="E118" i="8"/>
  <c r="O117" i="8"/>
  <c r="N117" i="8"/>
  <c r="M117" i="8"/>
  <c r="L117" i="8"/>
  <c r="K117" i="8"/>
  <c r="J117" i="8"/>
  <c r="I117" i="8"/>
  <c r="H117" i="8"/>
  <c r="G117" i="8"/>
  <c r="F117" i="8"/>
  <c r="E117" i="8"/>
  <c r="O116" i="8"/>
  <c r="N116" i="8"/>
  <c r="M116" i="8"/>
  <c r="L116" i="8"/>
  <c r="K116" i="8"/>
  <c r="J116" i="8"/>
  <c r="I116" i="8"/>
  <c r="H116" i="8"/>
  <c r="G116" i="8"/>
  <c r="F116" i="8"/>
  <c r="E116" i="8"/>
  <c r="O115" i="8"/>
  <c r="N115" i="8"/>
  <c r="M115" i="8"/>
  <c r="L115" i="8"/>
  <c r="K115" i="8"/>
  <c r="J115" i="8"/>
  <c r="I115" i="8"/>
  <c r="H115" i="8"/>
  <c r="G115" i="8"/>
  <c r="F115" i="8"/>
  <c r="E115" i="8"/>
  <c r="O114" i="8"/>
  <c r="N114" i="8"/>
  <c r="M114" i="8"/>
  <c r="L114" i="8"/>
  <c r="K114" i="8"/>
  <c r="J114" i="8"/>
  <c r="I114" i="8"/>
  <c r="H114" i="8"/>
  <c r="G114" i="8"/>
  <c r="F114" i="8"/>
  <c r="E114" i="8"/>
  <c r="O113" i="8"/>
  <c r="N113" i="8"/>
  <c r="M113" i="8"/>
  <c r="L113" i="8"/>
  <c r="K113" i="8"/>
  <c r="J113" i="8"/>
  <c r="I113" i="8"/>
  <c r="H113" i="8"/>
  <c r="G113" i="8"/>
  <c r="F113" i="8"/>
  <c r="E113" i="8"/>
  <c r="O112" i="8"/>
  <c r="N112" i="8"/>
  <c r="M112" i="8"/>
  <c r="L112" i="8"/>
  <c r="K112" i="8"/>
  <c r="J112" i="8"/>
  <c r="I112" i="8"/>
  <c r="H112" i="8"/>
  <c r="G112" i="8"/>
  <c r="F112" i="8"/>
  <c r="E112" i="8"/>
  <c r="O111" i="8"/>
  <c r="N111" i="8"/>
  <c r="M111" i="8"/>
  <c r="L111" i="8"/>
  <c r="K111" i="8"/>
  <c r="J111" i="8"/>
  <c r="I111" i="8"/>
  <c r="H111" i="8"/>
  <c r="G111" i="8"/>
  <c r="F111" i="8"/>
  <c r="E111" i="8"/>
  <c r="O110" i="8"/>
  <c r="N110" i="8"/>
  <c r="M110" i="8"/>
  <c r="L110" i="8"/>
  <c r="K110" i="8"/>
  <c r="J110" i="8"/>
  <c r="I110" i="8"/>
  <c r="H110" i="8"/>
  <c r="G110" i="8"/>
  <c r="F110" i="8"/>
  <c r="E110" i="8"/>
  <c r="O109" i="8"/>
  <c r="N109" i="8"/>
  <c r="M109" i="8"/>
  <c r="L109" i="8"/>
  <c r="K109" i="8"/>
  <c r="J109" i="8"/>
  <c r="I109" i="8"/>
  <c r="H109" i="8"/>
  <c r="G109" i="8"/>
  <c r="F109" i="8"/>
  <c r="E109" i="8"/>
  <c r="O108" i="8"/>
  <c r="N108" i="8"/>
  <c r="M108" i="8"/>
  <c r="L108" i="8"/>
  <c r="K108" i="8"/>
  <c r="J108" i="8"/>
  <c r="I108" i="8"/>
  <c r="H108" i="8"/>
  <c r="G108" i="8"/>
  <c r="F108" i="8"/>
  <c r="E108" i="8"/>
  <c r="O107" i="8"/>
  <c r="N107" i="8"/>
  <c r="M107" i="8"/>
  <c r="L107" i="8"/>
  <c r="K107" i="8"/>
  <c r="J107" i="8"/>
  <c r="I107" i="8"/>
  <c r="H107" i="8"/>
  <c r="G107" i="8"/>
  <c r="F107" i="8"/>
  <c r="E107" i="8"/>
  <c r="O106" i="8"/>
  <c r="N106" i="8"/>
  <c r="M106" i="8"/>
  <c r="L106" i="8"/>
  <c r="K106" i="8"/>
  <c r="J106" i="8"/>
  <c r="I106" i="8"/>
  <c r="H106" i="8"/>
  <c r="G106" i="8"/>
  <c r="F106" i="8"/>
  <c r="E106" i="8"/>
  <c r="O105" i="8"/>
  <c r="N105" i="8"/>
  <c r="M105" i="8"/>
  <c r="L105" i="8"/>
  <c r="K105" i="8"/>
  <c r="J105" i="8"/>
  <c r="I105" i="8"/>
  <c r="H105" i="8"/>
  <c r="G105" i="8"/>
  <c r="F105" i="8"/>
  <c r="E105" i="8"/>
  <c r="O104" i="8"/>
  <c r="N104" i="8"/>
  <c r="M104" i="8"/>
  <c r="L104" i="8"/>
  <c r="K104" i="8"/>
  <c r="J104" i="8"/>
  <c r="I104" i="8"/>
  <c r="H104" i="8"/>
  <c r="G104" i="8"/>
  <c r="F104" i="8"/>
  <c r="E104" i="8"/>
  <c r="O103" i="8"/>
  <c r="N103" i="8"/>
  <c r="M103" i="8"/>
  <c r="L103" i="8"/>
  <c r="K103" i="8"/>
  <c r="J103" i="8"/>
  <c r="I103" i="8"/>
  <c r="H103" i="8"/>
  <c r="G103" i="8"/>
  <c r="F103" i="8"/>
  <c r="E103" i="8"/>
  <c r="O102" i="8"/>
  <c r="N102" i="8"/>
  <c r="M102" i="8"/>
  <c r="L102" i="8"/>
  <c r="K102" i="8"/>
  <c r="J102" i="8"/>
  <c r="I102" i="8"/>
  <c r="H102" i="8"/>
  <c r="G102" i="8"/>
  <c r="F102" i="8"/>
  <c r="E102" i="8"/>
  <c r="O101" i="8"/>
  <c r="N101" i="8"/>
  <c r="M101" i="8"/>
  <c r="L101" i="8"/>
  <c r="K101" i="8"/>
  <c r="J101" i="8"/>
  <c r="I101" i="8"/>
  <c r="H101" i="8"/>
  <c r="G101" i="8"/>
  <c r="F101" i="8"/>
  <c r="E101" i="8"/>
  <c r="O100" i="8"/>
  <c r="N100" i="8"/>
  <c r="M100" i="8"/>
  <c r="L100" i="8"/>
  <c r="K100" i="8"/>
  <c r="J100" i="8"/>
  <c r="I100" i="8"/>
  <c r="H100" i="8"/>
  <c r="G100" i="8"/>
  <c r="F100" i="8"/>
  <c r="E100" i="8"/>
  <c r="O99" i="8"/>
  <c r="N99" i="8"/>
  <c r="M99" i="8"/>
  <c r="L99" i="8"/>
  <c r="K99" i="8"/>
  <c r="J99" i="8"/>
  <c r="I99" i="8"/>
  <c r="H99" i="8"/>
  <c r="G99" i="8"/>
  <c r="F99" i="8"/>
  <c r="E99" i="8"/>
  <c r="O98" i="8"/>
  <c r="N98" i="8"/>
  <c r="M98" i="8"/>
  <c r="L98" i="8"/>
  <c r="K98" i="8"/>
  <c r="J98" i="8"/>
  <c r="I98" i="8"/>
  <c r="H98" i="8"/>
  <c r="G98" i="8"/>
  <c r="F98" i="8"/>
  <c r="E98" i="8"/>
  <c r="O97" i="8"/>
  <c r="N97" i="8"/>
  <c r="M97" i="8"/>
  <c r="L97" i="8"/>
  <c r="K97" i="8"/>
  <c r="J97" i="8"/>
  <c r="I97" i="8"/>
  <c r="H97" i="8"/>
  <c r="G97" i="8"/>
  <c r="F97" i="8"/>
  <c r="E97" i="8"/>
  <c r="O96" i="8"/>
  <c r="N96" i="8"/>
  <c r="M96" i="8"/>
  <c r="L96" i="8"/>
  <c r="K96" i="8"/>
  <c r="J96" i="8"/>
  <c r="I96" i="8"/>
  <c r="H96" i="8"/>
  <c r="G96" i="8"/>
  <c r="F96" i="8"/>
  <c r="E96" i="8"/>
  <c r="O95" i="8"/>
  <c r="N95" i="8"/>
  <c r="M95" i="8"/>
  <c r="L95" i="8"/>
  <c r="K95" i="8"/>
  <c r="J95" i="8"/>
  <c r="I95" i="8"/>
  <c r="H95" i="8"/>
  <c r="G95" i="8"/>
  <c r="F95" i="8"/>
  <c r="E95" i="8"/>
  <c r="O94" i="8"/>
  <c r="N94" i="8"/>
  <c r="M94" i="8"/>
  <c r="L94" i="8"/>
  <c r="K94" i="8"/>
  <c r="J94" i="8"/>
  <c r="I94" i="8"/>
  <c r="H94" i="8"/>
  <c r="G94" i="8"/>
  <c r="F94" i="8"/>
  <c r="E94" i="8"/>
  <c r="O93" i="8"/>
  <c r="N93" i="8"/>
  <c r="M93" i="8"/>
  <c r="L93" i="8"/>
  <c r="K93" i="8"/>
  <c r="J93" i="8"/>
  <c r="I93" i="8"/>
  <c r="H93" i="8"/>
  <c r="G93" i="8"/>
  <c r="F93" i="8"/>
  <c r="E93" i="8"/>
  <c r="O92" i="8"/>
  <c r="N92" i="8"/>
  <c r="M92" i="8"/>
  <c r="L92" i="8"/>
  <c r="K92" i="8"/>
  <c r="J92" i="8"/>
  <c r="I92" i="8"/>
  <c r="H92" i="8"/>
  <c r="G92" i="8"/>
  <c r="F92" i="8"/>
  <c r="E92" i="8"/>
  <c r="O91" i="8"/>
  <c r="N91" i="8"/>
  <c r="M91" i="8"/>
  <c r="L91" i="8"/>
  <c r="K91" i="8"/>
  <c r="J91" i="8"/>
  <c r="I91" i="8"/>
  <c r="H91" i="8"/>
  <c r="G91" i="8"/>
  <c r="F91" i="8"/>
  <c r="E91" i="8"/>
  <c r="O90" i="8"/>
  <c r="N90" i="8"/>
  <c r="M90" i="8"/>
  <c r="L90" i="8"/>
  <c r="K90" i="8"/>
  <c r="J90" i="8"/>
  <c r="I90" i="8"/>
  <c r="H90" i="8"/>
  <c r="G90" i="8"/>
  <c r="F90" i="8"/>
  <c r="E90" i="8"/>
  <c r="O89" i="8"/>
  <c r="N89" i="8"/>
  <c r="M89" i="8"/>
  <c r="L89" i="8"/>
  <c r="K89" i="8"/>
  <c r="J89" i="8"/>
  <c r="I89" i="8"/>
  <c r="H89" i="8"/>
  <c r="G89" i="8"/>
  <c r="F89" i="8"/>
  <c r="E89" i="8"/>
  <c r="O88" i="8"/>
  <c r="N88" i="8"/>
  <c r="M88" i="8"/>
  <c r="L88" i="8"/>
  <c r="K88" i="8"/>
  <c r="J88" i="8"/>
  <c r="I88" i="8"/>
  <c r="H88" i="8"/>
  <c r="G88" i="8"/>
  <c r="F88" i="8"/>
  <c r="E88" i="8"/>
  <c r="O87" i="8"/>
  <c r="N87" i="8"/>
  <c r="M87" i="8"/>
  <c r="L87" i="8"/>
  <c r="K87" i="8"/>
  <c r="J87" i="8"/>
  <c r="I87" i="8"/>
  <c r="H87" i="8"/>
  <c r="G87" i="8"/>
  <c r="F87" i="8"/>
  <c r="E87" i="8"/>
  <c r="O86" i="8"/>
  <c r="N86" i="8"/>
  <c r="M86" i="8"/>
  <c r="L86" i="8"/>
  <c r="K86" i="8"/>
  <c r="J86" i="8"/>
  <c r="I86" i="8"/>
  <c r="H86" i="8"/>
  <c r="G86" i="8"/>
  <c r="F86" i="8"/>
  <c r="E86" i="8"/>
  <c r="O85" i="8"/>
  <c r="N85" i="8"/>
  <c r="M85" i="8"/>
  <c r="L85" i="8"/>
  <c r="K85" i="8"/>
  <c r="J85" i="8"/>
  <c r="I85" i="8"/>
  <c r="H85" i="8"/>
  <c r="G85" i="8"/>
  <c r="F85" i="8"/>
  <c r="E85" i="8"/>
  <c r="O84" i="8"/>
  <c r="N84" i="8"/>
  <c r="M84" i="8"/>
  <c r="L84" i="8"/>
  <c r="K84" i="8"/>
  <c r="J84" i="8"/>
  <c r="I84" i="8"/>
  <c r="H84" i="8"/>
  <c r="G84" i="8"/>
  <c r="F84" i="8"/>
  <c r="E84" i="8"/>
  <c r="O83" i="8"/>
  <c r="N83" i="8"/>
  <c r="M83" i="8"/>
  <c r="L83" i="8"/>
  <c r="K83" i="8"/>
  <c r="J83" i="8"/>
  <c r="I83" i="8"/>
  <c r="H83" i="8"/>
  <c r="G83" i="8"/>
  <c r="F83" i="8"/>
  <c r="E83" i="8"/>
  <c r="O82" i="8"/>
  <c r="N82" i="8"/>
  <c r="M82" i="8"/>
  <c r="L82" i="8"/>
  <c r="K82" i="8"/>
  <c r="J82" i="8"/>
  <c r="I82" i="8"/>
  <c r="H82" i="8"/>
  <c r="G82" i="8"/>
  <c r="F82" i="8"/>
  <c r="E82" i="8"/>
  <c r="O81" i="8"/>
  <c r="N81" i="8"/>
  <c r="M81" i="8"/>
  <c r="L81" i="8"/>
  <c r="K81" i="8"/>
  <c r="J81" i="8"/>
  <c r="I81" i="8"/>
  <c r="H81" i="8"/>
  <c r="G81" i="8"/>
  <c r="F81" i="8"/>
  <c r="E81" i="8"/>
  <c r="O80" i="8"/>
  <c r="N80" i="8"/>
  <c r="M80" i="8"/>
  <c r="L80" i="8"/>
  <c r="K80" i="8"/>
  <c r="J80" i="8"/>
  <c r="I80" i="8"/>
  <c r="H80" i="8"/>
  <c r="G80" i="8"/>
  <c r="F80" i="8"/>
  <c r="E80" i="8"/>
  <c r="O79" i="8"/>
  <c r="N79" i="8"/>
  <c r="M79" i="8"/>
  <c r="L79" i="8"/>
  <c r="K79" i="8"/>
  <c r="J79" i="8"/>
  <c r="I79" i="8"/>
  <c r="H79" i="8"/>
  <c r="G79" i="8"/>
  <c r="F79" i="8"/>
  <c r="E79" i="8"/>
  <c r="O78" i="8"/>
  <c r="N78" i="8"/>
  <c r="M78" i="8"/>
  <c r="L78" i="8"/>
  <c r="K78" i="8"/>
  <c r="J78" i="8"/>
  <c r="I78" i="8"/>
  <c r="H78" i="8"/>
  <c r="G78" i="8"/>
  <c r="F78" i="8"/>
  <c r="E78" i="8"/>
  <c r="O77" i="8"/>
  <c r="N77" i="8"/>
  <c r="M77" i="8"/>
  <c r="L77" i="8"/>
  <c r="K77" i="8"/>
  <c r="J77" i="8"/>
  <c r="I77" i="8"/>
  <c r="H77" i="8"/>
  <c r="G77" i="8"/>
  <c r="F77" i="8"/>
  <c r="E77" i="8"/>
  <c r="O76" i="8"/>
  <c r="N76" i="8"/>
  <c r="M76" i="8"/>
  <c r="L76" i="8"/>
  <c r="K76" i="8"/>
  <c r="J76" i="8"/>
  <c r="I76" i="8"/>
  <c r="H76" i="8"/>
  <c r="G76" i="8"/>
  <c r="F76" i="8"/>
  <c r="E76" i="8"/>
  <c r="O75" i="8"/>
  <c r="N75" i="8"/>
  <c r="M75" i="8"/>
  <c r="L75" i="8"/>
  <c r="K75" i="8"/>
  <c r="J75" i="8"/>
  <c r="I75" i="8"/>
  <c r="H75" i="8"/>
  <c r="G75" i="8"/>
  <c r="F75" i="8"/>
  <c r="E75" i="8"/>
  <c r="O74" i="8"/>
  <c r="N74" i="8"/>
  <c r="M74" i="8"/>
  <c r="L74" i="8"/>
  <c r="K74" i="8"/>
  <c r="J74" i="8"/>
  <c r="I74" i="8"/>
  <c r="H74" i="8"/>
  <c r="G74" i="8"/>
  <c r="F74" i="8"/>
  <c r="E74" i="8"/>
  <c r="O73" i="8"/>
  <c r="N73" i="8"/>
  <c r="M73" i="8"/>
  <c r="L73" i="8"/>
  <c r="K73" i="8"/>
  <c r="J73" i="8"/>
  <c r="I73" i="8"/>
  <c r="H73" i="8"/>
  <c r="G73" i="8"/>
  <c r="F73" i="8"/>
  <c r="E73" i="8"/>
  <c r="O72" i="8"/>
  <c r="N72" i="8"/>
  <c r="M72" i="8"/>
  <c r="L72" i="8"/>
  <c r="K72" i="8"/>
  <c r="J72" i="8"/>
  <c r="I72" i="8"/>
  <c r="H72" i="8"/>
  <c r="G72" i="8"/>
  <c r="F72" i="8"/>
  <c r="E72" i="8"/>
  <c r="O71" i="8"/>
  <c r="N71" i="8"/>
  <c r="M71" i="8"/>
  <c r="L71" i="8"/>
  <c r="K71" i="8"/>
  <c r="J71" i="8"/>
  <c r="I71" i="8"/>
  <c r="H71" i="8"/>
  <c r="G71" i="8"/>
  <c r="F71" i="8"/>
  <c r="E71" i="8"/>
  <c r="O70" i="8"/>
  <c r="N70" i="8"/>
  <c r="M70" i="8"/>
  <c r="L70" i="8"/>
  <c r="K70" i="8"/>
  <c r="J70" i="8"/>
  <c r="I70" i="8"/>
  <c r="H70" i="8"/>
  <c r="G70" i="8"/>
  <c r="F70" i="8"/>
  <c r="E70" i="8"/>
  <c r="O69" i="8"/>
  <c r="N69" i="8"/>
  <c r="M69" i="8"/>
  <c r="L69" i="8"/>
  <c r="K69" i="8"/>
  <c r="J69" i="8"/>
  <c r="I69" i="8"/>
  <c r="H69" i="8"/>
  <c r="G69" i="8"/>
  <c r="F69" i="8"/>
  <c r="E69" i="8"/>
  <c r="O68" i="8"/>
  <c r="N68" i="8"/>
  <c r="M68" i="8"/>
  <c r="L68" i="8"/>
  <c r="K68" i="8"/>
  <c r="J68" i="8"/>
  <c r="I68" i="8"/>
  <c r="H68" i="8"/>
  <c r="G68" i="8"/>
  <c r="F68" i="8"/>
  <c r="E68" i="8"/>
  <c r="O67" i="8"/>
  <c r="N67" i="8"/>
  <c r="M67" i="8"/>
  <c r="L67" i="8"/>
  <c r="K67" i="8"/>
  <c r="J67" i="8"/>
  <c r="I67" i="8"/>
  <c r="H67" i="8"/>
  <c r="G67" i="8"/>
  <c r="F67" i="8"/>
  <c r="E67" i="8"/>
  <c r="O66" i="8"/>
  <c r="N66" i="8"/>
  <c r="M66" i="8"/>
  <c r="L66" i="8"/>
  <c r="K66" i="8"/>
  <c r="J66" i="8"/>
  <c r="I66" i="8"/>
  <c r="H66" i="8"/>
  <c r="G66" i="8"/>
  <c r="F66" i="8"/>
  <c r="E66" i="8"/>
  <c r="O65" i="8"/>
  <c r="N65" i="8"/>
  <c r="M65" i="8"/>
  <c r="L65" i="8"/>
  <c r="K65" i="8"/>
  <c r="J65" i="8"/>
  <c r="I65" i="8"/>
  <c r="H65" i="8"/>
  <c r="G65" i="8"/>
  <c r="F65" i="8"/>
  <c r="E65" i="8"/>
  <c r="O64" i="8"/>
  <c r="N64" i="8"/>
  <c r="M64" i="8"/>
  <c r="L64" i="8"/>
  <c r="K64" i="8"/>
  <c r="J64" i="8"/>
  <c r="I64" i="8"/>
  <c r="H64" i="8"/>
  <c r="G64" i="8"/>
  <c r="F64" i="8"/>
  <c r="E64" i="8"/>
  <c r="O63" i="8"/>
  <c r="N63" i="8"/>
  <c r="M63" i="8"/>
  <c r="L63" i="8"/>
  <c r="K63" i="8"/>
  <c r="J63" i="8"/>
  <c r="I63" i="8"/>
  <c r="H63" i="8"/>
  <c r="G63" i="8"/>
  <c r="F63" i="8"/>
  <c r="E63" i="8"/>
  <c r="O62" i="8"/>
  <c r="N62" i="8"/>
  <c r="M62" i="8"/>
  <c r="L62" i="8"/>
  <c r="K62" i="8"/>
  <c r="J62" i="8"/>
  <c r="I62" i="8"/>
  <c r="H62" i="8"/>
  <c r="G62" i="8"/>
  <c r="F62" i="8"/>
  <c r="E62" i="8"/>
  <c r="O61" i="8"/>
  <c r="N61" i="8"/>
  <c r="M61" i="8"/>
  <c r="L61" i="8"/>
  <c r="K61" i="8"/>
  <c r="J61" i="8"/>
  <c r="I61" i="8"/>
  <c r="H61" i="8"/>
  <c r="G61" i="8"/>
  <c r="F61" i="8"/>
  <c r="E61" i="8"/>
  <c r="O60" i="8"/>
  <c r="N60" i="8"/>
  <c r="M60" i="8"/>
  <c r="L60" i="8"/>
  <c r="K60" i="8"/>
  <c r="J60" i="8"/>
  <c r="I60" i="8"/>
  <c r="H60" i="8"/>
  <c r="G60" i="8"/>
  <c r="F60" i="8"/>
  <c r="E60" i="8"/>
  <c r="O59" i="8"/>
  <c r="N59" i="8"/>
  <c r="M59" i="8"/>
  <c r="L59" i="8"/>
  <c r="K59" i="8"/>
  <c r="J59" i="8"/>
  <c r="I59" i="8"/>
  <c r="H59" i="8"/>
  <c r="G59" i="8"/>
  <c r="F59" i="8"/>
  <c r="E59" i="8"/>
  <c r="O58" i="8"/>
  <c r="N58" i="8"/>
  <c r="M58" i="8"/>
  <c r="L58" i="8"/>
  <c r="K58" i="8"/>
  <c r="J58" i="8"/>
  <c r="I58" i="8"/>
  <c r="H58" i="8"/>
  <c r="G58" i="8"/>
  <c r="F58" i="8"/>
  <c r="E58" i="8"/>
  <c r="O57" i="8"/>
  <c r="N57" i="8"/>
  <c r="M57" i="8"/>
  <c r="L57" i="8"/>
  <c r="K57" i="8"/>
  <c r="J57" i="8"/>
  <c r="I57" i="8"/>
  <c r="H57" i="8"/>
  <c r="G57" i="8"/>
  <c r="F57" i="8"/>
  <c r="E57" i="8"/>
  <c r="O56" i="8"/>
  <c r="N56" i="8"/>
  <c r="M56" i="8"/>
  <c r="L56" i="8"/>
  <c r="K56" i="8"/>
  <c r="J56" i="8"/>
  <c r="I56" i="8"/>
  <c r="H56" i="8"/>
  <c r="G56" i="8"/>
  <c r="F56" i="8"/>
  <c r="E56" i="8"/>
  <c r="O55" i="8"/>
  <c r="N55" i="8"/>
  <c r="M55" i="8"/>
  <c r="L55" i="8"/>
  <c r="K55" i="8"/>
  <c r="J55" i="8"/>
  <c r="I55" i="8"/>
  <c r="H55" i="8"/>
  <c r="G55" i="8"/>
  <c r="F55" i="8"/>
  <c r="E55" i="8"/>
  <c r="O54" i="8"/>
  <c r="N54" i="8"/>
  <c r="M54" i="8"/>
  <c r="L54" i="8"/>
  <c r="K54" i="8"/>
  <c r="J54" i="8"/>
  <c r="I54" i="8"/>
  <c r="H54" i="8"/>
  <c r="G54" i="8"/>
  <c r="F54" i="8"/>
  <c r="E54" i="8"/>
  <c r="O53" i="8"/>
  <c r="N53" i="8"/>
  <c r="M53" i="8"/>
  <c r="L53" i="8"/>
  <c r="K53" i="8"/>
  <c r="J53" i="8"/>
  <c r="I53" i="8"/>
  <c r="H53" i="8"/>
  <c r="G53" i="8"/>
  <c r="F53" i="8"/>
  <c r="E53" i="8"/>
  <c r="O52" i="8"/>
  <c r="N52" i="8"/>
  <c r="M52" i="8"/>
  <c r="L52" i="8"/>
  <c r="K52" i="8"/>
  <c r="J52" i="8"/>
  <c r="I52" i="8"/>
  <c r="H52" i="8"/>
  <c r="G52" i="8"/>
  <c r="F52" i="8"/>
  <c r="E52" i="8"/>
  <c r="O51" i="8"/>
  <c r="N51" i="8"/>
  <c r="M51" i="8"/>
  <c r="L51" i="8"/>
  <c r="K51" i="8"/>
  <c r="J51" i="8"/>
  <c r="I51" i="8"/>
  <c r="H51" i="8"/>
  <c r="G51" i="8"/>
  <c r="F51" i="8"/>
  <c r="E51" i="8"/>
  <c r="O50" i="8"/>
  <c r="N50" i="8"/>
  <c r="M50" i="8"/>
  <c r="L50" i="8"/>
  <c r="K50" i="8"/>
  <c r="J50" i="8"/>
  <c r="I50" i="8"/>
  <c r="H50" i="8"/>
  <c r="G50" i="8"/>
  <c r="F50" i="8"/>
  <c r="E50" i="8"/>
  <c r="O49" i="8"/>
  <c r="N49" i="8"/>
  <c r="M49" i="8"/>
  <c r="L49" i="8"/>
  <c r="K49" i="8"/>
  <c r="J49" i="8"/>
  <c r="I49" i="8"/>
  <c r="H49" i="8"/>
  <c r="G49" i="8"/>
  <c r="F49" i="8"/>
  <c r="E49" i="8"/>
  <c r="O48" i="8"/>
  <c r="N48" i="8"/>
  <c r="M48" i="8"/>
  <c r="L48" i="8"/>
  <c r="K48" i="8"/>
  <c r="J48" i="8"/>
  <c r="I48" i="8"/>
  <c r="H48" i="8"/>
  <c r="G48" i="8"/>
  <c r="F48" i="8"/>
  <c r="E48" i="8"/>
  <c r="O47" i="8"/>
  <c r="N47" i="8"/>
  <c r="M47" i="8"/>
  <c r="L47" i="8"/>
  <c r="K47" i="8"/>
  <c r="J47" i="8"/>
  <c r="I47" i="8"/>
  <c r="H47" i="8"/>
  <c r="G47" i="8"/>
  <c r="F47" i="8"/>
  <c r="E47" i="8"/>
  <c r="O46" i="8"/>
  <c r="N46" i="8"/>
  <c r="M46" i="8"/>
  <c r="L46" i="8"/>
  <c r="K46" i="8"/>
  <c r="J46" i="8"/>
  <c r="I46" i="8"/>
  <c r="H46" i="8"/>
  <c r="G46" i="8"/>
  <c r="F46" i="8"/>
  <c r="E46" i="8"/>
  <c r="O45" i="8"/>
  <c r="N45" i="8"/>
  <c r="M45" i="8"/>
  <c r="L45" i="8"/>
  <c r="K45" i="8"/>
  <c r="J45" i="8"/>
  <c r="I45" i="8"/>
  <c r="H45" i="8"/>
  <c r="G45" i="8"/>
  <c r="F45" i="8"/>
  <c r="E45" i="8"/>
  <c r="O44" i="8"/>
  <c r="N44" i="8"/>
  <c r="M44" i="8"/>
  <c r="L44" i="8"/>
  <c r="K44" i="8"/>
  <c r="J44" i="8"/>
  <c r="I44" i="8"/>
  <c r="H44" i="8"/>
  <c r="G44" i="8"/>
  <c r="F44" i="8"/>
  <c r="E44" i="8"/>
  <c r="O43" i="8"/>
  <c r="N43" i="8"/>
  <c r="M43" i="8"/>
  <c r="L43" i="8"/>
  <c r="K43" i="8"/>
  <c r="J43" i="8"/>
  <c r="I43" i="8"/>
  <c r="H43" i="8"/>
  <c r="G43" i="8"/>
  <c r="F43" i="8"/>
  <c r="E43" i="8"/>
  <c r="O42" i="8"/>
  <c r="N42" i="8"/>
  <c r="M42" i="8"/>
  <c r="L42" i="8"/>
  <c r="K42" i="8"/>
  <c r="J42" i="8"/>
  <c r="I42" i="8"/>
  <c r="H42" i="8"/>
  <c r="G42" i="8"/>
  <c r="F42" i="8"/>
  <c r="E42" i="8"/>
  <c r="O41" i="8"/>
  <c r="N41" i="8"/>
  <c r="M41" i="8"/>
  <c r="L41" i="8"/>
  <c r="K41" i="8"/>
  <c r="J41" i="8"/>
  <c r="I41" i="8"/>
  <c r="H41" i="8"/>
  <c r="G41" i="8"/>
  <c r="F41" i="8"/>
  <c r="E41" i="8"/>
  <c r="O40" i="8"/>
  <c r="N40" i="8"/>
  <c r="M40" i="8"/>
  <c r="L40" i="8"/>
  <c r="K40" i="8"/>
  <c r="J40" i="8"/>
  <c r="I40" i="8"/>
  <c r="H40" i="8"/>
  <c r="G40" i="8"/>
  <c r="F40" i="8"/>
  <c r="E40" i="8"/>
  <c r="O39" i="8"/>
  <c r="N39" i="8"/>
  <c r="M39" i="8"/>
  <c r="L39" i="8"/>
  <c r="K39" i="8"/>
  <c r="J39" i="8"/>
  <c r="I39" i="8"/>
  <c r="H39" i="8"/>
  <c r="G39" i="8"/>
  <c r="F39" i="8"/>
  <c r="E39" i="8"/>
  <c r="O38" i="8"/>
  <c r="N38" i="8"/>
  <c r="M38" i="8"/>
  <c r="L38" i="8"/>
  <c r="K38" i="8"/>
  <c r="J38" i="8"/>
  <c r="I38" i="8"/>
  <c r="H38" i="8"/>
  <c r="G38" i="8"/>
  <c r="F38" i="8"/>
  <c r="E38" i="8"/>
  <c r="O37" i="8"/>
  <c r="N37" i="8"/>
  <c r="M37" i="8"/>
  <c r="L37" i="8"/>
  <c r="K37" i="8"/>
  <c r="J37" i="8"/>
  <c r="I37" i="8"/>
  <c r="H37" i="8"/>
  <c r="G37" i="8"/>
  <c r="F37" i="8"/>
  <c r="E37" i="8"/>
  <c r="O36" i="8"/>
  <c r="N36" i="8"/>
  <c r="M36" i="8"/>
  <c r="L36" i="8"/>
  <c r="K36" i="8"/>
  <c r="J36" i="8"/>
  <c r="I36" i="8"/>
  <c r="H36" i="8"/>
  <c r="G36" i="8"/>
  <c r="F36" i="8"/>
  <c r="E36" i="8"/>
  <c r="O35" i="8"/>
  <c r="N35" i="8"/>
  <c r="M35" i="8"/>
  <c r="L35" i="8"/>
  <c r="K35" i="8"/>
  <c r="J35" i="8"/>
  <c r="I35" i="8"/>
  <c r="H35" i="8"/>
  <c r="G35" i="8"/>
  <c r="F35" i="8"/>
  <c r="E35" i="8"/>
  <c r="O34" i="8"/>
  <c r="N34" i="8"/>
  <c r="M34" i="8"/>
  <c r="L34" i="8"/>
  <c r="K34" i="8"/>
  <c r="J34" i="8"/>
  <c r="I34" i="8"/>
  <c r="H34" i="8"/>
  <c r="G34" i="8"/>
  <c r="F34" i="8"/>
  <c r="E34" i="8"/>
  <c r="O33" i="8"/>
  <c r="N33" i="8"/>
  <c r="M33" i="8"/>
  <c r="L33" i="8"/>
  <c r="K33" i="8"/>
  <c r="J33" i="8"/>
  <c r="I33" i="8"/>
  <c r="H33" i="8"/>
  <c r="G33" i="8"/>
  <c r="F33" i="8"/>
  <c r="E33" i="8"/>
  <c r="O32" i="8"/>
  <c r="N32" i="8"/>
  <c r="M32" i="8"/>
  <c r="L32" i="8"/>
  <c r="K32" i="8"/>
  <c r="J32" i="8"/>
  <c r="I32" i="8"/>
  <c r="H32" i="8"/>
  <c r="G32" i="8"/>
  <c r="F32" i="8"/>
  <c r="E32" i="8"/>
  <c r="O31" i="8"/>
  <c r="N31" i="8"/>
  <c r="M31" i="8"/>
  <c r="L31" i="8"/>
  <c r="K31" i="8"/>
  <c r="J31" i="8"/>
  <c r="I31" i="8"/>
  <c r="H31" i="8"/>
  <c r="G31" i="8"/>
  <c r="F31" i="8"/>
  <c r="E31" i="8"/>
  <c r="O30" i="8"/>
  <c r="N30" i="8"/>
  <c r="M30" i="8"/>
  <c r="L30" i="8"/>
  <c r="K30" i="8"/>
  <c r="J30" i="8"/>
  <c r="I30" i="8"/>
  <c r="H30" i="8"/>
  <c r="G30" i="8"/>
  <c r="F30" i="8"/>
  <c r="E30" i="8"/>
  <c r="O29" i="8"/>
  <c r="N29" i="8"/>
  <c r="M29" i="8"/>
  <c r="L29" i="8"/>
  <c r="K29" i="8"/>
  <c r="J29" i="8"/>
  <c r="I29" i="8"/>
  <c r="H29" i="8"/>
  <c r="G29" i="8"/>
  <c r="F29" i="8"/>
  <c r="E29" i="8"/>
  <c r="O28" i="8"/>
  <c r="N28" i="8"/>
  <c r="M28" i="8"/>
  <c r="L28" i="8"/>
  <c r="K28" i="8"/>
  <c r="J28" i="8"/>
  <c r="I28" i="8"/>
  <c r="H28" i="8"/>
  <c r="G28" i="8"/>
  <c r="F28" i="8"/>
  <c r="E28" i="8"/>
  <c r="O27" i="8"/>
  <c r="N27" i="8"/>
  <c r="M27" i="8"/>
  <c r="L27" i="8"/>
  <c r="K27" i="8"/>
  <c r="J27" i="8"/>
  <c r="I27" i="8"/>
  <c r="H27" i="8"/>
  <c r="G27" i="8"/>
  <c r="F27" i="8"/>
  <c r="E27" i="8"/>
  <c r="O26" i="8"/>
  <c r="N26" i="8"/>
  <c r="M26" i="8"/>
  <c r="L26" i="8"/>
  <c r="K26" i="8"/>
  <c r="J26" i="8"/>
  <c r="I26" i="8"/>
  <c r="H26" i="8"/>
  <c r="G26" i="8"/>
  <c r="F26" i="8"/>
  <c r="E26" i="8"/>
  <c r="O25" i="8"/>
  <c r="N25" i="8"/>
  <c r="M25" i="8"/>
  <c r="L25" i="8"/>
  <c r="K25" i="8"/>
  <c r="J25" i="8"/>
  <c r="I25" i="8"/>
  <c r="H25" i="8"/>
  <c r="G25" i="8"/>
  <c r="F25" i="8"/>
  <c r="E25" i="8"/>
  <c r="O24" i="8"/>
  <c r="N24" i="8"/>
  <c r="M24" i="8"/>
  <c r="L24" i="8"/>
  <c r="K24" i="8"/>
  <c r="J24" i="8"/>
  <c r="I24" i="8"/>
  <c r="H24" i="8"/>
  <c r="G24" i="8"/>
  <c r="F24" i="8"/>
  <c r="E24" i="8"/>
  <c r="O23" i="8"/>
  <c r="N23" i="8"/>
  <c r="M23" i="8"/>
  <c r="L23" i="8"/>
  <c r="K23" i="8"/>
  <c r="J23" i="8"/>
  <c r="I23" i="8"/>
  <c r="H23" i="8"/>
  <c r="G23" i="8"/>
  <c r="F23" i="8"/>
  <c r="E23" i="8"/>
  <c r="O22" i="8"/>
  <c r="N22" i="8"/>
  <c r="M22" i="8"/>
  <c r="L22" i="8"/>
  <c r="K22" i="8"/>
  <c r="J22" i="8"/>
  <c r="I22" i="8"/>
  <c r="H22" i="8"/>
  <c r="G22" i="8"/>
  <c r="F22" i="8"/>
  <c r="E22" i="8"/>
  <c r="O21" i="8"/>
  <c r="N21" i="8"/>
  <c r="M21" i="8"/>
  <c r="L21" i="8"/>
  <c r="K21" i="8"/>
  <c r="J21" i="8"/>
  <c r="I21" i="8"/>
  <c r="H21" i="8"/>
  <c r="G21" i="8"/>
  <c r="F21" i="8"/>
  <c r="E21" i="8"/>
  <c r="O20" i="8"/>
  <c r="N20" i="8"/>
  <c r="M20" i="8"/>
  <c r="L20" i="8"/>
  <c r="K20" i="8"/>
  <c r="J20" i="8"/>
  <c r="I20" i="8"/>
  <c r="H20" i="8"/>
  <c r="G20" i="8"/>
  <c r="F20" i="8"/>
  <c r="E20" i="8"/>
  <c r="O19" i="8"/>
  <c r="N19" i="8"/>
  <c r="M19" i="8"/>
  <c r="L19" i="8"/>
  <c r="K19" i="8"/>
  <c r="J19" i="8"/>
  <c r="I19" i="8"/>
  <c r="H19" i="8"/>
  <c r="G19" i="8"/>
  <c r="F19" i="8"/>
  <c r="E19" i="8"/>
  <c r="O18" i="8"/>
  <c r="N18" i="8"/>
  <c r="M18" i="8"/>
  <c r="L18" i="8"/>
  <c r="K18" i="8"/>
  <c r="J18" i="8"/>
  <c r="I18" i="8"/>
  <c r="H18" i="8"/>
  <c r="G18" i="8"/>
  <c r="F18" i="8"/>
  <c r="E18" i="8"/>
  <c r="O17" i="8"/>
  <c r="N17" i="8"/>
  <c r="M17" i="8"/>
  <c r="L17" i="8"/>
  <c r="K17" i="8"/>
  <c r="J17" i="8"/>
  <c r="I17" i="8"/>
  <c r="H17" i="8"/>
  <c r="G17" i="8"/>
  <c r="F17" i="8"/>
  <c r="E17" i="8"/>
  <c r="O16" i="8"/>
  <c r="N16" i="8"/>
  <c r="M16" i="8"/>
  <c r="L16" i="8"/>
  <c r="K16" i="8"/>
  <c r="J16" i="8"/>
  <c r="I16" i="8"/>
  <c r="H16" i="8"/>
  <c r="G16" i="8"/>
  <c r="F16" i="8"/>
  <c r="E16" i="8"/>
  <c r="O15" i="8"/>
  <c r="N15" i="8"/>
  <c r="M15" i="8"/>
  <c r="L15" i="8"/>
  <c r="K15" i="8"/>
  <c r="J15" i="8"/>
  <c r="I15" i="8"/>
  <c r="H15" i="8"/>
  <c r="G15" i="8"/>
  <c r="F15" i="8"/>
  <c r="E15" i="8"/>
  <c r="O14" i="8"/>
  <c r="N14" i="8"/>
  <c r="M14" i="8"/>
  <c r="L14" i="8"/>
  <c r="K14" i="8"/>
  <c r="J14" i="8"/>
  <c r="I14" i="8"/>
  <c r="H14" i="8"/>
  <c r="G14" i="8"/>
  <c r="F14" i="8"/>
  <c r="E14" i="8"/>
  <c r="O13" i="8"/>
  <c r="N13" i="8"/>
  <c r="M13" i="8"/>
  <c r="L13" i="8"/>
  <c r="K13" i="8"/>
  <c r="J13" i="8"/>
  <c r="I13" i="8"/>
  <c r="H13" i="8"/>
  <c r="G13" i="8"/>
  <c r="F13" i="8"/>
  <c r="E13" i="8"/>
  <c r="O12" i="8"/>
  <c r="N12" i="8"/>
  <c r="M12" i="8"/>
  <c r="L12" i="8"/>
  <c r="K12" i="8"/>
  <c r="J12" i="8"/>
  <c r="I12" i="8"/>
  <c r="H12" i="8"/>
  <c r="G12" i="8"/>
  <c r="F12" i="8"/>
  <c r="E12" i="8"/>
  <c r="O11" i="8"/>
  <c r="N11" i="8"/>
  <c r="M11" i="8"/>
  <c r="L11" i="8"/>
  <c r="K11" i="8"/>
  <c r="J11" i="8"/>
  <c r="I11" i="8"/>
  <c r="H11" i="8"/>
  <c r="G11" i="8"/>
  <c r="F11" i="8"/>
  <c r="E11" i="8"/>
  <c r="O10" i="8"/>
  <c r="N10" i="8"/>
  <c r="M10" i="8"/>
  <c r="L10" i="8"/>
  <c r="K10" i="8"/>
  <c r="J10" i="8"/>
  <c r="I10" i="8"/>
  <c r="H10" i="8"/>
  <c r="G10" i="8"/>
  <c r="F10" i="8"/>
  <c r="E10" i="8"/>
  <c r="O9" i="8"/>
  <c r="N9" i="8"/>
  <c r="M9" i="8"/>
  <c r="L9" i="8"/>
  <c r="K9" i="8"/>
  <c r="J9" i="8"/>
  <c r="I9" i="8"/>
  <c r="H9" i="8"/>
  <c r="G9" i="8"/>
  <c r="F9" i="8"/>
  <c r="E9" i="8"/>
  <c r="O8" i="8"/>
  <c r="N8" i="8"/>
  <c r="M8" i="8"/>
  <c r="L8" i="8"/>
  <c r="K8" i="8"/>
  <c r="J8" i="8"/>
  <c r="I8" i="8"/>
  <c r="H8" i="8"/>
  <c r="G8" i="8"/>
  <c r="F8" i="8"/>
  <c r="E8" i="8"/>
  <c r="O7" i="8"/>
  <c r="N7" i="8"/>
  <c r="M7" i="8"/>
  <c r="L7" i="8"/>
  <c r="K7" i="8"/>
  <c r="J7" i="8"/>
  <c r="I7" i="8"/>
  <c r="H7" i="8"/>
  <c r="G7" i="8"/>
  <c r="F7" i="8"/>
  <c r="E7" i="8"/>
  <c r="O6" i="8"/>
  <c r="N6" i="8"/>
  <c r="M6" i="8"/>
  <c r="L6" i="8"/>
  <c r="K6" i="8"/>
  <c r="J6" i="8"/>
  <c r="I6" i="8"/>
  <c r="H6" i="8"/>
  <c r="G6" i="8"/>
  <c r="F6" i="8"/>
  <c r="E6" i="8"/>
  <c r="O5" i="8"/>
  <c r="N5" i="8"/>
  <c r="M5" i="8"/>
  <c r="L5" i="8"/>
  <c r="K5" i="8"/>
  <c r="J5" i="8"/>
  <c r="I5" i="8"/>
  <c r="H5" i="8"/>
  <c r="G5" i="8"/>
  <c r="F5" i="8"/>
  <c r="E5" i="8"/>
  <c r="O4" i="8"/>
  <c r="N4" i="8"/>
  <c r="M4" i="8"/>
  <c r="L4" i="8"/>
  <c r="K4" i="8"/>
  <c r="J4" i="8"/>
  <c r="I4" i="8"/>
  <c r="H4" i="8"/>
  <c r="G4" i="8"/>
  <c r="F4" i="8"/>
  <c r="E4" i="8"/>
  <c r="O3" i="8"/>
  <c r="N3" i="8"/>
  <c r="M3" i="8"/>
  <c r="L3" i="8"/>
  <c r="K3" i="8"/>
  <c r="J3" i="8"/>
  <c r="I3" i="8"/>
  <c r="H3" i="8"/>
  <c r="G3" i="8"/>
  <c r="F3" i="8"/>
  <c r="E3" i="8"/>
  <c r="O2" i="8"/>
  <c r="N2" i="8"/>
  <c r="M2" i="8"/>
  <c r="L2" i="8"/>
  <c r="K2" i="8"/>
  <c r="J2" i="8"/>
  <c r="I2" i="8"/>
  <c r="H2" i="8"/>
  <c r="G2" i="8"/>
  <c r="F2" i="8"/>
  <c r="E2" i="8"/>
  <c r="O4" i="2"/>
  <c r="O47" i="2"/>
  <c r="N2" i="7"/>
  <c r="S4" i="10" l="1"/>
  <c r="R6" i="10"/>
  <c r="T9" i="10"/>
  <c r="T8" i="10"/>
  <c r="T7" i="10"/>
  <c r="T6" i="10"/>
  <c r="T5" i="10"/>
  <c r="T4" i="10"/>
  <c r="R9" i="10"/>
  <c r="R3" i="10"/>
  <c r="Q10" i="10"/>
  <c r="Q9" i="10"/>
  <c r="Q8" i="10"/>
  <c r="Q6" i="10"/>
  <c r="Q5" i="10"/>
  <c r="Q4" i="10"/>
  <c r="Q3" i="10"/>
  <c r="P10" i="10"/>
  <c r="P9" i="10"/>
  <c r="P8" i="10"/>
  <c r="P7" i="10"/>
  <c r="P6" i="10"/>
  <c r="P5" i="10"/>
  <c r="P4" i="10"/>
  <c r="P3" i="10"/>
  <c r="R8" i="10"/>
  <c r="O10" i="10"/>
  <c r="O9" i="10"/>
  <c r="O8" i="10"/>
  <c r="O6" i="10"/>
  <c r="O5" i="10"/>
  <c r="O4" i="10"/>
  <c r="O3" i="10"/>
  <c r="S8" i="10"/>
  <c r="N10" i="10"/>
  <c r="N9" i="10"/>
  <c r="N8" i="10"/>
  <c r="N6" i="10"/>
  <c r="N5" i="10"/>
  <c r="N4" i="10"/>
  <c r="N3" i="10"/>
  <c r="F79" i="1"/>
  <c r="E2" i="1"/>
  <c r="E3" i="1"/>
  <c r="E4" i="1"/>
  <c r="E5" i="1"/>
  <c r="E6" i="1"/>
  <c r="E7" i="1"/>
  <c r="E8" i="1"/>
  <c r="E9" i="1"/>
  <c r="E10" i="1"/>
  <c r="E11" i="1"/>
  <c r="E12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80" i="1"/>
  <c r="E81" i="1"/>
  <c r="E82" i="1"/>
  <c r="E83" i="1"/>
  <c r="E84" i="1"/>
  <c r="E85" i="1"/>
  <c r="E86" i="1"/>
  <c r="E87" i="1"/>
  <c r="E88" i="1"/>
  <c r="E89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5" i="1"/>
  <c r="E116" i="1"/>
  <c r="E117" i="1"/>
  <c r="E118" i="1"/>
  <c r="E119" i="1"/>
  <c r="E120" i="1"/>
  <c r="E121" i="1"/>
  <c r="E122" i="1"/>
  <c r="E123" i="1"/>
  <c r="E124" i="1"/>
  <c r="E126" i="1"/>
  <c r="E127" i="1"/>
  <c r="E128" i="1"/>
  <c r="E130" i="1"/>
  <c r="E131" i="1"/>
  <c r="E132" i="1"/>
  <c r="E133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7" i="1"/>
  <c r="E209" i="1"/>
  <c r="E210" i="1"/>
  <c r="E211" i="1"/>
  <c r="E212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AC3" i="2"/>
  <c r="AC2" i="2"/>
  <c r="P57" i="7" s="1"/>
  <c r="AC3" i="1"/>
  <c r="AC2" i="1"/>
  <c r="O104" i="2"/>
  <c r="N104" i="2"/>
  <c r="M104" i="2"/>
  <c r="L104" i="2"/>
  <c r="K104" i="2"/>
  <c r="J104" i="2"/>
  <c r="I104" i="2"/>
  <c r="H104" i="2"/>
  <c r="G104" i="2"/>
  <c r="F104" i="2"/>
  <c r="O87" i="2"/>
  <c r="N87" i="2"/>
  <c r="M87" i="2"/>
  <c r="L87" i="2"/>
  <c r="K87" i="2"/>
  <c r="J87" i="2"/>
  <c r="I87" i="2"/>
  <c r="H87" i="2"/>
  <c r="G87" i="2"/>
  <c r="F87" i="2"/>
  <c r="N47" i="2"/>
  <c r="M47" i="2"/>
  <c r="L47" i="2"/>
  <c r="K47" i="2"/>
  <c r="J47" i="2"/>
  <c r="I47" i="2"/>
  <c r="H47" i="2"/>
  <c r="G47" i="2"/>
  <c r="F47" i="2"/>
  <c r="O264" i="1"/>
  <c r="N264" i="1"/>
  <c r="M264" i="1"/>
  <c r="L264" i="1"/>
  <c r="K264" i="1"/>
  <c r="J264" i="1"/>
  <c r="I264" i="1"/>
  <c r="H264" i="1"/>
  <c r="G264" i="1"/>
  <c r="F264" i="1"/>
  <c r="O213" i="1"/>
  <c r="N213" i="1"/>
  <c r="M213" i="1"/>
  <c r="L213" i="1"/>
  <c r="K213" i="1"/>
  <c r="J213" i="1"/>
  <c r="I213" i="1"/>
  <c r="H213" i="1"/>
  <c r="G213" i="1"/>
  <c r="F213" i="1"/>
  <c r="O208" i="1"/>
  <c r="N208" i="1"/>
  <c r="M208" i="1"/>
  <c r="L208" i="1"/>
  <c r="K208" i="1"/>
  <c r="J208" i="1"/>
  <c r="I208" i="1"/>
  <c r="H208" i="1"/>
  <c r="G208" i="1"/>
  <c r="F208" i="1"/>
  <c r="O206" i="1"/>
  <c r="N206" i="1"/>
  <c r="M206" i="1"/>
  <c r="L206" i="1"/>
  <c r="K206" i="1"/>
  <c r="J206" i="1"/>
  <c r="I206" i="1"/>
  <c r="H206" i="1"/>
  <c r="G206" i="1"/>
  <c r="F206" i="1"/>
  <c r="O134" i="1"/>
  <c r="N134" i="1"/>
  <c r="M134" i="1"/>
  <c r="L134" i="1"/>
  <c r="K134" i="1"/>
  <c r="J134" i="1"/>
  <c r="I134" i="1"/>
  <c r="H134" i="1"/>
  <c r="G134" i="1"/>
  <c r="F134" i="1"/>
  <c r="E134" i="1" s="1"/>
  <c r="O129" i="1"/>
  <c r="N129" i="1"/>
  <c r="M129" i="1"/>
  <c r="L129" i="1"/>
  <c r="K129" i="1"/>
  <c r="J129" i="1"/>
  <c r="I129" i="1"/>
  <c r="H129" i="1"/>
  <c r="G129" i="1"/>
  <c r="F129" i="1"/>
  <c r="O125" i="1"/>
  <c r="N125" i="1"/>
  <c r="M125" i="1"/>
  <c r="L125" i="1"/>
  <c r="K125" i="1"/>
  <c r="J125" i="1"/>
  <c r="I125" i="1"/>
  <c r="H125" i="1"/>
  <c r="G125" i="1"/>
  <c r="F125" i="1"/>
  <c r="O114" i="1"/>
  <c r="N114" i="1"/>
  <c r="M114" i="1"/>
  <c r="L114" i="1"/>
  <c r="K114" i="1"/>
  <c r="J114" i="1"/>
  <c r="I114" i="1"/>
  <c r="H114" i="1"/>
  <c r="G114" i="1"/>
  <c r="F114" i="1"/>
  <c r="O90" i="1"/>
  <c r="N90" i="1"/>
  <c r="M90" i="1"/>
  <c r="L90" i="1"/>
  <c r="K90" i="1"/>
  <c r="J90" i="1"/>
  <c r="I90" i="1"/>
  <c r="H90" i="1"/>
  <c r="G90" i="1"/>
  <c r="F90" i="1"/>
  <c r="E90" i="1" s="1"/>
  <c r="O79" i="1"/>
  <c r="N79" i="1"/>
  <c r="M79" i="1"/>
  <c r="L79" i="1"/>
  <c r="K79" i="1"/>
  <c r="J79" i="1"/>
  <c r="I79" i="1"/>
  <c r="H79" i="1"/>
  <c r="G79" i="1"/>
  <c r="O13" i="1"/>
  <c r="N13" i="1"/>
  <c r="M13" i="1"/>
  <c r="L13" i="1"/>
  <c r="K13" i="1"/>
  <c r="J13" i="1"/>
  <c r="I13" i="1"/>
  <c r="H13" i="1"/>
  <c r="G13" i="1"/>
  <c r="F13" i="1"/>
  <c r="E85" i="2"/>
  <c r="E84" i="2"/>
  <c r="E83" i="2"/>
  <c r="E82" i="2"/>
  <c r="E81" i="2"/>
  <c r="E80" i="2"/>
  <c r="E79" i="2"/>
  <c r="E78" i="2"/>
  <c r="E61" i="2"/>
  <c r="E60" i="2"/>
  <c r="E59" i="2"/>
  <c r="E58" i="2"/>
  <c r="E57" i="2"/>
  <c r="E56" i="2"/>
  <c r="E55" i="2"/>
  <c r="E54" i="2"/>
  <c r="E45" i="2"/>
  <c r="E44" i="2"/>
  <c r="E43" i="2"/>
  <c r="E42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6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53" i="2"/>
  <c r="E52" i="2"/>
  <c r="E51" i="2"/>
  <c r="E50" i="2"/>
  <c r="E49" i="2"/>
  <c r="E48" i="2"/>
  <c r="E46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X3" i="2" l="1"/>
  <c r="P96" i="7"/>
  <c r="P88" i="7"/>
  <c r="P80" i="7"/>
  <c r="P72" i="7"/>
  <c r="P64" i="7"/>
  <c r="P33" i="7"/>
  <c r="Z3" i="2"/>
  <c r="P86" i="7"/>
  <c r="P70" i="7"/>
  <c r="P2" i="7"/>
  <c r="P4" i="7"/>
  <c r="P6" i="7"/>
  <c r="P8" i="7"/>
  <c r="P10" i="7"/>
  <c r="P12" i="7"/>
  <c r="P14" i="7"/>
  <c r="P16" i="7"/>
  <c r="P18" i="7"/>
  <c r="P20" i="7"/>
  <c r="P22" i="7"/>
  <c r="P24" i="7"/>
  <c r="P26" i="7"/>
  <c r="P28" i="7"/>
  <c r="P30" i="7"/>
  <c r="P32" i="7"/>
  <c r="P34" i="7"/>
  <c r="P36" i="7"/>
  <c r="P38" i="7"/>
  <c r="P40" i="7"/>
  <c r="P42" i="7"/>
  <c r="P44" i="7"/>
  <c r="P46" i="7"/>
  <c r="P48" i="7"/>
  <c r="P50" i="7"/>
  <c r="P52" i="7"/>
  <c r="P54" i="7"/>
  <c r="P56" i="7"/>
  <c r="P7" i="7"/>
  <c r="P15" i="7"/>
  <c r="P23" i="7"/>
  <c r="P31" i="7"/>
  <c r="P39" i="7"/>
  <c r="P47" i="7"/>
  <c r="P55" i="7"/>
  <c r="P59" i="7"/>
  <c r="P61" i="7"/>
  <c r="P63" i="7"/>
  <c r="P65" i="7"/>
  <c r="P67" i="7"/>
  <c r="P69" i="7"/>
  <c r="P71" i="7"/>
  <c r="P73" i="7"/>
  <c r="P75" i="7"/>
  <c r="P77" i="7"/>
  <c r="P79" i="7"/>
  <c r="P81" i="7"/>
  <c r="P83" i="7"/>
  <c r="P85" i="7"/>
  <c r="P87" i="7"/>
  <c r="P89" i="7"/>
  <c r="P91" i="7"/>
  <c r="P93" i="7"/>
  <c r="P95" i="7"/>
  <c r="P97" i="7"/>
  <c r="P99" i="7"/>
  <c r="P5" i="7"/>
  <c r="P13" i="7"/>
  <c r="P21" i="7"/>
  <c r="P29" i="7"/>
  <c r="P37" i="7"/>
  <c r="P45" i="7"/>
  <c r="P53" i="7"/>
  <c r="P3" i="7"/>
  <c r="P11" i="7"/>
  <c r="P19" i="7"/>
  <c r="P27" i="7"/>
  <c r="P35" i="7"/>
  <c r="P43" i="7"/>
  <c r="P51" i="7"/>
  <c r="P117" i="7"/>
  <c r="P115" i="7"/>
  <c r="P113" i="7"/>
  <c r="P111" i="7"/>
  <c r="P109" i="7"/>
  <c r="P107" i="7"/>
  <c r="P105" i="7"/>
  <c r="P103" i="7"/>
  <c r="P101" i="7"/>
  <c r="P100" i="7"/>
  <c r="P84" i="7"/>
  <c r="P68" i="7"/>
  <c r="P49" i="7"/>
  <c r="P98" i="7"/>
  <c r="P82" i="7"/>
  <c r="P66" i="7"/>
  <c r="P41" i="7"/>
  <c r="P94" i="7"/>
  <c r="P78" i="7"/>
  <c r="P62" i="7"/>
  <c r="P25" i="7"/>
  <c r="P116" i="7"/>
  <c r="P114" i="7"/>
  <c r="P112" i="7"/>
  <c r="P110" i="7"/>
  <c r="P108" i="7"/>
  <c r="P106" i="7"/>
  <c r="P104" i="7"/>
  <c r="P102" i="7"/>
  <c r="P92" i="7"/>
  <c r="P76" i="7"/>
  <c r="P60" i="7"/>
  <c r="P17" i="7"/>
  <c r="P90" i="7"/>
  <c r="P74" i="7"/>
  <c r="P58" i="7"/>
  <c r="P9" i="7"/>
  <c r="E79" i="1"/>
  <c r="E129" i="1"/>
  <c r="E213" i="1"/>
  <c r="E264" i="1"/>
  <c r="E114" i="1"/>
  <c r="E206" i="1"/>
  <c r="E13" i="1"/>
  <c r="E125" i="1"/>
  <c r="E208" i="1"/>
  <c r="AB3" i="1"/>
  <c r="O284" i="6"/>
  <c r="O282" i="6"/>
  <c r="O102" i="6"/>
  <c r="O258" i="6"/>
  <c r="O259" i="6"/>
  <c r="O266" i="6"/>
  <c r="O268" i="6"/>
  <c r="O270" i="6"/>
  <c r="O272" i="6"/>
  <c r="O274" i="6"/>
  <c r="O276" i="6"/>
  <c r="O278" i="6"/>
  <c r="O110" i="6"/>
  <c r="O142" i="6"/>
  <c r="O286" i="6"/>
  <c r="AB2" i="1"/>
  <c r="O280" i="6"/>
  <c r="O166" i="6"/>
  <c r="O150" i="6"/>
  <c r="O118" i="6"/>
  <c r="O265" i="6"/>
  <c r="O264" i="6"/>
  <c r="O257" i="6"/>
  <c r="O256" i="6"/>
  <c r="O251" i="6"/>
  <c r="O247" i="6"/>
  <c r="O243" i="6"/>
  <c r="O239" i="6"/>
  <c r="O235" i="6"/>
  <c r="O231" i="6"/>
  <c r="O227" i="6"/>
  <c r="O223" i="6"/>
  <c r="O182" i="6"/>
  <c r="O126" i="6"/>
  <c r="O94" i="6"/>
  <c r="O58" i="6"/>
  <c r="O287" i="6"/>
  <c r="O285" i="6"/>
  <c r="O283" i="6"/>
  <c r="O281" i="6"/>
  <c r="O279" i="6"/>
  <c r="O277" i="6"/>
  <c r="O275" i="6"/>
  <c r="O273" i="6"/>
  <c r="O271" i="6"/>
  <c r="O269" i="6"/>
  <c r="O267" i="6"/>
  <c r="O263" i="6"/>
  <c r="O262" i="6"/>
  <c r="O255" i="6"/>
  <c r="O254" i="6"/>
  <c r="O188" i="6"/>
  <c r="O185" i="6"/>
  <c r="O164" i="6"/>
  <c r="O253" i="6"/>
  <c r="O134" i="6"/>
  <c r="O2" i="6"/>
  <c r="O4" i="6"/>
  <c r="O6" i="6"/>
  <c r="O8" i="6"/>
  <c r="O10" i="6"/>
  <c r="O12" i="6"/>
  <c r="O14" i="6"/>
  <c r="O16" i="6"/>
  <c r="O18" i="6"/>
  <c r="O20" i="6"/>
  <c r="O22" i="6"/>
  <c r="O24" i="6"/>
  <c r="O26" i="6"/>
  <c r="O28" i="6"/>
  <c r="O30" i="6"/>
  <c r="O32" i="6"/>
  <c r="O34" i="6"/>
  <c r="O36" i="6"/>
  <c r="O38" i="6"/>
  <c r="O40" i="6"/>
  <c r="O42" i="6"/>
  <c r="O44" i="6"/>
  <c r="O46" i="6"/>
  <c r="O48" i="6"/>
  <c r="O50" i="6"/>
  <c r="O52" i="6"/>
  <c r="O54" i="6"/>
  <c r="O56" i="6"/>
  <c r="O9" i="6"/>
  <c r="O25" i="6"/>
  <c r="O41" i="6"/>
  <c r="O57" i="6"/>
  <c r="O11" i="6"/>
  <c r="O27" i="6"/>
  <c r="O43" i="6"/>
  <c r="O13" i="6"/>
  <c r="O29" i="6"/>
  <c r="O45" i="6"/>
  <c r="O15" i="6"/>
  <c r="O31" i="6"/>
  <c r="O47" i="6"/>
  <c r="O59" i="6"/>
  <c r="O61" i="6"/>
  <c r="O63" i="6"/>
  <c r="O65" i="6"/>
  <c r="O67" i="6"/>
  <c r="O69" i="6"/>
  <c r="O71" i="6"/>
  <c r="O73" i="6"/>
  <c r="O75" i="6"/>
  <c r="O77" i="6"/>
  <c r="O79" i="6"/>
  <c r="O81" i="6"/>
  <c r="O83" i="6"/>
  <c r="O85" i="6"/>
  <c r="O87" i="6"/>
  <c r="O89" i="6"/>
  <c r="O91" i="6"/>
  <c r="O93" i="6"/>
  <c r="O17" i="6"/>
  <c r="O33" i="6"/>
  <c r="O49" i="6"/>
  <c r="O3" i="6"/>
  <c r="O19" i="6"/>
  <c r="O35" i="6"/>
  <c r="O51" i="6"/>
  <c r="O53" i="6"/>
  <c r="O39" i="6"/>
  <c r="O64" i="6"/>
  <c r="O72" i="6"/>
  <c r="O80" i="6"/>
  <c r="O5" i="6"/>
  <c r="O88" i="6"/>
  <c r="O92" i="6"/>
  <c r="O55" i="6"/>
  <c r="O62" i="6"/>
  <c r="O70" i="6"/>
  <c r="O78" i="6"/>
  <c r="O86" i="6"/>
  <c r="O95" i="6"/>
  <c r="O97" i="6"/>
  <c r="O99" i="6"/>
  <c r="O101" i="6"/>
  <c r="O103" i="6"/>
  <c r="O105" i="6"/>
  <c r="O107" i="6"/>
  <c r="O109" i="6"/>
  <c r="O111" i="6"/>
  <c r="O113" i="6"/>
  <c r="O115" i="6"/>
  <c r="O117" i="6"/>
  <c r="O119" i="6"/>
  <c r="O121" i="6"/>
  <c r="O123" i="6"/>
  <c r="O125" i="6"/>
  <c r="O127" i="6"/>
  <c r="O129" i="6"/>
  <c r="O131" i="6"/>
  <c r="O133" i="6"/>
  <c r="O135" i="6"/>
  <c r="O137" i="6"/>
  <c r="O139" i="6"/>
  <c r="O141" i="6"/>
  <c r="O143" i="6"/>
  <c r="O145" i="6"/>
  <c r="O147" i="6"/>
  <c r="O149" i="6"/>
  <c r="O151" i="6"/>
  <c r="O153" i="6"/>
  <c r="O155" i="6"/>
  <c r="O157" i="6"/>
  <c r="O159" i="6"/>
  <c r="O161" i="6"/>
  <c r="O163" i="6"/>
  <c r="O165" i="6"/>
  <c r="O167" i="6"/>
  <c r="O169" i="6"/>
  <c r="O171" i="6"/>
  <c r="O173" i="6"/>
  <c r="O175" i="6"/>
  <c r="O177" i="6"/>
  <c r="O21" i="6"/>
  <c r="O7" i="6"/>
  <c r="O60" i="6"/>
  <c r="O68" i="6"/>
  <c r="O76" i="6"/>
  <c r="O84" i="6"/>
  <c r="O37" i="6"/>
  <c r="O90" i="6"/>
  <c r="O168" i="6"/>
  <c r="O189" i="6"/>
  <c r="O82" i="6"/>
  <c r="O100" i="6"/>
  <c r="O108" i="6"/>
  <c r="O116" i="6"/>
  <c r="O124" i="6"/>
  <c r="O132" i="6"/>
  <c r="O140" i="6"/>
  <c r="O148" i="6"/>
  <c r="O170" i="6"/>
  <c r="O183" i="6"/>
  <c r="O186" i="6"/>
  <c r="O192" i="6"/>
  <c r="O194" i="6"/>
  <c r="O196" i="6"/>
  <c r="O198" i="6"/>
  <c r="O200" i="6"/>
  <c r="O202" i="6"/>
  <c r="O204" i="6"/>
  <c r="O206" i="6"/>
  <c r="O208" i="6"/>
  <c r="O210" i="6"/>
  <c r="O212" i="6"/>
  <c r="O214" i="6"/>
  <c r="O216" i="6"/>
  <c r="O218" i="6"/>
  <c r="O220" i="6"/>
  <c r="O222" i="6"/>
  <c r="O224" i="6"/>
  <c r="O226" i="6"/>
  <c r="O228" i="6"/>
  <c r="O230" i="6"/>
  <c r="O232" i="6"/>
  <c r="O234" i="6"/>
  <c r="O236" i="6"/>
  <c r="O238" i="6"/>
  <c r="O240" i="6"/>
  <c r="O242" i="6"/>
  <c r="O244" i="6"/>
  <c r="O246" i="6"/>
  <c r="O248" i="6"/>
  <c r="O250" i="6"/>
  <c r="O252" i="6"/>
  <c r="O156" i="6"/>
  <c r="O172" i="6"/>
  <c r="O74" i="6"/>
  <c r="O98" i="6"/>
  <c r="O106" i="6"/>
  <c r="O114" i="6"/>
  <c r="O122" i="6"/>
  <c r="O130" i="6"/>
  <c r="O138" i="6"/>
  <c r="O146" i="6"/>
  <c r="O154" i="6"/>
  <c r="O158" i="6"/>
  <c r="O174" i="6"/>
  <c r="O187" i="6"/>
  <c r="O190" i="6"/>
  <c r="O160" i="6"/>
  <c r="O176" i="6"/>
  <c r="O179" i="6"/>
  <c r="O180" i="6"/>
  <c r="O181" i="6"/>
  <c r="O184" i="6"/>
  <c r="O23" i="6"/>
  <c r="O66" i="6"/>
  <c r="O96" i="6"/>
  <c r="O104" i="6"/>
  <c r="O112" i="6"/>
  <c r="O120" i="6"/>
  <c r="O128" i="6"/>
  <c r="O136" i="6"/>
  <c r="O144" i="6"/>
  <c r="O152" i="6"/>
  <c r="O162" i="6"/>
  <c r="O178" i="6"/>
  <c r="O191" i="6"/>
  <c r="O193" i="6"/>
  <c r="O195" i="6"/>
  <c r="O197" i="6"/>
  <c r="O199" i="6"/>
  <c r="O201" i="6"/>
  <c r="O203" i="6"/>
  <c r="O205" i="6"/>
  <c r="O207" i="6"/>
  <c r="O209" i="6"/>
  <c r="O211" i="6"/>
  <c r="O213" i="6"/>
  <c r="O215" i="6"/>
  <c r="O217" i="6"/>
  <c r="O219" i="6"/>
  <c r="O221" i="6"/>
  <c r="O261" i="6"/>
  <c r="O260" i="6"/>
  <c r="O249" i="6"/>
  <c r="O245" i="6"/>
  <c r="O241" i="6"/>
  <c r="O237" i="6"/>
  <c r="O233" i="6"/>
  <c r="O229" i="6"/>
  <c r="O225" i="6"/>
  <c r="Y2" i="2"/>
  <c r="L104" i="7" s="1"/>
  <c r="T3" i="2"/>
  <c r="G104" i="7" s="1"/>
  <c r="AB3" i="2"/>
  <c r="S3" i="2"/>
  <c r="AA3" i="2"/>
  <c r="U3" i="2"/>
  <c r="V3" i="2"/>
  <c r="Z2" i="2"/>
  <c r="W3" i="2"/>
  <c r="X2" i="2"/>
  <c r="E87" i="2"/>
  <c r="AA2" i="2"/>
  <c r="N87" i="7" s="1"/>
  <c r="Y3" i="2"/>
  <c r="T2" i="2"/>
  <c r="AB2" i="2"/>
  <c r="U2" i="2"/>
  <c r="H104" i="7" s="1"/>
  <c r="V2" i="2"/>
  <c r="W2" i="2"/>
  <c r="S2" i="2"/>
  <c r="T3" i="1"/>
  <c r="U3" i="1"/>
  <c r="V2" i="1"/>
  <c r="W3" i="1"/>
  <c r="U2" i="1"/>
  <c r="X3" i="1"/>
  <c r="W2" i="1"/>
  <c r="Y3" i="1"/>
  <c r="Y2" i="1"/>
  <c r="Z3" i="1"/>
  <c r="S3" i="1"/>
  <c r="AA3" i="1"/>
  <c r="X2" i="1"/>
  <c r="V3" i="1"/>
  <c r="S2" i="1"/>
  <c r="Z2" i="1"/>
  <c r="AA2" i="1"/>
  <c r="T2" i="1"/>
  <c r="E47" i="2"/>
  <c r="E104" i="2"/>
  <c r="O110" i="7" l="1"/>
  <c r="O102" i="7"/>
  <c r="O94" i="7"/>
  <c r="O86" i="7"/>
  <c r="O78" i="7"/>
  <c r="O70" i="7"/>
  <c r="O62" i="7"/>
  <c r="O54" i="7"/>
  <c r="O46" i="7"/>
  <c r="O22" i="7"/>
  <c r="O6" i="7"/>
  <c r="O117" i="7"/>
  <c r="O109" i="7"/>
  <c r="O101" i="7"/>
  <c r="O93" i="7"/>
  <c r="O85" i="7"/>
  <c r="O77" i="7"/>
  <c r="O69" i="7"/>
  <c r="O61" i="7"/>
  <c r="O53" i="7"/>
  <c r="O45" i="7"/>
  <c r="O37" i="7"/>
  <c r="O29" i="7"/>
  <c r="O21" i="7"/>
  <c r="O13" i="7"/>
  <c r="O5" i="7"/>
  <c r="O108" i="7"/>
  <c r="O100" i="7"/>
  <c r="O92" i="7"/>
  <c r="O84" i="7"/>
  <c r="O76" i="7"/>
  <c r="O68" i="7"/>
  <c r="O60" i="7"/>
  <c r="O52" i="7"/>
  <c r="O44" i="7"/>
  <c r="O36" i="7"/>
  <c r="O28" i="7"/>
  <c r="O20" i="7"/>
  <c r="O12" i="7"/>
  <c r="O4" i="7"/>
  <c r="O116" i="7"/>
  <c r="O115" i="7"/>
  <c r="O107" i="7"/>
  <c r="O99" i="7"/>
  <c r="O91" i="7"/>
  <c r="O83" i="7"/>
  <c r="O75" i="7"/>
  <c r="O67" i="7"/>
  <c r="O59" i="7"/>
  <c r="O51" i="7"/>
  <c r="O43" i="7"/>
  <c r="O35" i="7"/>
  <c r="O27" i="7"/>
  <c r="O19" i="7"/>
  <c r="O11" i="7"/>
  <c r="O3" i="7"/>
  <c r="O106" i="7"/>
  <c r="O98" i="7"/>
  <c r="O90" i="7"/>
  <c r="O82" i="7"/>
  <c r="O74" i="7"/>
  <c r="O66" i="7"/>
  <c r="O58" i="7"/>
  <c r="O50" i="7"/>
  <c r="O42" i="7"/>
  <c r="O34" i="7"/>
  <c r="O26" i="7"/>
  <c r="O18" i="7"/>
  <c r="O10" i="7"/>
  <c r="O30" i="7"/>
  <c r="O114" i="7"/>
  <c r="O113" i="7"/>
  <c r="O105" i="7"/>
  <c r="O97" i="7"/>
  <c r="O89" i="7"/>
  <c r="O81" i="7"/>
  <c r="O73" i="7"/>
  <c r="O65" i="7"/>
  <c r="O57" i="7"/>
  <c r="O49" i="7"/>
  <c r="O41" i="7"/>
  <c r="O33" i="7"/>
  <c r="O25" i="7"/>
  <c r="O17" i="7"/>
  <c r="O9" i="7"/>
  <c r="O2" i="7"/>
  <c r="O38" i="7"/>
  <c r="O112" i="7"/>
  <c r="O104" i="7"/>
  <c r="O96" i="7"/>
  <c r="O88" i="7"/>
  <c r="O80" i="7"/>
  <c r="O72" i="7"/>
  <c r="O64" i="7"/>
  <c r="O56" i="7"/>
  <c r="O48" i="7"/>
  <c r="O40" i="7"/>
  <c r="O32" i="7"/>
  <c r="O24" i="7"/>
  <c r="O16" i="7"/>
  <c r="O8" i="7"/>
  <c r="O103" i="7"/>
  <c r="O95" i="7"/>
  <c r="O87" i="7"/>
  <c r="O79" i="7"/>
  <c r="O71" i="7"/>
  <c r="O63" i="7"/>
  <c r="O55" i="7"/>
  <c r="O47" i="7"/>
  <c r="O39" i="7"/>
  <c r="O31" i="7"/>
  <c r="O23" i="7"/>
  <c r="O15" i="7"/>
  <c r="O7" i="7"/>
  <c r="O14" i="7"/>
  <c r="O111" i="7"/>
  <c r="R2" i="1"/>
  <c r="H87" i="7"/>
  <c r="J3" i="7"/>
  <c r="J5" i="7"/>
  <c r="J7" i="7"/>
  <c r="J9" i="7"/>
  <c r="J11" i="7"/>
  <c r="J13" i="7"/>
  <c r="J15" i="7"/>
  <c r="J17" i="7"/>
  <c r="J19" i="7"/>
  <c r="J21" i="7"/>
  <c r="J23" i="7"/>
  <c r="J25" i="7"/>
  <c r="J27" i="7"/>
  <c r="J29" i="7"/>
  <c r="J31" i="7"/>
  <c r="J33" i="7"/>
  <c r="J35" i="7"/>
  <c r="J37" i="7"/>
  <c r="J39" i="7"/>
  <c r="J41" i="7"/>
  <c r="J43" i="7"/>
  <c r="J45" i="7"/>
  <c r="J49" i="7"/>
  <c r="J51" i="7"/>
  <c r="J53" i="7"/>
  <c r="J55" i="7"/>
  <c r="J57" i="7"/>
  <c r="J2" i="7"/>
  <c r="J4" i="7"/>
  <c r="J6" i="7"/>
  <c r="J8" i="7"/>
  <c r="J10" i="7"/>
  <c r="J12" i="7"/>
  <c r="J14" i="7"/>
  <c r="J16" i="7"/>
  <c r="J18" i="7"/>
  <c r="J20" i="7"/>
  <c r="J22" i="7"/>
  <c r="J24" i="7"/>
  <c r="J26" i="7"/>
  <c r="J28" i="7"/>
  <c r="J30" i="7"/>
  <c r="J32" i="7"/>
  <c r="J34" i="7"/>
  <c r="J36" i="7"/>
  <c r="J38" i="7"/>
  <c r="J40" i="7"/>
  <c r="J42" i="7"/>
  <c r="J44" i="7"/>
  <c r="J46" i="7"/>
  <c r="J48" i="7"/>
  <c r="J50" i="7"/>
  <c r="J52" i="7"/>
  <c r="J54" i="7"/>
  <c r="J56" i="7"/>
  <c r="J60" i="7"/>
  <c r="J62" i="7"/>
  <c r="J64" i="7"/>
  <c r="J66" i="7"/>
  <c r="J68" i="7"/>
  <c r="J70" i="7"/>
  <c r="J72" i="7"/>
  <c r="J74" i="7"/>
  <c r="J76" i="7"/>
  <c r="J78" i="7"/>
  <c r="J80" i="7"/>
  <c r="J82" i="7"/>
  <c r="J84" i="7"/>
  <c r="J86" i="7"/>
  <c r="J88" i="7"/>
  <c r="J90" i="7"/>
  <c r="J92" i="7"/>
  <c r="J94" i="7"/>
  <c r="J96" i="7"/>
  <c r="J98" i="7"/>
  <c r="J100" i="7"/>
  <c r="J58" i="7"/>
  <c r="J71" i="7"/>
  <c r="J73" i="7"/>
  <c r="J89" i="7"/>
  <c r="J104" i="7"/>
  <c r="J59" i="7"/>
  <c r="J75" i="7"/>
  <c r="J91" i="7"/>
  <c r="J61" i="7"/>
  <c r="J77" i="7"/>
  <c r="J93" i="7"/>
  <c r="J102" i="7"/>
  <c r="J106" i="7"/>
  <c r="J108" i="7"/>
  <c r="J110" i="7"/>
  <c r="J112" i="7"/>
  <c r="J114" i="7"/>
  <c r="J116" i="7"/>
  <c r="J63" i="7"/>
  <c r="J79" i="7"/>
  <c r="J95" i="7"/>
  <c r="J69" i="7"/>
  <c r="J101" i="7"/>
  <c r="J103" i="7"/>
  <c r="J105" i="7"/>
  <c r="J65" i="7"/>
  <c r="J81" i="7"/>
  <c r="J97" i="7"/>
  <c r="J85" i="7"/>
  <c r="J107" i="7"/>
  <c r="J109" i="7"/>
  <c r="J111" i="7"/>
  <c r="J113" i="7"/>
  <c r="J67" i="7"/>
  <c r="J83" i="7"/>
  <c r="J99" i="7"/>
  <c r="J115" i="7"/>
  <c r="J117" i="7"/>
  <c r="K3" i="7"/>
  <c r="K5" i="7"/>
  <c r="K7" i="7"/>
  <c r="K9" i="7"/>
  <c r="K11" i="7"/>
  <c r="K13" i="7"/>
  <c r="K15" i="7"/>
  <c r="K17" i="7"/>
  <c r="K19" i="7"/>
  <c r="K21" i="7"/>
  <c r="K23" i="7"/>
  <c r="K25" i="7"/>
  <c r="K27" i="7"/>
  <c r="K29" i="7"/>
  <c r="K31" i="7"/>
  <c r="K33" i="7"/>
  <c r="K35" i="7"/>
  <c r="K37" i="7"/>
  <c r="K39" i="7"/>
  <c r="K41" i="7"/>
  <c r="K43" i="7"/>
  <c r="K45" i="7"/>
  <c r="K49" i="7"/>
  <c r="K51" i="7"/>
  <c r="K53" i="7"/>
  <c r="K55" i="7"/>
  <c r="K57" i="7"/>
  <c r="K2" i="7"/>
  <c r="K4" i="7"/>
  <c r="K6" i="7"/>
  <c r="K8" i="7"/>
  <c r="K10" i="7"/>
  <c r="K12" i="7"/>
  <c r="K14" i="7"/>
  <c r="K16" i="7"/>
  <c r="K18" i="7"/>
  <c r="K20" i="7"/>
  <c r="K22" i="7"/>
  <c r="K24" i="7"/>
  <c r="K26" i="7"/>
  <c r="K28" i="7"/>
  <c r="K30" i="7"/>
  <c r="K32" i="7"/>
  <c r="K34" i="7"/>
  <c r="K36" i="7"/>
  <c r="K38" i="7"/>
  <c r="K40" i="7"/>
  <c r="K42" i="7"/>
  <c r="K44" i="7"/>
  <c r="K46" i="7"/>
  <c r="K48" i="7"/>
  <c r="K50" i="7"/>
  <c r="K52" i="7"/>
  <c r="K54" i="7"/>
  <c r="K56" i="7"/>
  <c r="K58" i="7"/>
  <c r="K60" i="7"/>
  <c r="K62" i="7"/>
  <c r="K64" i="7"/>
  <c r="K66" i="7"/>
  <c r="K68" i="7"/>
  <c r="K70" i="7"/>
  <c r="K72" i="7"/>
  <c r="K74" i="7"/>
  <c r="K76" i="7"/>
  <c r="K78" i="7"/>
  <c r="K80" i="7"/>
  <c r="K82" i="7"/>
  <c r="K84" i="7"/>
  <c r="K86" i="7"/>
  <c r="K88" i="7"/>
  <c r="K90" i="7"/>
  <c r="K92" i="7"/>
  <c r="K94" i="7"/>
  <c r="K96" i="7"/>
  <c r="K98" i="7"/>
  <c r="K100" i="7"/>
  <c r="K59" i="7"/>
  <c r="K61" i="7"/>
  <c r="K63" i="7"/>
  <c r="K65" i="7"/>
  <c r="K67" i="7"/>
  <c r="K69" i="7"/>
  <c r="K71" i="7"/>
  <c r="K73" i="7"/>
  <c r="K75" i="7"/>
  <c r="K77" i="7"/>
  <c r="K79" i="7"/>
  <c r="K81" i="7"/>
  <c r="K83" i="7"/>
  <c r="K85" i="7"/>
  <c r="K89" i="7"/>
  <c r="K91" i="7"/>
  <c r="K93" i="7"/>
  <c r="K95" i="7"/>
  <c r="K97" i="7"/>
  <c r="K99" i="7"/>
  <c r="K101" i="7"/>
  <c r="K103" i="7"/>
  <c r="K105" i="7"/>
  <c r="K107" i="7"/>
  <c r="K109" i="7"/>
  <c r="K111" i="7"/>
  <c r="K113" i="7"/>
  <c r="K115" i="7"/>
  <c r="K117" i="7"/>
  <c r="K102" i="7"/>
  <c r="K106" i="7"/>
  <c r="K108" i="7"/>
  <c r="K110" i="7"/>
  <c r="K112" i="7"/>
  <c r="K114" i="7"/>
  <c r="K116" i="7"/>
  <c r="J47" i="7"/>
  <c r="F2" i="7"/>
  <c r="F4" i="7"/>
  <c r="F6" i="7"/>
  <c r="F8" i="7"/>
  <c r="F10" i="7"/>
  <c r="F12" i="7"/>
  <c r="F14" i="7"/>
  <c r="F16" i="7"/>
  <c r="F18" i="7"/>
  <c r="F20" i="7"/>
  <c r="F22" i="7"/>
  <c r="F24" i="7"/>
  <c r="F26" i="7"/>
  <c r="F28" i="7"/>
  <c r="F30" i="7"/>
  <c r="F32" i="7"/>
  <c r="F34" i="7"/>
  <c r="F36" i="7"/>
  <c r="F38" i="7"/>
  <c r="F40" i="7"/>
  <c r="F42" i="7"/>
  <c r="F44" i="7"/>
  <c r="F46" i="7"/>
  <c r="F48" i="7"/>
  <c r="F50" i="7"/>
  <c r="F52" i="7"/>
  <c r="F54" i="7"/>
  <c r="F56" i="7"/>
  <c r="F58" i="7"/>
  <c r="F3" i="7"/>
  <c r="F5" i="7"/>
  <c r="F7" i="7"/>
  <c r="F9" i="7"/>
  <c r="F11" i="7"/>
  <c r="F13" i="7"/>
  <c r="F15" i="7"/>
  <c r="F17" i="7"/>
  <c r="F19" i="7"/>
  <c r="F21" i="7"/>
  <c r="F23" i="7"/>
  <c r="F25" i="7"/>
  <c r="F27" i="7"/>
  <c r="F29" i="7"/>
  <c r="F31" i="7"/>
  <c r="F33" i="7"/>
  <c r="F35" i="7"/>
  <c r="F37" i="7"/>
  <c r="F39" i="7"/>
  <c r="F41" i="7"/>
  <c r="F43" i="7"/>
  <c r="F45" i="7"/>
  <c r="F49" i="7"/>
  <c r="F51" i="7"/>
  <c r="F53" i="7"/>
  <c r="F55" i="7"/>
  <c r="F57" i="7"/>
  <c r="F59" i="7"/>
  <c r="F61" i="7"/>
  <c r="F63" i="7"/>
  <c r="F65" i="7"/>
  <c r="F67" i="7"/>
  <c r="F69" i="7"/>
  <c r="F71" i="7"/>
  <c r="F73" i="7"/>
  <c r="F75" i="7"/>
  <c r="F77" i="7"/>
  <c r="F79" i="7"/>
  <c r="F81" i="7"/>
  <c r="F83" i="7"/>
  <c r="F85" i="7"/>
  <c r="F89" i="7"/>
  <c r="F91" i="7"/>
  <c r="F93" i="7"/>
  <c r="F95" i="7"/>
  <c r="F97" i="7"/>
  <c r="F99" i="7"/>
  <c r="F101" i="7"/>
  <c r="F66" i="7"/>
  <c r="F82" i="7"/>
  <c r="F98" i="7"/>
  <c r="F68" i="7"/>
  <c r="F84" i="7"/>
  <c r="F100" i="7"/>
  <c r="F70" i="7"/>
  <c r="F86" i="7"/>
  <c r="F72" i="7"/>
  <c r="F88" i="7"/>
  <c r="F103" i="7"/>
  <c r="F105" i="7"/>
  <c r="F107" i="7"/>
  <c r="F109" i="7"/>
  <c r="F111" i="7"/>
  <c r="F113" i="7"/>
  <c r="F115" i="7"/>
  <c r="F117" i="7"/>
  <c r="F74" i="7"/>
  <c r="F90" i="7"/>
  <c r="F64" i="7"/>
  <c r="F96" i="7"/>
  <c r="F60" i="7"/>
  <c r="F76" i="7"/>
  <c r="F92" i="7"/>
  <c r="F80" i="7"/>
  <c r="F62" i="7"/>
  <c r="F78" i="7"/>
  <c r="F94" i="7"/>
  <c r="F102" i="7"/>
  <c r="F104" i="7"/>
  <c r="F106" i="7"/>
  <c r="F108" i="7"/>
  <c r="F110" i="7"/>
  <c r="F112" i="7"/>
  <c r="F116" i="7"/>
  <c r="F114" i="7"/>
  <c r="I3" i="7"/>
  <c r="I5" i="7"/>
  <c r="I7" i="7"/>
  <c r="I9" i="7"/>
  <c r="I11" i="7"/>
  <c r="I13" i="7"/>
  <c r="I15" i="7"/>
  <c r="I17" i="7"/>
  <c r="I19" i="7"/>
  <c r="I21" i="7"/>
  <c r="I23" i="7"/>
  <c r="I25" i="7"/>
  <c r="I27" i="7"/>
  <c r="I29" i="7"/>
  <c r="I31" i="7"/>
  <c r="I33" i="7"/>
  <c r="I35" i="7"/>
  <c r="I37" i="7"/>
  <c r="I39" i="7"/>
  <c r="I41" i="7"/>
  <c r="I43" i="7"/>
  <c r="I45" i="7"/>
  <c r="I49" i="7"/>
  <c r="I51" i="7"/>
  <c r="I53" i="7"/>
  <c r="I55" i="7"/>
  <c r="I57" i="7"/>
  <c r="I2" i="7"/>
  <c r="I10" i="7"/>
  <c r="I18" i="7"/>
  <c r="I26" i="7"/>
  <c r="I34" i="7"/>
  <c r="I42" i="7"/>
  <c r="I50" i="7"/>
  <c r="I58" i="7"/>
  <c r="I8" i="7"/>
  <c r="I16" i="7"/>
  <c r="I24" i="7"/>
  <c r="I32" i="7"/>
  <c r="I40" i="7"/>
  <c r="I48" i="7"/>
  <c r="I56" i="7"/>
  <c r="I59" i="7"/>
  <c r="I61" i="7"/>
  <c r="I63" i="7"/>
  <c r="I65" i="7"/>
  <c r="I67" i="7"/>
  <c r="I69" i="7"/>
  <c r="I71" i="7"/>
  <c r="I73" i="7"/>
  <c r="I75" i="7"/>
  <c r="I77" i="7"/>
  <c r="I79" i="7"/>
  <c r="I81" i="7"/>
  <c r="I83" i="7"/>
  <c r="I85" i="7"/>
  <c r="I89" i="7"/>
  <c r="I91" i="7"/>
  <c r="I93" i="7"/>
  <c r="I95" i="7"/>
  <c r="I97" i="7"/>
  <c r="I99" i="7"/>
  <c r="I101" i="7"/>
  <c r="I46" i="7"/>
  <c r="I62" i="7"/>
  <c r="I78" i="7"/>
  <c r="I94" i="7"/>
  <c r="I4" i="7"/>
  <c r="I54" i="7"/>
  <c r="I64" i="7"/>
  <c r="I80" i="7"/>
  <c r="I96" i="7"/>
  <c r="I12" i="7"/>
  <c r="I66" i="7"/>
  <c r="I82" i="7"/>
  <c r="I98" i="7"/>
  <c r="I102" i="7"/>
  <c r="I106" i="7"/>
  <c r="I108" i="7"/>
  <c r="I110" i="7"/>
  <c r="I112" i="7"/>
  <c r="I114" i="7"/>
  <c r="I116" i="7"/>
  <c r="I6" i="7"/>
  <c r="I20" i="7"/>
  <c r="I68" i="7"/>
  <c r="I84" i="7"/>
  <c r="I100" i="7"/>
  <c r="I14" i="7"/>
  <c r="I28" i="7"/>
  <c r="I70" i="7"/>
  <c r="I86" i="7"/>
  <c r="I52" i="7"/>
  <c r="I60" i="7"/>
  <c r="I92" i="7"/>
  <c r="I22" i="7"/>
  <c r="I36" i="7"/>
  <c r="I72" i="7"/>
  <c r="I88" i="7"/>
  <c r="I38" i="7"/>
  <c r="I76" i="7"/>
  <c r="I30" i="7"/>
  <c r="I44" i="7"/>
  <c r="I74" i="7"/>
  <c r="I90" i="7"/>
  <c r="I103" i="7"/>
  <c r="I105" i="7"/>
  <c r="I107" i="7"/>
  <c r="I109" i="7"/>
  <c r="I111" i="7"/>
  <c r="I113" i="7"/>
  <c r="I115" i="7"/>
  <c r="I117" i="7"/>
  <c r="L3" i="7"/>
  <c r="L5" i="7"/>
  <c r="L7" i="7"/>
  <c r="L9" i="7"/>
  <c r="L11" i="7"/>
  <c r="L13" i="7"/>
  <c r="L15" i="7"/>
  <c r="L17" i="7"/>
  <c r="L19" i="7"/>
  <c r="L21" i="7"/>
  <c r="L23" i="7"/>
  <c r="L25" i="7"/>
  <c r="L27" i="7"/>
  <c r="L29" i="7"/>
  <c r="L31" i="7"/>
  <c r="L33" i="7"/>
  <c r="L35" i="7"/>
  <c r="L37" i="7"/>
  <c r="L39" i="7"/>
  <c r="L41" i="7"/>
  <c r="L43" i="7"/>
  <c r="L45" i="7"/>
  <c r="L49" i="7"/>
  <c r="L51" i="7"/>
  <c r="L53" i="7"/>
  <c r="L55" i="7"/>
  <c r="L57" i="7"/>
  <c r="L2" i="7"/>
  <c r="L10" i="7"/>
  <c r="L18" i="7"/>
  <c r="L26" i="7"/>
  <c r="L34" i="7"/>
  <c r="L42" i="7"/>
  <c r="L50" i="7"/>
  <c r="L58" i="7"/>
  <c r="L60" i="7"/>
  <c r="L62" i="7"/>
  <c r="L64" i="7"/>
  <c r="L66" i="7"/>
  <c r="L68" i="7"/>
  <c r="L70" i="7"/>
  <c r="L72" i="7"/>
  <c r="L74" i="7"/>
  <c r="L76" i="7"/>
  <c r="L78" i="7"/>
  <c r="L80" i="7"/>
  <c r="L82" i="7"/>
  <c r="L84" i="7"/>
  <c r="L86" i="7"/>
  <c r="L88" i="7"/>
  <c r="L90" i="7"/>
  <c r="L92" i="7"/>
  <c r="L94" i="7"/>
  <c r="L96" i="7"/>
  <c r="L98" i="7"/>
  <c r="L100" i="7"/>
  <c r="L8" i="7"/>
  <c r="L16" i="7"/>
  <c r="L24" i="7"/>
  <c r="L32" i="7"/>
  <c r="L40" i="7"/>
  <c r="L48" i="7"/>
  <c r="L56" i="7"/>
  <c r="L6" i="7"/>
  <c r="L14" i="7"/>
  <c r="L22" i="7"/>
  <c r="L30" i="7"/>
  <c r="L38" i="7"/>
  <c r="L46" i="7"/>
  <c r="L54" i="7"/>
  <c r="L52" i="7"/>
  <c r="L69" i="7"/>
  <c r="L85" i="7"/>
  <c r="L71" i="7"/>
  <c r="L101" i="7"/>
  <c r="L103" i="7"/>
  <c r="L105" i="7"/>
  <c r="L107" i="7"/>
  <c r="L109" i="7"/>
  <c r="L111" i="7"/>
  <c r="L113" i="7"/>
  <c r="L115" i="7"/>
  <c r="L117" i="7"/>
  <c r="L4" i="7"/>
  <c r="L73" i="7"/>
  <c r="L89" i="7"/>
  <c r="L12" i="7"/>
  <c r="L59" i="7"/>
  <c r="L75" i="7"/>
  <c r="L91" i="7"/>
  <c r="L20" i="7"/>
  <c r="L61" i="7"/>
  <c r="L77" i="7"/>
  <c r="L93" i="7"/>
  <c r="L83" i="7"/>
  <c r="L28" i="7"/>
  <c r="L63" i="7"/>
  <c r="L79" i="7"/>
  <c r="L95" i="7"/>
  <c r="L102" i="7"/>
  <c r="L106" i="7"/>
  <c r="L108" i="7"/>
  <c r="L110" i="7"/>
  <c r="L112" i="7"/>
  <c r="L114" i="7"/>
  <c r="L116" i="7"/>
  <c r="L44" i="7"/>
  <c r="L67" i="7"/>
  <c r="L99" i="7"/>
  <c r="L36" i="7"/>
  <c r="L65" i="7"/>
  <c r="L81" i="7"/>
  <c r="L97" i="7"/>
  <c r="N47" i="7"/>
  <c r="H2" i="7"/>
  <c r="H4" i="7"/>
  <c r="H6" i="7"/>
  <c r="H8" i="7"/>
  <c r="H10" i="7"/>
  <c r="H12" i="7"/>
  <c r="H14" i="7"/>
  <c r="H16" i="7"/>
  <c r="H18" i="7"/>
  <c r="H20" i="7"/>
  <c r="H22" i="7"/>
  <c r="H24" i="7"/>
  <c r="H26" i="7"/>
  <c r="H28" i="7"/>
  <c r="H30" i="7"/>
  <c r="H32" i="7"/>
  <c r="H34" i="7"/>
  <c r="H36" i="7"/>
  <c r="H38" i="7"/>
  <c r="H40" i="7"/>
  <c r="H42" i="7"/>
  <c r="H44" i="7"/>
  <c r="H46" i="7"/>
  <c r="H48" i="7"/>
  <c r="H50" i="7"/>
  <c r="H52" i="7"/>
  <c r="H54" i="7"/>
  <c r="H56" i="7"/>
  <c r="H58" i="7"/>
  <c r="H5" i="7"/>
  <c r="H13" i="7"/>
  <c r="H21" i="7"/>
  <c r="H29" i="7"/>
  <c r="H37" i="7"/>
  <c r="H45" i="7"/>
  <c r="H53" i="7"/>
  <c r="H59" i="7"/>
  <c r="H61" i="7"/>
  <c r="H63" i="7"/>
  <c r="H65" i="7"/>
  <c r="H67" i="7"/>
  <c r="H69" i="7"/>
  <c r="H71" i="7"/>
  <c r="H73" i="7"/>
  <c r="H75" i="7"/>
  <c r="H77" i="7"/>
  <c r="H79" i="7"/>
  <c r="H81" i="7"/>
  <c r="H83" i="7"/>
  <c r="H85" i="7"/>
  <c r="H89" i="7"/>
  <c r="H91" i="7"/>
  <c r="H93" i="7"/>
  <c r="H95" i="7"/>
  <c r="H97" i="7"/>
  <c r="H99" i="7"/>
  <c r="H101" i="7"/>
  <c r="H3" i="7"/>
  <c r="H11" i="7"/>
  <c r="H19" i="7"/>
  <c r="H27" i="7"/>
  <c r="H35" i="7"/>
  <c r="H43" i="7"/>
  <c r="H51" i="7"/>
  <c r="H9" i="7"/>
  <c r="H17" i="7"/>
  <c r="H25" i="7"/>
  <c r="H33" i="7"/>
  <c r="H41" i="7"/>
  <c r="H49" i="7"/>
  <c r="H57" i="7"/>
  <c r="H31" i="7"/>
  <c r="H64" i="7"/>
  <c r="H80" i="7"/>
  <c r="H96" i="7"/>
  <c r="H39" i="7"/>
  <c r="H66" i="7"/>
  <c r="H82" i="7"/>
  <c r="H98" i="7"/>
  <c r="H102" i="7"/>
  <c r="H106" i="7"/>
  <c r="H108" i="7"/>
  <c r="H110" i="7"/>
  <c r="H112" i="7"/>
  <c r="H114" i="7"/>
  <c r="H116" i="7"/>
  <c r="H68" i="7"/>
  <c r="H84" i="7"/>
  <c r="H100" i="7"/>
  <c r="H55" i="7"/>
  <c r="H70" i="7"/>
  <c r="H86" i="7"/>
  <c r="H72" i="7"/>
  <c r="H88" i="7"/>
  <c r="H23" i="7"/>
  <c r="H78" i="7"/>
  <c r="H7" i="7"/>
  <c r="H74" i="7"/>
  <c r="H90" i="7"/>
  <c r="H103" i="7"/>
  <c r="H105" i="7"/>
  <c r="H107" i="7"/>
  <c r="H109" i="7"/>
  <c r="H111" i="7"/>
  <c r="H113" i="7"/>
  <c r="H115" i="7"/>
  <c r="H117" i="7"/>
  <c r="H62" i="7"/>
  <c r="H94" i="7"/>
  <c r="H15" i="7"/>
  <c r="H60" i="7"/>
  <c r="H76" i="7"/>
  <c r="H92" i="7"/>
  <c r="M2" i="7"/>
  <c r="M4" i="7"/>
  <c r="M6" i="7"/>
  <c r="M8" i="7"/>
  <c r="M10" i="7"/>
  <c r="M12" i="7"/>
  <c r="M14" i="7"/>
  <c r="M16" i="7"/>
  <c r="M18" i="7"/>
  <c r="M20" i="7"/>
  <c r="M22" i="7"/>
  <c r="M24" i="7"/>
  <c r="M26" i="7"/>
  <c r="M28" i="7"/>
  <c r="M30" i="7"/>
  <c r="M32" i="7"/>
  <c r="M34" i="7"/>
  <c r="M36" i="7"/>
  <c r="M38" i="7"/>
  <c r="M40" i="7"/>
  <c r="M42" i="7"/>
  <c r="M44" i="7"/>
  <c r="M46" i="7"/>
  <c r="M48" i="7"/>
  <c r="M50" i="7"/>
  <c r="M52" i="7"/>
  <c r="M54" i="7"/>
  <c r="M56" i="7"/>
  <c r="M7" i="7"/>
  <c r="M15" i="7"/>
  <c r="M23" i="7"/>
  <c r="M31" i="7"/>
  <c r="M39" i="7"/>
  <c r="M55" i="7"/>
  <c r="M5" i="7"/>
  <c r="M13" i="7"/>
  <c r="M21" i="7"/>
  <c r="M29" i="7"/>
  <c r="M37" i="7"/>
  <c r="M45" i="7"/>
  <c r="M53" i="7"/>
  <c r="M58" i="7"/>
  <c r="M60" i="7"/>
  <c r="M62" i="7"/>
  <c r="M64" i="7"/>
  <c r="M66" i="7"/>
  <c r="M68" i="7"/>
  <c r="M70" i="7"/>
  <c r="M72" i="7"/>
  <c r="M74" i="7"/>
  <c r="M76" i="7"/>
  <c r="M78" i="7"/>
  <c r="M80" i="7"/>
  <c r="M82" i="7"/>
  <c r="M84" i="7"/>
  <c r="M86" i="7"/>
  <c r="M88" i="7"/>
  <c r="M90" i="7"/>
  <c r="M92" i="7"/>
  <c r="M94" i="7"/>
  <c r="M96" i="7"/>
  <c r="M98" i="7"/>
  <c r="M100" i="7"/>
  <c r="M3" i="7"/>
  <c r="M17" i="7"/>
  <c r="M67" i="7"/>
  <c r="M83" i="7"/>
  <c r="M99" i="7"/>
  <c r="M11" i="7"/>
  <c r="M25" i="7"/>
  <c r="M69" i="7"/>
  <c r="M85" i="7"/>
  <c r="M19" i="7"/>
  <c r="M33" i="7"/>
  <c r="M71" i="7"/>
  <c r="M101" i="7"/>
  <c r="M103" i="7"/>
  <c r="M105" i="7"/>
  <c r="M107" i="7"/>
  <c r="M109" i="7"/>
  <c r="M111" i="7"/>
  <c r="M113" i="7"/>
  <c r="M115" i="7"/>
  <c r="M117" i="7"/>
  <c r="M27" i="7"/>
  <c r="M41" i="7"/>
  <c r="M73" i="7"/>
  <c r="M89" i="7"/>
  <c r="M35" i="7"/>
  <c r="M49" i="7"/>
  <c r="M59" i="7"/>
  <c r="M75" i="7"/>
  <c r="M91" i="7"/>
  <c r="M43" i="7"/>
  <c r="M57" i="7"/>
  <c r="M61" i="7"/>
  <c r="M77" i="7"/>
  <c r="M93" i="7"/>
  <c r="M9" i="7"/>
  <c r="M51" i="7"/>
  <c r="M63" i="7"/>
  <c r="M79" i="7"/>
  <c r="M95" i="7"/>
  <c r="M102" i="7"/>
  <c r="M106" i="7"/>
  <c r="M108" i="7"/>
  <c r="M110" i="7"/>
  <c r="M112" i="7"/>
  <c r="M114" i="7"/>
  <c r="M116" i="7"/>
  <c r="M65" i="7"/>
  <c r="M81" i="7"/>
  <c r="M97" i="7"/>
  <c r="F87" i="7"/>
  <c r="F47" i="7"/>
  <c r="K104" i="7"/>
  <c r="J87" i="7"/>
  <c r="L47" i="7"/>
  <c r="K87" i="7"/>
  <c r="M87" i="7"/>
  <c r="L87" i="7"/>
  <c r="I104" i="7"/>
  <c r="G2" i="7"/>
  <c r="G4" i="7"/>
  <c r="G6" i="7"/>
  <c r="G8" i="7"/>
  <c r="G10" i="7"/>
  <c r="G12" i="7"/>
  <c r="G14" i="7"/>
  <c r="G16" i="7"/>
  <c r="G18" i="7"/>
  <c r="G20" i="7"/>
  <c r="G22" i="7"/>
  <c r="G24" i="7"/>
  <c r="G26" i="7"/>
  <c r="G28" i="7"/>
  <c r="G30" i="7"/>
  <c r="G32" i="7"/>
  <c r="G34" i="7"/>
  <c r="G36" i="7"/>
  <c r="G38" i="7"/>
  <c r="G40" i="7"/>
  <c r="G42" i="7"/>
  <c r="G44" i="7"/>
  <c r="G46" i="7"/>
  <c r="G48" i="7"/>
  <c r="G50" i="7"/>
  <c r="G52" i="7"/>
  <c r="G54" i="7"/>
  <c r="G56" i="7"/>
  <c r="G58" i="7"/>
  <c r="G3" i="7"/>
  <c r="G5" i="7"/>
  <c r="G7" i="7"/>
  <c r="G9" i="7"/>
  <c r="G11" i="7"/>
  <c r="G13" i="7"/>
  <c r="G15" i="7"/>
  <c r="G17" i="7"/>
  <c r="G19" i="7"/>
  <c r="G21" i="7"/>
  <c r="G23" i="7"/>
  <c r="G25" i="7"/>
  <c r="G27" i="7"/>
  <c r="G29" i="7"/>
  <c r="G31" i="7"/>
  <c r="G33" i="7"/>
  <c r="G35" i="7"/>
  <c r="G37" i="7"/>
  <c r="G39" i="7"/>
  <c r="G41" i="7"/>
  <c r="G43" i="7"/>
  <c r="G45" i="7"/>
  <c r="G49" i="7"/>
  <c r="G51" i="7"/>
  <c r="G53" i="7"/>
  <c r="G55" i="7"/>
  <c r="G57" i="7"/>
  <c r="G59" i="7"/>
  <c r="G61" i="7"/>
  <c r="G63" i="7"/>
  <c r="G65" i="7"/>
  <c r="G67" i="7"/>
  <c r="G69" i="7"/>
  <c r="G71" i="7"/>
  <c r="G73" i="7"/>
  <c r="G75" i="7"/>
  <c r="G77" i="7"/>
  <c r="G79" i="7"/>
  <c r="G81" i="7"/>
  <c r="G83" i="7"/>
  <c r="G85" i="7"/>
  <c r="G89" i="7"/>
  <c r="G91" i="7"/>
  <c r="G93" i="7"/>
  <c r="G95" i="7"/>
  <c r="G97" i="7"/>
  <c r="G99" i="7"/>
  <c r="G101" i="7"/>
  <c r="G60" i="7"/>
  <c r="G62" i="7"/>
  <c r="G64" i="7"/>
  <c r="G66" i="7"/>
  <c r="G68" i="7"/>
  <c r="G70" i="7"/>
  <c r="G72" i="7"/>
  <c r="G74" i="7"/>
  <c r="G76" i="7"/>
  <c r="G78" i="7"/>
  <c r="G80" i="7"/>
  <c r="G82" i="7"/>
  <c r="G84" i="7"/>
  <c r="G86" i="7"/>
  <c r="G88" i="7"/>
  <c r="G90" i="7"/>
  <c r="G92" i="7"/>
  <c r="G94" i="7"/>
  <c r="G96" i="7"/>
  <c r="G98" i="7"/>
  <c r="G100" i="7"/>
  <c r="G102" i="7"/>
  <c r="G106" i="7"/>
  <c r="G108" i="7"/>
  <c r="G110" i="7"/>
  <c r="G112" i="7"/>
  <c r="G114" i="7"/>
  <c r="G116" i="7"/>
  <c r="G103" i="7"/>
  <c r="G105" i="7"/>
  <c r="G107" i="7"/>
  <c r="G109" i="7"/>
  <c r="G111" i="7"/>
  <c r="G113" i="7"/>
  <c r="G115" i="7"/>
  <c r="G117" i="7"/>
  <c r="G47" i="7"/>
  <c r="M47" i="7"/>
  <c r="I87" i="7"/>
  <c r="G87" i="7"/>
  <c r="N4" i="7"/>
  <c r="N6" i="7"/>
  <c r="N8" i="7"/>
  <c r="N10" i="7"/>
  <c r="N12" i="7"/>
  <c r="N14" i="7"/>
  <c r="N16" i="7"/>
  <c r="N18" i="7"/>
  <c r="N20" i="7"/>
  <c r="N22" i="7"/>
  <c r="N24" i="7"/>
  <c r="N26" i="7"/>
  <c r="N28" i="7"/>
  <c r="N30" i="7"/>
  <c r="N32" i="7"/>
  <c r="N34" i="7"/>
  <c r="N36" i="7"/>
  <c r="N38" i="7"/>
  <c r="N40" i="7"/>
  <c r="N42" i="7"/>
  <c r="N44" i="7"/>
  <c r="N46" i="7"/>
  <c r="N48" i="7"/>
  <c r="N50" i="7"/>
  <c r="N52" i="7"/>
  <c r="N54" i="7"/>
  <c r="N56" i="7"/>
  <c r="N3" i="7"/>
  <c r="N5" i="7"/>
  <c r="N7" i="7"/>
  <c r="N9" i="7"/>
  <c r="N11" i="7"/>
  <c r="N13" i="7"/>
  <c r="N15" i="7"/>
  <c r="N17" i="7"/>
  <c r="N19" i="7"/>
  <c r="N21" i="7"/>
  <c r="N23" i="7"/>
  <c r="N25" i="7"/>
  <c r="N27" i="7"/>
  <c r="N29" i="7"/>
  <c r="N31" i="7"/>
  <c r="N33" i="7"/>
  <c r="N35" i="7"/>
  <c r="N37" i="7"/>
  <c r="N39" i="7"/>
  <c r="N41" i="7"/>
  <c r="N43" i="7"/>
  <c r="N45" i="7"/>
  <c r="N49" i="7"/>
  <c r="N51" i="7"/>
  <c r="N53" i="7"/>
  <c r="N55" i="7"/>
  <c r="N57" i="7"/>
  <c r="N59" i="7"/>
  <c r="N61" i="7"/>
  <c r="N63" i="7"/>
  <c r="N65" i="7"/>
  <c r="N67" i="7"/>
  <c r="N69" i="7"/>
  <c r="N71" i="7"/>
  <c r="N73" i="7"/>
  <c r="N75" i="7"/>
  <c r="N77" i="7"/>
  <c r="N79" i="7"/>
  <c r="N81" i="7"/>
  <c r="N83" i="7"/>
  <c r="N85" i="7"/>
  <c r="N89" i="7"/>
  <c r="N91" i="7"/>
  <c r="N93" i="7"/>
  <c r="N95" i="7"/>
  <c r="N97" i="7"/>
  <c r="N99" i="7"/>
  <c r="N60" i="7"/>
  <c r="N76" i="7"/>
  <c r="N92" i="7"/>
  <c r="N105" i="7"/>
  <c r="N62" i="7"/>
  <c r="N78" i="7"/>
  <c r="N94" i="7"/>
  <c r="N64" i="7"/>
  <c r="N80" i="7"/>
  <c r="N96" i="7"/>
  <c r="N98" i="7"/>
  <c r="N66" i="7"/>
  <c r="N82" i="7"/>
  <c r="N101" i="7"/>
  <c r="N103" i="7"/>
  <c r="N107" i="7"/>
  <c r="N109" i="7"/>
  <c r="N111" i="7"/>
  <c r="N113" i="7"/>
  <c r="N115" i="7"/>
  <c r="N117" i="7"/>
  <c r="N68" i="7"/>
  <c r="N84" i="7"/>
  <c r="N100" i="7"/>
  <c r="N106" i="7"/>
  <c r="N108" i="7"/>
  <c r="N110" i="7"/>
  <c r="N112" i="7"/>
  <c r="N70" i="7"/>
  <c r="N86" i="7"/>
  <c r="N58" i="7"/>
  <c r="N102" i="7"/>
  <c r="N104" i="7"/>
  <c r="N72" i="7"/>
  <c r="N88" i="7"/>
  <c r="N74" i="7"/>
  <c r="N90" i="7"/>
  <c r="N116" i="7"/>
  <c r="N114" i="7"/>
  <c r="K47" i="7"/>
  <c r="I47" i="7"/>
  <c r="M104" i="7"/>
  <c r="H47" i="7"/>
  <c r="H114" i="6"/>
  <c r="M206" i="6"/>
  <c r="G90" i="6"/>
  <c r="F264" i="6"/>
  <c r="J79" i="6"/>
  <c r="K90" i="6"/>
  <c r="K213" i="6"/>
  <c r="G125" i="6"/>
  <c r="I79" i="6"/>
  <c r="K134" i="6"/>
  <c r="G79" i="6"/>
  <c r="N206" i="6"/>
  <c r="L13" i="6"/>
  <c r="I208" i="6"/>
  <c r="L264" i="6"/>
  <c r="K206" i="6"/>
  <c r="H13" i="6"/>
  <c r="F208" i="6"/>
  <c r="F114" i="6"/>
  <c r="H129" i="6"/>
  <c r="G114" i="6"/>
  <c r="J2" i="6"/>
  <c r="J4" i="6"/>
  <c r="J6" i="6"/>
  <c r="J8" i="6"/>
  <c r="J10" i="6"/>
  <c r="J12" i="6"/>
  <c r="J14" i="6"/>
  <c r="J16" i="6"/>
  <c r="J18" i="6"/>
  <c r="J20" i="6"/>
  <c r="J22" i="6"/>
  <c r="J24" i="6"/>
  <c r="J26" i="6"/>
  <c r="J28" i="6"/>
  <c r="J30" i="6"/>
  <c r="J32" i="6"/>
  <c r="J34" i="6"/>
  <c r="J36" i="6"/>
  <c r="J38" i="6"/>
  <c r="J40" i="6"/>
  <c r="J42" i="6"/>
  <c r="J44" i="6"/>
  <c r="J46" i="6"/>
  <c r="J48" i="6"/>
  <c r="J50" i="6"/>
  <c r="J52" i="6"/>
  <c r="J54" i="6"/>
  <c r="J56" i="6"/>
  <c r="J58" i="6"/>
  <c r="J29" i="6"/>
  <c r="J45" i="6"/>
  <c r="J15" i="6"/>
  <c r="J31" i="6"/>
  <c r="J47" i="6"/>
  <c r="J60" i="6"/>
  <c r="J62" i="6"/>
  <c r="J64" i="6"/>
  <c r="J66" i="6"/>
  <c r="J68" i="6"/>
  <c r="J70" i="6"/>
  <c r="J72" i="6"/>
  <c r="J74" i="6"/>
  <c r="J76" i="6"/>
  <c r="J78" i="6"/>
  <c r="J80" i="6"/>
  <c r="J82" i="6"/>
  <c r="J84" i="6"/>
  <c r="J86" i="6"/>
  <c r="J88" i="6"/>
  <c r="J92" i="6"/>
  <c r="J17" i="6"/>
  <c r="J33" i="6"/>
  <c r="J49" i="6"/>
  <c r="J3" i="6"/>
  <c r="J19" i="6"/>
  <c r="J35" i="6"/>
  <c r="J51" i="6"/>
  <c r="J5" i="6"/>
  <c r="J21" i="6"/>
  <c r="J37" i="6"/>
  <c r="J53" i="6"/>
  <c r="J7" i="6"/>
  <c r="J23" i="6"/>
  <c r="J39" i="6"/>
  <c r="J55" i="6"/>
  <c r="J59" i="6"/>
  <c r="J61" i="6"/>
  <c r="J63" i="6"/>
  <c r="J65" i="6"/>
  <c r="J67" i="6"/>
  <c r="J69" i="6"/>
  <c r="J71" i="6"/>
  <c r="J73" i="6"/>
  <c r="J75" i="6"/>
  <c r="J77" i="6"/>
  <c r="J81" i="6"/>
  <c r="J83" i="6"/>
  <c r="J85" i="6"/>
  <c r="J87" i="6"/>
  <c r="J25" i="6"/>
  <c r="J91" i="6"/>
  <c r="J11" i="6"/>
  <c r="J96" i="6"/>
  <c r="J98" i="6"/>
  <c r="J100" i="6"/>
  <c r="J102" i="6"/>
  <c r="J104" i="6"/>
  <c r="J106" i="6"/>
  <c r="J108" i="6"/>
  <c r="J110" i="6"/>
  <c r="J112" i="6"/>
  <c r="J116" i="6"/>
  <c r="J118" i="6"/>
  <c r="J120" i="6"/>
  <c r="J122" i="6"/>
  <c r="J124" i="6"/>
  <c r="J126" i="6"/>
  <c r="J128" i="6"/>
  <c r="J130" i="6"/>
  <c r="J132" i="6"/>
  <c r="J136" i="6"/>
  <c r="J138" i="6"/>
  <c r="J140" i="6"/>
  <c r="J142" i="6"/>
  <c r="J144" i="6"/>
  <c r="J146" i="6"/>
  <c r="J148" i="6"/>
  <c r="J150" i="6"/>
  <c r="J152" i="6"/>
  <c r="J154" i="6"/>
  <c r="J156" i="6"/>
  <c r="J158" i="6"/>
  <c r="J160" i="6"/>
  <c r="J162" i="6"/>
  <c r="J164" i="6"/>
  <c r="J166" i="6"/>
  <c r="J168" i="6"/>
  <c r="J170" i="6"/>
  <c r="J172" i="6"/>
  <c r="J174" i="6"/>
  <c r="J176" i="6"/>
  <c r="J178" i="6"/>
  <c r="J180" i="6"/>
  <c r="J41" i="6"/>
  <c r="J27" i="6"/>
  <c r="J94" i="6"/>
  <c r="J57" i="6"/>
  <c r="J89" i="6"/>
  <c r="J93" i="6"/>
  <c r="J43" i="6"/>
  <c r="J95" i="6"/>
  <c r="J97" i="6"/>
  <c r="J99" i="6"/>
  <c r="J101" i="6"/>
  <c r="J103" i="6"/>
  <c r="J105" i="6"/>
  <c r="J107" i="6"/>
  <c r="J109" i="6"/>
  <c r="J111" i="6"/>
  <c r="J113" i="6"/>
  <c r="J115" i="6"/>
  <c r="J117" i="6"/>
  <c r="J119" i="6"/>
  <c r="J121" i="6"/>
  <c r="J123" i="6"/>
  <c r="J127" i="6"/>
  <c r="J131" i="6"/>
  <c r="J133" i="6"/>
  <c r="J135" i="6"/>
  <c r="J137" i="6"/>
  <c r="J139" i="6"/>
  <c r="J141" i="6"/>
  <c r="J143" i="6"/>
  <c r="J145" i="6"/>
  <c r="J147" i="6"/>
  <c r="J149" i="6"/>
  <c r="J151" i="6"/>
  <c r="J153" i="6"/>
  <c r="J155" i="6"/>
  <c r="J157" i="6"/>
  <c r="J159" i="6"/>
  <c r="J161" i="6"/>
  <c r="J163" i="6"/>
  <c r="J165" i="6"/>
  <c r="J167" i="6"/>
  <c r="J169" i="6"/>
  <c r="J171" i="6"/>
  <c r="J173" i="6"/>
  <c r="J175" i="6"/>
  <c r="J177" i="6"/>
  <c r="J179" i="6"/>
  <c r="J181" i="6"/>
  <c r="J9" i="6"/>
  <c r="J188" i="6"/>
  <c r="J191" i="6"/>
  <c r="J182" i="6"/>
  <c r="J185" i="6"/>
  <c r="J186" i="6"/>
  <c r="J189" i="6"/>
  <c r="J192" i="6"/>
  <c r="J194" i="6"/>
  <c r="J196" i="6"/>
  <c r="J198" i="6"/>
  <c r="J200" i="6"/>
  <c r="J202" i="6"/>
  <c r="J204" i="6"/>
  <c r="J210" i="6"/>
  <c r="J212" i="6"/>
  <c r="J214" i="6"/>
  <c r="J216" i="6"/>
  <c r="J218" i="6"/>
  <c r="J220" i="6"/>
  <c r="J222" i="6"/>
  <c r="J224" i="6"/>
  <c r="J226" i="6"/>
  <c r="J228" i="6"/>
  <c r="J230" i="6"/>
  <c r="J232" i="6"/>
  <c r="J234" i="6"/>
  <c r="J236" i="6"/>
  <c r="J238" i="6"/>
  <c r="J240" i="6"/>
  <c r="J242" i="6"/>
  <c r="J244" i="6"/>
  <c r="J246" i="6"/>
  <c r="J248" i="6"/>
  <c r="J250" i="6"/>
  <c r="J252" i="6"/>
  <c r="J254" i="6"/>
  <c r="J256" i="6"/>
  <c r="J258" i="6"/>
  <c r="J260" i="6"/>
  <c r="J262" i="6"/>
  <c r="J266" i="6"/>
  <c r="J183" i="6"/>
  <c r="J190" i="6"/>
  <c r="J219" i="6"/>
  <c r="J257" i="6"/>
  <c r="J265" i="6"/>
  <c r="J268" i="6"/>
  <c r="J270" i="6"/>
  <c r="J272" i="6"/>
  <c r="J274" i="6"/>
  <c r="J276" i="6"/>
  <c r="J278" i="6"/>
  <c r="J280" i="6"/>
  <c r="J282" i="6"/>
  <c r="J284" i="6"/>
  <c r="J286" i="6"/>
  <c r="J199" i="6"/>
  <c r="J207" i="6"/>
  <c r="J215" i="6"/>
  <c r="J221" i="6"/>
  <c r="J223" i="6"/>
  <c r="J227" i="6"/>
  <c r="J231" i="6"/>
  <c r="J235" i="6"/>
  <c r="J239" i="6"/>
  <c r="J243" i="6"/>
  <c r="J247" i="6"/>
  <c r="J251" i="6"/>
  <c r="J259" i="6"/>
  <c r="J197" i="6"/>
  <c r="J205" i="6"/>
  <c r="J261" i="6"/>
  <c r="J267" i="6"/>
  <c r="J269" i="6"/>
  <c r="J271" i="6"/>
  <c r="J273" i="6"/>
  <c r="J275" i="6"/>
  <c r="J277" i="6"/>
  <c r="J279" i="6"/>
  <c r="J281" i="6"/>
  <c r="J283" i="6"/>
  <c r="J285" i="6"/>
  <c r="J287" i="6"/>
  <c r="J195" i="6"/>
  <c r="J203" i="6"/>
  <c r="J211" i="6"/>
  <c r="J184" i="6"/>
  <c r="J187" i="6"/>
  <c r="J225" i="6"/>
  <c r="J229" i="6"/>
  <c r="J233" i="6"/>
  <c r="J237" i="6"/>
  <c r="J241" i="6"/>
  <c r="J245" i="6"/>
  <c r="J249" i="6"/>
  <c r="J253" i="6"/>
  <c r="J255" i="6"/>
  <c r="J263" i="6"/>
  <c r="J193" i="6"/>
  <c r="J201" i="6"/>
  <c r="J209" i="6"/>
  <c r="J217" i="6"/>
  <c r="L114" i="6"/>
  <c r="M134" i="6"/>
  <c r="I13" i="6"/>
  <c r="J264" i="6"/>
  <c r="L79" i="6"/>
  <c r="N264" i="6"/>
  <c r="I114" i="6"/>
  <c r="N208" i="6"/>
  <c r="M125" i="6"/>
  <c r="L90" i="6"/>
  <c r="K3" i="6"/>
  <c r="K5" i="6"/>
  <c r="K7" i="6"/>
  <c r="K9" i="6"/>
  <c r="K11" i="6"/>
  <c r="K15" i="6"/>
  <c r="K17" i="6"/>
  <c r="K19" i="6"/>
  <c r="K21" i="6"/>
  <c r="K23" i="6"/>
  <c r="K25" i="6"/>
  <c r="K27" i="6"/>
  <c r="K29" i="6"/>
  <c r="K31" i="6"/>
  <c r="K33" i="6"/>
  <c r="K35" i="6"/>
  <c r="K37" i="6"/>
  <c r="K39" i="6"/>
  <c r="K41" i="6"/>
  <c r="K43" i="6"/>
  <c r="K45" i="6"/>
  <c r="K47" i="6"/>
  <c r="K49" i="6"/>
  <c r="K51" i="6"/>
  <c r="K53" i="6"/>
  <c r="K55" i="6"/>
  <c r="K57" i="6"/>
  <c r="K2" i="6"/>
  <c r="K6" i="6"/>
  <c r="K22" i="6"/>
  <c r="K38" i="6"/>
  <c r="K54" i="6"/>
  <c r="K8" i="6"/>
  <c r="K24" i="6"/>
  <c r="K40" i="6"/>
  <c r="K56" i="6"/>
  <c r="K10" i="6"/>
  <c r="K26" i="6"/>
  <c r="K42" i="6"/>
  <c r="K58" i="6"/>
  <c r="K60" i="6"/>
  <c r="K62" i="6"/>
  <c r="K64" i="6"/>
  <c r="K66" i="6"/>
  <c r="K68" i="6"/>
  <c r="K70" i="6"/>
  <c r="K72" i="6"/>
  <c r="K74" i="6"/>
  <c r="K76" i="6"/>
  <c r="K78" i="6"/>
  <c r="K80" i="6"/>
  <c r="K82" i="6"/>
  <c r="K84" i="6"/>
  <c r="K86" i="6"/>
  <c r="K88" i="6"/>
  <c r="K92" i="6"/>
  <c r="K94" i="6"/>
  <c r="K12" i="6"/>
  <c r="K28" i="6"/>
  <c r="K44" i="6"/>
  <c r="K14" i="6"/>
  <c r="K30" i="6"/>
  <c r="K46" i="6"/>
  <c r="K16" i="6"/>
  <c r="K32" i="6"/>
  <c r="K48" i="6"/>
  <c r="K18" i="6"/>
  <c r="K59" i="6"/>
  <c r="K67" i="6"/>
  <c r="K75" i="6"/>
  <c r="K83" i="6"/>
  <c r="K4" i="6"/>
  <c r="K91" i="6"/>
  <c r="K34" i="6"/>
  <c r="K65" i="6"/>
  <c r="K73" i="6"/>
  <c r="K81" i="6"/>
  <c r="K96" i="6"/>
  <c r="K98" i="6"/>
  <c r="K100" i="6"/>
  <c r="K102" i="6"/>
  <c r="K104" i="6"/>
  <c r="K106" i="6"/>
  <c r="K108" i="6"/>
  <c r="K110" i="6"/>
  <c r="K112" i="6"/>
  <c r="K116" i="6"/>
  <c r="K118" i="6"/>
  <c r="K120" i="6"/>
  <c r="K122" i="6"/>
  <c r="K124" i="6"/>
  <c r="K126" i="6"/>
  <c r="K128" i="6"/>
  <c r="K130" i="6"/>
  <c r="K132" i="6"/>
  <c r="K136" i="6"/>
  <c r="K138" i="6"/>
  <c r="K140" i="6"/>
  <c r="K142" i="6"/>
  <c r="K144" i="6"/>
  <c r="K146" i="6"/>
  <c r="K148" i="6"/>
  <c r="K150" i="6"/>
  <c r="K152" i="6"/>
  <c r="K154" i="6"/>
  <c r="K156" i="6"/>
  <c r="K158" i="6"/>
  <c r="K160" i="6"/>
  <c r="K162" i="6"/>
  <c r="K164" i="6"/>
  <c r="K166" i="6"/>
  <c r="K168" i="6"/>
  <c r="K170" i="6"/>
  <c r="K172" i="6"/>
  <c r="K174" i="6"/>
  <c r="K176" i="6"/>
  <c r="K178" i="6"/>
  <c r="K20" i="6"/>
  <c r="K50" i="6"/>
  <c r="K63" i="6"/>
  <c r="K71" i="6"/>
  <c r="K87" i="6"/>
  <c r="K36" i="6"/>
  <c r="K89" i="6"/>
  <c r="K93" i="6"/>
  <c r="K61" i="6"/>
  <c r="K95" i="6"/>
  <c r="K103" i="6"/>
  <c r="K111" i="6"/>
  <c r="K119" i="6"/>
  <c r="K127" i="6"/>
  <c r="K135" i="6"/>
  <c r="K143" i="6"/>
  <c r="K151" i="6"/>
  <c r="K165" i="6"/>
  <c r="K180" i="6"/>
  <c r="K181" i="6"/>
  <c r="K193" i="6"/>
  <c r="K195" i="6"/>
  <c r="K197" i="6"/>
  <c r="K199" i="6"/>
  <c r="K201" i="6"/>
  <c r="K203" i="6"/>
  <c r="K205" i="6"/>
  <c r="K207" i="6"/>
  <c r="K209" i="6"/>
  <c r="K211" i="6"/>
  <c r="K215" i="6"/>
  <c r="K217" i="6"/>
  <c r="K219" i="6"/>
  <c r="K221" i="6"/>
  <c r="K223" i="6"/>
  <c r="K225" i="6"/>
  <c r="K227" i="6"/>
  <c r="K229" i="6"/>
  <c r="K231" i="6"/>
  <c r="K233" i="6"/>
  <c r="K235" i="6"/>
  <c r="K237" i="6"/>
  <c r="K239" i="6"/>
  <c r="K241" i="6"/>
  <c r="K243" i="6"/>
  <c r="K245" i="6"/>
  <c r="K247" i="6"/>
  <c r="K249" i="6"/>
  <c r="K251" i="6"/>
  <c r="K167" i="6"/>
  <c r="K179" i="6"/>
  <c r="K188" i="6"/>
  <c r="K191" i="6"/>
  <c r="K85" i="6"/>
  <c r="K101" i="6"/>
  <c r="K109" i="6"/>
  <c r="K117" i="6"/>
  <c r="K133" i="6"/>
  <c r="K141" i="6"/>
  <c r="K149" i="6"/>
  <c r="K169" i="6"/>
  <c r="K182" i="6"/>
  <c r="K185" i="6"/>
  <c r="K171" i="6"/>
  <c r="K77" i="6"/>
  <c r="K99" i="6"/>
  <c r="K107" i="6"/>
  <c r="K115" i="6"/>
  <c r="K123" i="6"/>
  <c r="K131" i="6"/>
  <c r="K139" i="6"/>
  <c r="K147" i="6"/>
  <c r="K155" i="6"/>
  <c r="K157" i="6"/>
  <c r="K173" i="6"/>
  <c r="K186" i="6"/>
  <c r="K189" i="6"/>
  <c r="K192" i="6"/>
  <c r="K194" i="6"/>
  <c r="K196" i="6"/>
  <c r="K198" i="6"/>
  <c r="K200" i="6"/>
  <c r="K202" i="6"/>
  <c r="K204" i="6"/>
  <c r="K210" i="6"/>
  <c r="K212" i="6"/>
  <c r="K214" i="6"/>
  <c r="K216" i="6"/>
  <c r="K52" i="6"/>
  <c r="K159" i="6"/>
  <c r="K175" i="6"/>
  <c r="K183" i="6"/>
  <c r="K113" i="6"/>
  <c r="K145" i="6"/>
  <c r="K177" i="6"/>
  <c r="K163" i="6"/>
  <c r="K257" i="6"/>
  <c r="K258" i="6"/>
  <c r="K265" i="6"/>
  <c r="K266" i="6"/>
  <c r="K268" i="6"/>
  <c r="K270" i="6"/>
  <c r="K272" i="6"/>
  <c r="K274" i="6"/>
  <c r="K276" i="6"/>
  <c r="K278" i="6"/>
  <c r="K280" i="6"/>
  <c r="K282" i="6"/>
  <c r="K284" i="6"/>
  <c r="K286" i="6"/>
  <c r="K105" i="6"/>
  <c r="K137" i="6"/>
  <c r="K218" i="6"/>
  <c r="K226" i="6"/>
  <c r="K230" i="6"/>
  <c r="K234" i="6"/>
  <c r="K238" i="6"/>
  <c r="K242" i="6"/>
  <c r="K246" i="6"/>
  <c r="K250" i="6"/>
  <c r="K259" i="6"/>
  <c r="K260" i="6"/>
  <c r="K69" i="6"/>
  <c r="K97" i="6"/>
  <c r="K220" i="6"/>
  <c r="K222" i="6"/>
  <c r="K254" i="6"/>
  <c r="K261" i="6"/>
  <c r="K262" i="6"/>
  <c r="K267" i="6"/>
  <c r="K269" i="6"/>
  <c r="K271" i="6"/>
  <c r="K273" i="6"/>
  <c r="K275" i="6"/>
  <c r="K277" i="6"/>
  <c r="K279" i="6"/>
  <c r="K281" i="6"/>
  <c r="K283" i="6"/>
  <c r="K285" i="6"/>
  <c r="K287" i="6"/>
  <c r="K121" i="6"/>
  <c r="K153" i="6"/>
  <c r="K161" i="6"/>
  <c r="K190" i="6"/>
  <c r="K184" i="6"/>
  <c r="K187" i="6"/>
  <c r="K224" i="6"/>
  <c r="K228" i="6"/>
  <c r="K232" i="6"/>
  <c r="K236" i="6"/>
  <c r="K240" i="6"/>
  <c r="K244" i="6"/>
  <c r="K248" i="6"/>
  <c r="K252" i="6"/>
  <c r="K253" i="6"/>
  <c r="K255" i="6"/>
  <c r="K256" i="6"/>
  <c r="K263" i="6"/>
  <c r="H2" i="6"/>
  <c r="H4" i="6"/>
  <c r="H6" i="6"/>
  <c r="H8" i="6"/>
  <c r="H10" i="6"/>
  <c r="H12" i="6"/>
  <c r="H14" i="6"/>
  <c r="H16" i="6"/>
  <c r="H18" i="6"/>
  <c r="H20" i="6"/>
  <c r="H22" i="6"/>
  <c r="H24" i="6"/>
  <c r="H26" i="6"/>
  <c r="H28" i="6"/>
  <c r="H30" i="6"/>
  <c r="H32" i="6"/>
  <c r="H34" i="6"/>
  <c r="H36" i="6"/>
  <c r="H38" i="6"/>
  <c r="H40" i="6"/>
  <c r="H42" i="6"/>
  <c r="H44" i="6"/>
  <c r="H46" i="6"/>
  <c r="H48" i="6"/>
  <c r="H50" i="6"/>
  <c r="H52" i="6"/>
  <c r="H54" i="6"/>
  <c r="H56" i="6"/>
  <c r="H58" i="6"/>
  <c r="H15" i="6"/>
  <c r="H31" i="6"/>
  <c r="H47" i="6"/>
  <c r="H17" i="6"/>
  <c r="H33" i="6"/>
  <c r="H49" i="6"/>
  <c r="H3" i="6"/>
  <c r="H19" i="6"/>
  <c r="H35" i="6"/>
  <c r="H51" i="6"/>
  <c r="H5" i="6"/>
  <c r="H21" i="6"/>
  <c r="H37" i="6"/>
  <c r="H53" i="6"/>
  <c r="H59" i="6"/>
  <c r="H61" i="6"/>
  <c r="H63" i="6"/>
  <c r="H65" i="6"/>
  <c r="H67" i="6"/>
  <c r="H69" i="6"/>
  <c r="H71" i="6"/>
  <c r="H73" i="6"/>
  <c r="H75" i="6"/>
  <c r="H77" i="6"/>
  <c r="H81" i="6"/>
  <c r="H83" i="6"/>
  <c r="H85" i="6"/>
  <c r="H87" i="6"/>
  <c r="H89" i="6"/>
  <c r="H91" i="6"/>
  <c r="H93" i="6"/>
  <c r="H7" i="6"/>
  <c r="H23" i="6"/>
  <c r="H39" i="6"/>
  <c r="H55" i="6"/>
  <c r="H9" i="6"/>
  <c r="H25" i="6"/>
  <c r="H41" i="6"/>
  <c r="H57" i="6"/>
  <c r="H11" i="6"/>
  <c r="H62" i="6"/>
  <c r="H70" i="6"/>
  <c r="H78" i="6"/>
  <c r="H86" i="6"/>
  <c r="H27" i="6"/>
  <c r="H94" i="6"/>
  <c r="H60" i="6"/>
  <c r="H68" i="6"/>
  <c r="H76" i="6"/>
  <c r="H84" i="6"/>
  <c r="H95" i="6"/>
  <c r="H97" i="6"/>
  <c r="H99" i="6"/>
  <c r="H101" i="6"/>
  <c r="H103" i="6"/>
  <c r="H105" i="6"/>
  <c r="H107" i="6"/>
  <c r="H109" i="6"/>
  <c r="H111" i="6"/>
  <c r="H113" i="6"/>
  <c r="H115" i="6"/>
  <c r="H117" i="6"/>
  <c r="H119" i="6"/>
  <c r="H121" i="6"/>
  <c r="H123" i="6"/>
  <c r="H127" i="6"/>
  <c r="H131" i="6"/>
  <c r="H133" i="6"/>
  <c r="H135" i="6"/>
  <c r="H137" i="6"/>
  <c r="H139" i="6"/>
  <c r="H141" i="6"/>
  <c r="H143" i="6"/>
  <c r="H145" i="6"/>
  <c r="H147" i="6"/>
  <c r="H149" i="6"/>
  <c r="H151" i="6"/>
  <c r="H153" i="6"/>
  <c r="H155" i="6"/>
  <c r="H157" i="6"/>
  <c r="H159" i="6"/>
  <c r="H161" i="6"/>
  <c r="H163" i="6"/>
  <c r="H165" i="6"/>
  <c r="H167" i="6"/>
  <c r="H169" i="6"/>
  <c r="H171" i="6"/>
  <c r="H173" i="6"/>
  <c r="H175" i="6"/>
  <c r="H177" i="6"/>
  <c r="H43" i="6"/>
  <c r="H29" i="6"/>
  <c r="H66" i="6"/>
  <c r="H74" i="6"/>
  <c r="H82" i="6"/>
  <c r="H158" i="6"/>
  <c r="H174" i="6"/>
  <c r="H182" i="6"/>
  <c r="H72" i="6"/>
  <c r="H98" i="6"/>
  <c r="H106" i="6"/>
  <c r="H122" i="6"/>
  <c r="H130" i="6"/>
  <c r="H138" i="6"/>
  <c r="H146" i="6"/>
  <c r="H154" i="6"/>
  <c r="H160" i="6"/>
  <c r="H176" i="6"/>
  <c r="H189" i="6"/>
  <c r="H192" i="6"/>
  <c r="H194" i="6"/>
  <c r="H196" i="6"/>
  <c r="H198" i="6"/>
  <c r="H200" i="6"/>
  <c r="H202" i="6"/>
  <c r="H204" i="6"/>
  <c r="H210" i="6"/>
  <c r="H212" i="6"/>
  <c r="H214" i="6"/>
  <c r="H216" i="6"/>
  <c r="H218" i="6"/>
  <c r="H220" i="6"/>
  <c r="H222" i="6"/>
  <c r="H224" i="6"/>
  <c r="H226" i="6"/>
  <c r="H228" i="6"/>
  <c r="H230" i="6"/>
  <c r="H232" i="6"/>
  <c r="H234" i="6"/>
  <c r="H236" i="6"/>
  <c r="H238" i="6"/>
  <c r="H240" i="6"/>
  <c r="H242" i="6"/>
  <c r="H244" i="6"/>
  <c r="H246" i="6"/>
  <c r="H248" i="6"/>
  <c r="H250" i="6"/>
  <c r="H252" i="6"/>
  <c r="H254" i="6"/>
  <c r="H92" i="6"/>
  <c r="H162" i="6"/>
  <c r="H178" i="6"/>
  <c r="H183" i="6"/>
  <c r="H186" i="6"/>
  <c r="H45" i="6"/>
  <c r="H64" i="6"/>
  <c r="H96" i="6"/>
  <c r="H104" i="6"/>
  <c r="H112" i="6"/>
  <c r="H120" i="6"/>
  <c r="H128" i="6"/>
  <c r="H136" i="6"/>
  <c r="H144" i="6"/>
  <c r="H152" i="6"/>
  <c r="H164" i="6"/>
  <c r="H166" i="6"/>
  <c r="H187" i="6"/>
  <c r="H190" i="6"/>
  <c r="H88" i="6"/>
  <c r="H102" i="6"/>
  <c r="H110" i="6"/>
  <c r="H118" i="6"/>
  <c r="H126" i="6"/>
  <c r="H142" i="6"/>
  <c r="H150" i="6"/>
  <c r="H168" i="6"/>
  <c r="H184" i="6"/>
  <c r="H193" i="6"/>
  <c r="H195" i="6"/>
  <c r="H197" i="6"/>
  <c r="H199" i="6"/>
  <c r="H201" i="6"/>
  <c r="H203" i="6"/>
  <c r="H205" i="6"/>
  <c r="H207" i="6"/>
  <c r="H209" i="6"/>
  <c r="H211" i="6"/>
  <c r="H215" i="6"/>
  <c r="H217" i="6"/>
  <c r="H219" i="6"/>
  <c r="H221" i="6"/>
  <c r="H223" i="6"/>
  <c r="H170" i="6"/>
  <c r="H191" i="6"/>
  <c r="H227" i="6"/>
  <c r="H231" i="6"/>
  <c r="H235" i="6"/>
  <c r="H239" i="6"/>
  <c r="H243" i="6"/>
  <c r="H247" i="6"/>
  <c r="H251" i="6"/>
  <c r="H258" i="6"/>
  <c r="H259" i="6"/>
  <c r="H266" i="6"/>
  <c r="H124" i="6"/>
  <c r="H156" i="6"/>
  <c r="H185" i="6"/>
  <c r="H188" i="6"/>
  <c r="H260" i="6"/>
  <c r="H261" i="6"/>
  <c r="H267" i="6"/>
  <c r="H269" i="6"/>
  <c r="H271" i="6"/>
  <c r="H273" i="6"/>
  <c r="H275" i="6"/>
  <c r="H277" i="6"/>
  <c r="H279" i="6"/>
  <c r="H281" i="6"/>
  <c r="H283" i="6"/>
  <c r="H285" i="6"/>
  <c r="H287" i="6"/>
  <c r="H116" i="6"/>
  <c r="H148" i="6"/>
  <c r="H172" i="6"/>
  <c r="H179" i="6"/>
  <c r="H225" i="6"/>
  <c r="H229" i="6"/>
  <c r="H233" i="6"/>
  <c r="H237" i="6"/>
  <c r="H241" i="6"/>
  <c r="H245" i="6"/>
  <c r="H249" i="6"/>
  <c r="H253" i="6"/>
  <c r="H255" i="6"/>
  <c r="H262" i="6"/>
  <c r="H263" i="6"/>
  <c r="H108" i="6"/>
  <c r="H140" i="6"/>
  <c r="H180" i="6"/>
  <c r="H181" i="6"/>
  <c r="H256" i="6"/>
  <c r="H257" i="6"/>
  <c r="H265" i="6"/>
  <c r="H268" i="6"/>
  <c r="H270" i="6"/>
  <c r="H272" i="6"/>
  <c r="H274" i="6"/>
  <c r="H276" i="6"/>
  <c r="H278" i="6"/>
  <c r="H280" i="6"/>
  <c r="H80" i="6"/>
  <c r="H100" i="6"/>
  <c r="H132" i="6"/>
  <c r="H286" i="6"/>
  <c r="H284" i="6"/>
  <c r="H282" i="6"/>
  <c r="H213" i="6"/>
  <c r="N90" i="6"/>
  <c r="L213" i="6"/>
  <c r="N13" i="6"/>
  <c r="K208" i="6"/>
  <c r="M79" i="6"/>
  <c r="L129" i="6"/>
  <c r="I90" i="6"/>
  <c r="L208" i="6"/>
  <c r="L134" i="6"/>
  <c r="G208" i="6"/>
  <c r="M208" i="6"/>
  <c r="G264" i="6"/>
  <c r="K125" i="6"/>
  <c r="F2" i="6"/>
  <c r="F3" i="6"/>
  <c r="F5" i="6"/>
  <c r="F7" i="6"/>
  <c r="F9" i="6"/>
  <c r="F11" i="6"/>
  <c r="F15" i="6"/>
  <c r="F17" i="6"/>
  <c r="F19" i="6"/>
  <c r="F21" i="6"/>
  <c r="F23" i="6"/>
  <c r="F25" i="6"/>
  <c r="F27" i="6"/>
  <c r="F29" i="6"/>
  <c r="F31" i="6"/>
  <c r="F33" i="6"/>
  <c r="F35" i="6"/>
  <c r="F37" i="6"/>
  <c r="F39" i="6"/>
  <c r="F41" i="6"/>
  <c r="F43" i="6"/>
  <c r="F45" i="6"/>
  <c r="F47" i="6"/>
  <c r="F49" i="6"/>
  <c r="F51" i="6"/>
  <c r="F53" i="6"/>
  <c r="F55" i="6"/>
  <c r="F57" i="6"/>
  <c r="F8" i="6"/>
  <c r="F24" i="6"/>
  <c r="F40" i="6"/>
  <c r="F56" i="6"/>
  <c r="F10" i="6"/>
  <c r="F26" i="6"/>
  <c r="F42" i="6"/>
  <c r="F58" i="6"/>
  <c r="F59" i="6"/>
  <c r="F61" i="6"/>
  <c r="F63" i="6"/>
  <c r="F65" i="6"/>
  <c r="F67" i="6"/>
  <c r="F69" i="6"/>
  <c r="F71" i="6"/>
  <c r="F73" i="6"/>
  <c r="F75" i="6"/>
  <c r="F77" i="6"/>
  <c r="F81" i="6"/>
  <c r="F83" i="6"/>
  <c r="F85" i="6"/>
  <c r="F87" i="6"/>
  <c r="F89" i="6"/>
  <c r="F91" i="6"/>
  <c r="F93" i="6"/>
  <c r="F12" i="6"/>
  <c r="F28" i="6"/>
  <c r="F44" i="6"/>
  <c r="F14" i="6"/>
  <c r="F30" i="6"/>
  <c r="F46" i="6"/>
  <c r="F16" i="6"/>
  <c r="F32" i="6"/>
  <c r="F48" i="6"/>
  <c r="F18" i="6"/>
  <c r="F34" i="6"/>
  <c r="F50" i="6"/>
  <c r="F60" i="6"/>
  <c r="F62" i="6"/>
  <c r="F64" i="6"/>
  <c r="F66" i="6"/>
  <c r="F68" i="6"/>
  <c r="F70" i="6"/>
  <c r="F72" i="6"/>
  <c r="F74" i="6"/>
  <c r="F76" i="6"/>
  <c r="F78" i="6"/>
  <c r="F80" i="6"/>
  <c r="F82" i="6"/>
  <c r="F84" i="6"/>
  <c r="F86" i="6"/>
  <c r="F88" i="6"/>
  <c r="F4" i="6"/>
  <c r="F94" i="6"/>
  <c r="F54" i="6"/>
  <c r="F95" i="6"/>
  <c r="F97" i="6"/>
  <c r="F99" i="6"/>
  <c r="F101" i="6"/>
  <c r="F103" i="6"/>
  <c r="F105" i="6"/>
  <c r="F107" i="6"/>
  <c r="F109" i="6"/>
  <c r="F111" i="6"/>
  <c r="F113" i="6"/>
  <c r="F115" i="6"/>
  <c r="F117" i="6"/>
  <c r="F119" i="6"/>
  <c r="F121" i="6"/>
  <c r="F123" i="6"/>
  <c r="F127" i="6"/>
  <c r="F131" i="6"/>
  <c r="F133" i="6"/>
  <c r="F135" i="6"/>
  <c r="F137" i="6"/>
  <c r="F139" i="6"/>
  <c r="F141" i="6"/>
  <c r="F143" i="6"/>
  <c r="F145" i="6"/>
  <c r="F147" i="6"/>
  <c r="F149" i="6"/>
  <c r="F151" i="6"/>
  <c r="F153" i="6"/>
  <c r="F155" i="6"/>
  <c r="F157" i="6"/>
  <c r="F159" i="6"/>
  <c r="F161" i="6"/>
  <c r="F163" i="6"/>
  <c r="F165" i="6"/>
  <c r="F167" i="6"/>
  <c r="F169" i="6"/>
  <c r="F171" i="6"/>
  <c r="F173" i="6"/>
  <c r="F175" i="6"/>
  <c r="F177" i="6"/>
  <c r="F179" i="6"/>
  <c r="F181" i="6"/>
  <c r="F20" i="6"/>
  <c r="F6" i="6"/>
  <c r="F36" i="6"/>
  <c r="F92" i="6"/>
  <c r="F22" i="6"/>
  <c r="F96" i="6"/>
  <c r="F98" i="6"/>
  <c r="F100" i="6"/>
  <c r="F102" i="6"/>
  <c r="F104" i="6"/>
  <c r="F106" i="6"/>
  <c r="F108" i="6"/>
  <c r="F110" i="6"/>
  <c r="F112" i="6"/>
  <c r="F116" i="6"/>
  <c r="F118" i="6"/>
  <c r="F120" i="6"/>
  <c r="F122" i="6"/>
  <c r="F124" i="6"/>
  <c r="F126" i="6"/>
  <c r="F128" i="6"/>
  <c r="F130" i="6"/>
  <c r="F132" i="6"/>
  <c r="F136" i="6"/>
  <c r="F138" i="6"/>
  <c r="F140" i="6"/>
  <c r="F142" i="6"/>
  <c r="F144" i="6"/>
  <c r="F146" i="6"/>
  <c r="F148" i="6"/>
  <c r="F150" i="6"/>
  <c r="F152" i="6"/>
  <c r="F154" i="6"/>
  <c r="F156" i="6"/>
  <c r="F158" i="6"/>
  <c r="F160" i="6"/>
  <c r="F162" i="6"/>
  <c r="F164" i="6"/>
  <c r="F166" i="6"/>
  <c r="F168" i="6"/>
  <c r="F170" i="6"/>
  <c r="F172" i="6"/>
  <c r="F174" i="6"/>
  <c r="F176" i="6"/>
  <c r="F178" i="6"/>
  <c r="F180" i="6"/>
  <c r="F183" i="6"/>
  <c r="F186" i="6"/>
  <c r="F38" i="6"/>
  <c r="F187" i="6"/>
  <c r="F190" i="6"/>
  <c r="F184" i="6"/>
  <c r="F193" i="6"/>
  <c r="F195" i="6"/>
  <c r="F197" i="6"/>
  <c r="F199" i="6"/>
  <c r="F201" i="6"/>
  <c r="F203" i="6"/>
  <c r="F205" i="6"/>
  <c r="F207" i="6"/>
  <c r="F209" i="6"/>
  <c r="F211" i="6"/>
  <c r="F215" i="6"/>
  <c r="F217" i="6"/>
  <c r="F219" i="6"/>
  <c r="F221" i="6"/>
  <c r="F223" i="6"/>
  <c r="F225" i="6"/>
  <c r="F227" i="6"/>
  <c r="F229" i="6"/>
  <c r="F231" i="6"/>
  <c r="F233" i="6"/>
  <c r="F235" i="6"/>
  <c r="F237" i="6"/>
  <c r="F239" i="6"/>
  <c r="F241" i="6"/>
  <c r="F243" i="6"/>
  <c r="F245" i="6"/>
  <c r="F247" i="6"/>
  <c r="F249" i="6"/>
  <c r="F251" i="6"/>
  <c r="F253" i="6"/>
  <c r="F255" i="6"/>
  <c r="F257" i="6"/>
  <c r="F259" i="6"/>
  <c r="F261" i="6"/>
  <c r="F263" i="6"/>
  <c r="F265" i="6"/>
  <c r="F52" i="6"/>
  <c r="F191" i="6"/>
  <c r="F185" i="6"/>
  <c r="F188" i="6"/>
  <c r="F182" i="6"/>
  <c r="F260" i="6"/>
  <c r="F267" i="6"/>
  <c r="F269" i="6"/>
  <c r="F271" i="6"/>
  <c r="F273" i="6"/>
  <c r="F275" i="6"/>
  <c r="F277" i="6"/>
  <c r="F279" i="6"/>
  <c r="F281" i="6"/>
  <c r="F283" i="6"/>
  <c r="F285" i="6"/>
  <c r="F287" i="6"/>
  <c r="F194" i="6"/>
  <c r="F202" i="6"/>
  <c r="F210" i="6"/>
  <c r="F218" i="6"/>
  <c r="F226" i="6"/>
  <c r="F230" i="6"/>
  <c r="F234" i="6"/>
  <c r="F238" i="6"/>
  <c r="F242" i="6"/>
  <c r="F246" i="6"/>
  <c r="F250" i="6"/>
  <c r="F262" i="6"/>
  <c r="F189" i="6"/>
  <c r="F192" i="6"/>
  <c r="F200" i="6"/>
  <c r="F216" i="6"/>
  <c r="F220" i="6"/>
  <c r="F254" i="6"/>
  <c r="F222" i="6"/>
  <c r="F256" i="6"/>
  <c r="F268" i="6"/>
  <c r="F270" i="6"/>
  <c r="F272" i="6"/>
  <c r="F274" i="6"/>
  <c r="F276" i="6"/>
  <c r="F278" i="6"/>
  <c r="F280" i="6"/>
  <c r="F282" i="6"/>
  <c r="F284" i="6"/>
  <c r="F286" i="6"/>
  <c r="F198" i="6"/>
  <c r="F214" i="6"/>
  <c r="F224" i="6"/>
  <c r="F228" i="6"/>
  <c r="F232" i="6"/>
  <c r="F236" i="6"/>
  <c r="F240" i="6"/>
  <c r="F244" i="6"/>
  <c r="F248" i="6"/>
  <c r="F252" i="6"/>
  <c r="F258" i="6"/>
  <c r="F266" i="6"/>
  <c r="F196" i="6"/>
  <c r="F204" i="6"/>
  <c r="F212" i="6"/>
  <c r="J208" i="6"/>
  <c r="F90" i="6"/>
  <c r="G129" i="6"/>
  <c r="N213" i="6"/>
  <c r="H206" i="6"/>
  <c r="F13" i="6"/>
  <c r="I129" i="6"/>
  <c r="G13" i="6"/>
  <c r="M13" i="6"/>
  <c r="H134" i="6"/>
  <c r="F129" i="6"/>
  <c r="I134" i="6"/>
  <c r="M2" i="6"/>
  <c r="M4" i="6"/>
  <c r="M6" i="6"/>
  <c r="M8" i="6"/>
  <c r="M10" i="6"/>
  <c r="M12" i="6"/>
  <c r="M14" i="6"/>
  <c r="M16" i="6"/>
  <c r="M18" i="6"/>
  <c r="M20" i="6"/>
  <c r="M22" i="6"/>
  <c r="M24" i="6"/>
  <c r="M26" i="6"/>
  <c r="M28" i="6"/>
  <c r="M30" i="6"/>
  <c r="M32" i="6"/>
  <c r="M34" i="6"/>
  <c r="M36" i="6"/>
  <c r="M38" i="6"/>
  <c r="M40" i="6"/>
  <c r="M42" i="6"/>
  <c r="M44" i="6"/>
  <c r="M46" i="6"/>
  <c r="M48" i="6"/>
  <c r="M50" i="6"/>
  <c r="M52" i="6"/>
  <c r="M54" i="6"/>
  <c r="M56" i="6"/>
  <c r="M3" i="6"/>
  <c r="M5" i="6"/>
  <c r="M7" i="6"/>
  <c r="M9" i="6"/>
  <c r="M11" i="6"/>
  <c r="M15" i="6"/>
  <c r="M17" i="6"/>
  <c r="M19" i="6"/>
  <c r="M21" i="6"/>
  <c r="M23" i="6"/>
  <c r="M25" i="6"/>
  <c r="M27" i="6"/>
  <c r="M29" i="6"/>
  <c r="M31" i="6"/>
  <c r="M33" i="6"/>
  <c r="M35" i="6"/>
  <c r="M37" i="6"/>
  <c r="M39" i="6"/>
  <c r="M41" i="6"/>
  <c r="M43" i="6"/>
  <c r="M45" i="6"/>
  <c r="M47" i="6"/>
  <c r="M49" i="6"/>
  <c r="M51" i="6"/>
  <c r="M53" i="6"/>
  <c r="M55" i="6"/>
  <c r="M57" i="6"/>
  <c r="M59" i="6"/>
  <c r="M61" i="6"/>
  <c r="M63" i="6"/>
  <c r="M65" i="6"/>
  <c r="M67" i="6"/>
  <c r="M69" i="6"/>
  <c r="M71" i="6"/>
  <c r="M73" i="6"/>
  <c r="M75" i="6"/>
  <c r="M77" i="6"/>
  <c r="M81" i="6"/>
  <c r="M83" i="6"/>
  <c r="M85" i="6"/>
  <c r="M87" i="6"/>
  <c r="M89" i="6"/>
  <c r="M91" i="6"/>
  <c r="M93" i="6"/>
  <c r="M58" i="6"/>
  <c r="M60" i="6"/>
  <c r="M62" i="6"/>
  <c r="M64" i="6"/>
  <c r="M66" i="6"/>
  <c r="M68" i="6"/>
  <c r="M70" i="6"/>
  <c r="M72" i="6"/>
  <c r="M74" i="6"/>
  <c r="M76" i="6"/>
  <c r="M78" i="6"/>
  <c r="M80" i="6"/>
  <c r="M82" i="6"/>
  <c r="M84" i="6"/>
  <c r="M86" i="6"/>
  <c r="M88" i="6"/>
  <c r="M95" i="6"/>
  <c r="M97" i="6"/>
  <c r="M99" i="6"/>
  <c r="M101" i="6"/>
  <c r="M103" i="6"/>
  <c r="M105" i="6"/>
  <c r="M107" i="6"/>
  <c r="M109" i="6"/>
  <c r="M111" i="6"/>
  <c r="M113" i="6"/>
  <c r="M115" i="6"/>
  <c r="M117" i="6"/>
  <c r="M119" i="6"/>
  <c r="M121" i="6"/>
  <c r="M123" i="6"/>
  <c r="M127" i="6"/>
  <c r="M131" i="6"/>
  <c r="M133" i="6"/>
  <c r="M135" i="6"/>
  <c r="M137" i="6"/>
  <c r="M139" i="6"/>
  <c r="M141" i="6"/>
  <c r="M143" i="6"/>
  <c r="M145" i="6"/>
  <c r="M147" i="6"/>
  <c r="M149" i="6"/>
  <c r="M151" i="6"/>
  <c r="M153" i="6"/>
  <c r="M155" i="6"/>
  <c r="M157" i="6"/>
  <c r="M159" i="6"/>
  <c r="M161" i="6"/>
  <c r="M163" i="6"/>
  <c r="M165" i="6"/>
  <c r="M167" i="6"/>
  <c r="M169" i="6"/>
  <c r="M171" i="6"/>
  <c r="M173" i="6"/>
  <c r="M175" i="6"/>
  <c r="M177" i="6"/>
  <c r="M179" i="6"/>
  <c r="M181" i="6"/>
  <c r="M183" i="6"/>
  <c r="M185" i="6"/>
  <c r="M187" i="6"/>
  <c r="M189" i="6"/>
  <c r="M191" i="6"/>
  <c r="M94" i="6"/>
  <c r="M96" i="6"/>
  <c r="M98" i="6"/>
  <c r="M100" i="6"/>
  <c r="M102" i="6"/>
  <c r="M104" i="6"/>
  <c r="M106" i="6"/>
  <c r="M108" i="6"/>
  <c r="M110" i="6"/>
  <c r="M112" i="6"/>
  <c r="M116" i="6"/>
  <c r="M118" i="6"/>
  <c r="M120" i="6"/>
  <c r="M122" i="6"/>
  <c r="M124" i="6"/>
  <c r="M126" i="6"/>
  <c r="M128" i="6"/>
  <c r="M130" i="6"/>
  <c r="M132" i="6"/>
  <c r="M136" i="6"/>
  <c r="M138" i="6"/>
  <c r="M140" i="6"/>
  <c r="M142" i="6"/>
  <c r="M144" i="6"/>
  <c r="M146" i="6"/>
  <c r="M148" i="6"/>
  <c r="M150" i="6"/>
  <c r="M152" i="6"/>
  <c r="M154" i="6"/>
  <c r="M156" i="6"/>
  <c r="M172" i="6"/>
  <c r="M190" i="6"/>
  <c r="M158" i="6"/>
  <c r="M174" i="6"/>
  <c r="M184" i="6"/>
  <c r="M160" i="6"/>
  <c r="M176" i="6"/>
  <c r="M180" i="6"/>
  <c r="M193" i="6"/>
  <c r="M195" i="6"/>
  <c r="M197" i="6"/>
  <c r="M199" i="6"/>
  <c r="M201" i="6"/>
  <c r="M203" i="6"/>
  <c r="M205" i="6"/>
  <c r="M207" i="6"/>
  <c r="M209" i="6"/>
  <c r="M211" i="6"/>
  <c r="M215" i="6"/>
  <c r="M217" i="6"/>
  <c r="M219" i="6"/>
  <c r="M221" i="6"/>
  <c r="M223" i="6"/>
  <c r="M225" i="6"/>
  <c r="M227" i="6"/>
  <c r="M229" i="6"/>
  <c r="M231" i="6"/>
  <c r="M233" i="6"/>
  <c r="M235" i="6"/>
  <c r="M237" i="6"/>
  <c r="M239" i="6"/>
  <c r="M241" i="6"/>
  <c r="M243" i="6"/>
  <c r="M245" i="6"/>
  <c r="M247" i="6"/>
  <c r="M249" i="6"/>
  <c r="M251" i="6"/>
  <c r="M253" i="6"/>
  <c r="M255" i="6"/>
  <c r="M257" i="6"/>
  <c r="M259" i="6"/>
  <c r="M261" i="6"/>
  <c r="M263" i="6"/>
  <c r="M265" i="6"/>
  <c r="M92" i="6"/>
  <c r="M162" i="6"/>
  <c r="M178" i="6"/>
  <c r="M188" i="6"/>
  <c r="M164" i="6"/>
  <c r="M182" i="6"/>
  <c r="M166" i="6"/>
  <c r="M196" i="6"/>
  <c r="M204" i="6"/>
  <c r="M212" i="6"/>
  <c r="M170" i="6"/>
  <c r="M224" i="6"/>
  <c r="M228" i="6"/>
  <c r="M232" i="6"/>
  <c r="M236" i="6"/>
  <c r="M240" i="6"/>
  <c r="M244" i="6"/>
  <c r="M248" i="6"/>
  <c r="M252" i="6"/>
  <c r="M256" i="6"/>
  <c r="M194" i="6"/>
  <c r="M202" i="6"/>
  <c r="M210" i="6"/>
  <c r="M258" i="6"/>
  <c r="M266" i="6"/>
  <c r="M268" i="6"/>
  <c r="M270" i="6"/>
  <c r="M272" i="6"/>
  <c r="M274" i="6"/>
  <c r="M276" i="6"/>
  <c r="M278" i="6"/>
  <c r="M280" i="6"/>
  <c r="M282" i="6"/>
  <c r="M284" i="6"/>
  <c r="M286" i="6"/>
  <c r="M186" i="6"/>
  <c r="M192" i="6"/>
  <c r="M200" i="6"/>
  <c r="M216" i="6"/>
  <c r="M218" i="6"/>
  <c r="M220" i="6"/>
  <c r="M226" i="6"/>
  <c r="M230" i="6"/>
  <c r="M234" i="6"/>
  <c r="M238" i="6"/>
  <c r="M242" i="6"/>
  <c r="M246" i="6"/>
  <c r="M250" i="6"/>
  <c r="M260" i="6"/>
  <c r="M168" i="6"/>
  <c r="M198" i="6"/>
  <c r="M214" i="6"/>
  <c r="M222" i="6"/>
  <c r="M254" i="6"/>
  <c r="M262" i="6"/>
  <c r="M267" i="6"/>
  <c r="M269" i="6"/>
  <c r="M271" i="6"/>
  <c r="M273" i="6"/>
  <c r="M275" i="6"/>
  <c r="M277" i="6"/>
  <c r="M279" i="6"/>
  <c r="M283" i="6"/>
  <c r="M281" i="6"/>
  <c r="M285" i="6"/>
  <c r="M287" i="6"/>
  <c r="J125" i="6"/>
  <c r="J90" i="6"/>
  <c r="F206" i="6"/>
  <c r="I3" i="6"/>
  <c r="I5" i="6"/>
  <c r="I7" i="6"/>
  <c r="I9" i="6"/>
  <c r="I11" i="6"/>
  <c r="I15" i="6"/>
  <c r="I17" i="6"/>
  <c r="I19" i="6"/>
  <c r="I21" i="6"/>
  <c r="I23" i="6"/>
  <c r="I25" i="6"/>
  <c r="I27" i="6"/>
  <c r="I29" i="6"/>
  <c r="I31" i="6"/>
  <c r="I33" i="6"/>
  <c r="I35" i="6"/>
  <c r="I37" i="6"/>
  <c r="I39" i="6"/>
  <c r="I41" i="6"/>
  <c r="I43" i="6"/>
  <c r="I45" i="6"/>
  <c r="I47" i="6"/>
  <c r="I49" i="6"/>
  <c r="I51" i="6"/>
  <c r="I53" i="6"/>
  <c r="I55" i="6"/>
  <c r="I57" i="6"/>
  <c r="I2" i="6"/>
  <c r="I4" i="6"/>
  <c r="I6" i="6"/>
  <c r="I8" i="6"/>
  <c r="I10" i="6"/>
  <c r="I12" i="6"/>
  <c r="I14" i="6"/>
  <c r="I16" i="6"/>
  <c r="I18" i="6"/>
  <c r="I20" i="6"/>
  <c r="I22" i="6"/>
  <c r="I24" i="6"/>
  <c r="I26" i="6"/>
  <c r="I28" i="6"/>
  <c r="I30" i="6"/>
  <c r="I32" i="6"/>
  <c r="I34" i="6"/>
  <c r="I36" i="6"/>
  <c r="I38" i="6"/>
  <c r="I40" i="6"/>
  <c r="I42" i="6"/>
  <c r="I44" i="6"/>
  <c r="I46" i="6"/>
  <c r="I48" i="6"/>
  <c r="I50" i="6"/>
  <c r="I52" i="6"/>
  <c r="I54" i="6"/>
  <c r="I56" i="6"/>
  <c r="I58" i="6"/>
  <c r="I60" i="6"/>
  <c r="I62" i="6"/>
  <c r="I64" i="6"/>
  <c r="I66" i="6"/>
  <c r="I68" i="6"/>
  <c r="I70" i="6"/>
  <c r="I72" i="6"/>
  <c r="I74" i="6"/>
  <c r="I76" i="6"/>
  <c r="I78" i="6"/>
  <c r="I80" i="6"/>
  <c r="I82" i="6"/>
  <c r="I84" i="6"/>
  <c r="I86" i="6"/>
  <c r="I88" i="6"/>
  <c r="I92" i="6"/>
  <c r="I94" i="6"/>
  <c r="I59" i="6"/>
  <c r="I61" i="6"/>
  <c r="I63" i="6"/>
  <c r="I65" i="6"/>
  <c r="I67" i="6"/>
  <c r="I69" i="6"/>
  <c r="I71" i="6"/>
  <c r="I73" i="6"/>
  <c r="I75" i="6"/>
  <c r="I77" i="6"/>
  <c r="I81" i="6"/>
  <c r="I83" i="6"/>
  <c r="I85" i="6"/>
  <c r="I87" i="6"/>
  <c r="I96" i="6"/>
  <c r="I98" i="6"/>
  <c r="I100" i="6"/>
  <c r="I102" i="6"/>
  <c r="I104" i="6"/>
  <c r="I106" i="6"/>
  <c r="I108" i="6"/>
  <c r="I110" i="6"/>
  <c r="I112" i="6"/>
  <c r="I116" i="6"/>
  <c r="I118" i="6"/>
  <c r="I120" i="6"/>
  <c r="I122" i="6"/>
  <c r="I124" i="6"/>
  <c r="I126" i="6"/>
  <c r="I128" i="6"/>
  <c r="I130" i="6"/>
  <c r="I132" i="6"/>
  <c r="I136" i="6"/>
  <c r="I138" i="6"/>
  <c r="I140" i="6"/>
  <c r="I142" i="6"/>
  <c r="I144" i="6"/>
  <c r="I146" i="6"/>
  <c r="I148" i="6"/>
  <c r="I150" i="6"/>
  <c r="I152" i="6"/>
  <c r="I154" i="6"/>
  <c r="I156" i="6"/>
  <c r="I158" i="6"/>
  <c r="I160" i="6"/>
  <c r="I162" i="6"/>
  <c r="I164" i="6"/>
  <c r="I166" i="6"/>
  <c r="I168" i="6"/>
  <c r="I170" i="6"/>
  <c r="I172" i="6"/>
  <c r="I174" i="6"/>
  <c r="I176" i="6"/>
  <c r="I178" i="6"/>
  <c r="I180" i="6"/>
  <c r="I182" i="6"/>
  <c r="I184" i="6"/>
  <c r="I186" i="6"/>
  <c r="I188" i="6"/>
  <c r="I190" i="6"/>
  <c r="I89" i="6"/>
  <c r="I93" i="6"/>
  <c r="I95" i="6"/>
  <c r="I97" i="6"/>
  <c r="I99" i="6"/>
  <c r="I101" i="6"/>
  <c r="I103" i="6"/>
  <c r="I105" i="6"/>
  <c r="I107" i="6"/>
  <c r="I109" i="6"/>
  <c r="I111" i="6"/>
  <c r="I113" i="6"/>
  <c r="I115" i="6"/>
  <c r="I117" i="6"/>
  <c r="I119" i="6"/>
  <c r="I121" i="6"/>
  <c r="I123" i="6"/>
  <c r="I127" i="6"/>
  <c r="I131" i="6"/>
  <c r="I133" i="6"/>
  <c r="I135" i="6"/>
  <c r="I137" i="6"/>
  <c r="I139" i="6"/>
  <c r="I141" i="6"/>
  <c r="I143" i="6"/>
  <c r="I145" i="6"/>
  <c r="I147" i="6"/>
  <c r="I149" i="6"/>
  <c r="I151" i="6"/>
  <c r="I153" i="6"/>
  <c r="I155" i="6"/>
  <c r="I167" i="6"/>
  <c r="I179" i="6"/>
  <c r="I185" i="6"/>
  <c r="I91" i="6"/>
  <c r="I169" i="6"/>
  <c r="I171" i="6"/>
  <c r="I189" i="6"/>
  <c r="I192" i="6"/>
  <c r="I194" i="6"/>
  <c r="I196" i="6"/>
  <c r="I198" i="6"/>
  <c r="I200" i="6"/>
  <c r="I202" i="6"/>
  <c r="I204" i="6"/>
  <c r="I210" i="6"/>
  <c r="I212" i="6"/>
  <c r="I214" i="6"/>
  <c r="I216" i="6"/>
  <c r="I218" i="6"/>
  <c r="I220" i="6"/>
  <c r="I222" i="6"/>
  <c r="I224" i="6"/>
  <c r="I226" i="6"/>
  <c r="I228" i="6"/>
  <c r="I230" i="6"/>
  <c r="I232" i="6"/>
  <c r="I234" i="6"/>
  <c r="I236" i="6"/>
  <c r="I238" i="6"/>
  <c r="I240" i="6"/>
  <c r="I242" i="6"/>
  <c r="I244" i="6"/>
  <c r="I246" i="6"/>
  <c r="I248" i="6"/>
  <c r="I250" i="6"/>
  <c r="I252" i="6"/>
  <c r="I254" i="6"/>
  <c r="I256" i="6"/>
  <c r="I258" i="6"/>
  <c r="I260" i="6"/>
  <c r="I262" i="6"/>
  <c r="I266" i="6"/>
  <c r="I157" i="6"/>
  <c r="I173" i="6"/>
  <c r="I183" i="6"/>
  <c r="I159" i="6"/>
  <c r="I175" i="6"/>
  <c r="I161" i="6"/>
  <c r="I177" i="6"/>
  <c r="I187" i="6"/>
  <c r="I163" i="6"/>
  <c r="I199" i="6"/>
  <c r="I207" i="6"/>
  <c r="I215" i="6"/>
  <c r="I221" i="6"/>
  <c r="I191" i="6"/>
  <c r="I223" i="6"/>
  <c r="I227" i="6"/>
  <c r="I231" i="6"/>
  <c r="I235" i="6"/>
  <c r="I239" i="6"/>
  <c r="I243" i="6"/>
  <c r="I247" i="6"/>
  <c r="I251" i="6"/>
  <c r="I259" i="6"/>
  <c r="I197" i="6"/>
  <c r="I205" i="6"/>
  <c r="I165" i="6"/>
  <c r="I261" i="6"/>
  <c r="I267" i="6"/>
  <c r="I269" i="6"/>
  <c r="I271" i="6"/>
  <c r="I273" i="6"/>
  <c r="I275" i="6"/>
  <c r="I277" i="6"/>
  <c r="I279" i="6"/>
  <c r="I281" i="6"/>
  <c r="I283" i="6"/>
  <c r="I285" i="6"/>
  <c r="I287" i="6"/>
  <c r="I195" i="6"/>
  <c r="I203" i="6"/>
  <c r="I211" i="6"/>
  <c r="I225" i="6"/>
  <c r="I229" i="6"/>
  <c r="I233" i="6"/>
  <c r="I237" i="6"/>
  <c r="I241" i="6"/>
  <c r="I245" i="6"/>
  <c r="I249" i="6"/>
  <c r="I253" i="6"/>
  <c r="I255" i="6"/>
  <c r="I263" i="6"/>
  <c r="I193" i="6"/>
  <c r="I201" i="6"/>
  <c r="I209" i="6"/>
  <c r="I217" i="6"/>
  <c r="I181" i="6"/>
  <c r="I219" i="6"/>
  <c r="I257" i="6"/>
  <c r="I265" i="6"/>
  <c r="I268" i="6"/>
  <c r="I270" i="6"/>
  <c r="I272" i="6"/>
  <c r="I274" i="6"/>
  <c r="I276" i="6"/>
  <c r="I278" i="6"/>
  <c r="I280" i="6"/>
  <c r="I286" i="6"/>
  <c r="I284" i="6"/>
  <c r="I282" i="6"/>
  <c r="L206" i="6"/>
  <c r="H79" i="6"/>
  <c r="I125" i="6"/>
  <c r="F213" i="6"/>
  <c r="J134" i="6"/>
  <c r="M213" i="6"/>
  <c r="I264" i="6"/>
  <c r="M264" i="6"/>
  <c r="N114" i="6"/>
  <c r="J114" i="6"/>
  <c r="H264" i="6"/>
  <c r="F79" i="6"/>
  <c r="G2" i="6"/>
  <c r="G4" i="6"/>
  <c r="G6" i="6"/>
  <c r="G8" i="6"/>
  <c r="G10" i="6"/>
  <c r="G12" i="6"/>
  <c r="G14" i="6"/>
  <c r="G16" i="6"/>
  <c r="G18" i="6"/>
  <c r="G20" i="6"/>
  <c r="G22" i="6"/>
  <c r="G24" i="6"/>
  <c r="G26" i="6"/>
  <c r="G28" i="6"/>
  <c r="G30" i="6"/>
  <c r="G32" i="6"/>
  <c r="G34" i="6"/>
  <c r="G36" i="6"/>
  <c r="G38" i="6"/>
  <c r="G40" i="6"/>
  <c r="G42" i="6"/>
  <c r="G44" i="6"/>
  <c r="G46" i="6"/>
  <c r="G48" i="6"/>
  <c r="G50" i="6"/>
  <c r="G52" i="6"/>
  <c r="G54" i="6"/>
  <c r="G56" i="6"/>
  <c r="G58" i="6"/>
  <c r="G17" i="6"/>
  <c r="G33" i="6"/>
  <c r="G49" i="6"/>
  <c r="G3" i="6"/>
  <c r="G19" i="6"/>
  <c r="G35" i="6"/>
  <c r="G51" i="6"/>
  <c r="G5" i="6"/>
  <c r="G21" i="6"/>
  <c r="G37" i="6"/>
  <c r="G53" i="6"/>
  <c r="G59" i="6"/>
  <c r="G61" i="6"/>
  <c r="G63" i="6"/>
  <c r="G65" i="6"/>
  <c r="G67" i="6"/>
  <c r="G69" i="6"/>
  <c r="G71" i="6"/>
  <c r="G73" i="6"/>
  <c r="G75" i="6"/>
  <c r="G77" i="6"/>
  <c r="G81" i="6"/>
  <c r="G83" i="6"/>
  <c r="G85" i="6"/>
  <c r="G87" i="6"/>
  <c r="G89" i="6"/>
  <c r="G91" i="6"/>
  <c r="G93" i="6"/>
  <c r="G7" i="6"/>
  <c r="G23" i="6"/>
  <c r="G39" i="6"/>
  <c r="G55" i="6"/>
  <c r="G9" i="6"/>
  <c r="G25" i="6"/>
  <c r="G41" i="6"/>
  <c r="G57" i="6"/>
  <c r="G11" i="6"/>
  <c r="G27" i="6"/>
  <c r="G43" i="6"/>
  <c r="G62" i="6"/>
  <c r="G70" i="6"/>
  <c r="G78" i="6"/>
  <c r="G86" i="6"/>
  <c r="G47" i="6"/>
  <c r="G94" i="6"/>
  <c r="G60" i="6"/>
  <c r="G68" i="6"/>
  <c r="G76" i="6"/>
  <c r="G84" i="6"/>
  <c r="G95" i="6"/>
  <c r="G97" i="6"/>
  <c r="G99" i="6"/>
  <c r="G101" i="6"/>
  <c r="G103" i="6"/>
  <c r="G105" i="6"/>
  <c r="G107" i="6"/>
  <c r="G109" i="6"/>
  <c r="G111" i="6"/>
  <c r="G113" i="6"/>
  <c r="G115" i="6"/>
  <c r="G117" i="6"/>
  <c r="G119" i="6"/>
  <c r="G121" i="6"/>
  <c r="G123" i="6"/>
  <c r="G127" i="6"/>
  <c r="G131" i="6"/>
  <c r="G133" i="6"/>
  <c r="G135" i="6"/>
  <c r="G137" i="6"/>
  <c r="G139" i="6"/>
  <c r="G141" i="6"/>
  <c r="G143" i="6"/>
  <c r="G145" i="6"/>
  <c r="G147" i="6"/>
  <c r="G149" i="6"/>
  <c r="G151" i="6"/>
  <c r="G153" i="6"/>
  <c r="G155" i="6"/>
  <c r="G157" i="6"/>
  <c r="G159" i="6"/>
  <c r="G161" i="6"/>
  <c r="G163" i="6"/>
  <c r="G165" i="6"/>
  <c r="G167" i="6"/>
  <c r="G169" i="6"/>
  <c r="G171" i="6"/>
  <c r="G173" i="6"/>
  <c r="G175" i="6"/>
  <c r="G177" i="6"/>
  <c r="G29" i="6"/>
  <c r="G66" i="6"/>
  <c r="G74" i="6"/>
  <c r="G82" i="6"/>
  <c r="G15" i="6"/>
  <c r="G92" i="6"/>
  <c r="G72" i="6"/>
  <c r="G98" i="6"/>
  <c r="G106" i="6"/>
  <c r="G122" i="6"/>
  <c r="G130" i="6"/>
  <c r="G138" i="6"/>
  <c r="G146" i="6"/>
  <c r="G154" i="6"/>
  <c r="G160" i="6"/>
  <c r="G176" i="6"/>
  <c r="G189" i="6"/>
  <c r="G192" i="6"/>
  <c r="G194" i="6"/>
  <c r="G196" i="6"/>
  <c r="G198" i="6"/>
  <c r="G200" i="6"/>
  <c r="G202" i="6"/>
  <c r="G204" i="6"/>
  <c r="G210" i="6"/>
  <c r="G212" i="6"/>
  <c r="G214" i="6"/>
  <c r="G216" i="6"/>
  <c r="G218" i="6"/>
  <c r="G220" i="6"/>
  <c r="G222" i="6"/>
  <c r="G224" i="6"/>
  <c r="G226" i="6"/>
  <c r="G228" i="6"/>
  <c r="G230" i="6"/>
  <c r="G232" i="6"/>
  <c r="G234" i="6"/>
  <c r="G236" i="6"/>
  <c r="G238" i="6"/>
  <c r="G240" i="6"/>
  <c r="G242" i="6"/>
  <c r="G244" i="6"/>
  <c r="G246" i="6"/>
  <c r="G248" i="6"/>
  <c r="G250" i="6"/>
  <c r="G252" i="6"/>
  <c r="G162" i="6"/>
  <c r="G178" i="6"/>
  <c r="G183" i="6"/>
  <c r="G186" i="6"/>
  <c r="G45" i="6"/>
  <c r="G64" i="6"/>
  <c r="G96" i="6"/>
  <c r="G104" i="6"/>
  <c r="G112" i="6"/>
  <c r="G120" i="6"/>
  <c r="G128" i="6"/>
  <c r="G136" i="6"/>
  <c r="G144" i="6"/>
  <c r="G152" i="6"/>
  <c r="G164" i="6"/>
  <c r="G166" i="6"/>
  <c r="G187" i="6"/>
  <c r="G190" i="6"/>
  <c r="G88" i="6"/>
  <c r="G102" i="6"/>
  <c r="G110" i="6"/>
  <c r="G118" i="6"/>
  <c r="G126" i="6"/>
  <c r="G142" i="6"/>
  <c r="G150" i="6"/>
  <c r="G168" i="6"/>
  <c r="G184" i="6"/>
  <c r="G193" i="6"/>
  <c r="G195" i="6"/>
  <c r="G197" i="6"/>
  <c r="G199" i="6"/>
  <c r="G201" i="6"/>
  <c r="G203" i="6"/>
  <c r="G205" i="6"/>
  <c r="G207" i="6"/>
  <c r="G209" i="6"/>
  <c r="G211" i="6"/>
  <c r="G215" i="6"/>
  <c r="G217" i="6"/>
  <c r="G170" i="6"/>
  <c r="G181" i="6"/>
  <c r="G191" i="6"/>
  <c r="G124" i="6"/>
  <c r="G156" i="6"/>
  <c r="G185" i="6"/>
  <c r="G188" i="6"/>
  <c r="G223" i="6"/>
  <c r="G31" i="6"/>
  <c r="G182" i="6"/>
  <c r="G260" i="6"/>
  <c r="G261" i="6"/>
  <c r="G267" i="6"/>
  <c r="G269" i="6"/>
  <c r="G271" i="6"/>
  <c r="G273" i="6"/>
  <c r="G275" i="6"/>
  <c r="G277" i="6"/>
  <c r="G279" i="6"/>
  <c r="G281" i="6"/>
  <c r="G283" i="6"/>
  <c r="G285" i="6"/>
  <c r="G287" i="6"/>
  <c r="G116" i="6"/>
  <c r="G148" i="6"/>
  <c r="G172" i="6"/>
  <c r="G179" i="6"/>
  <c r="G158" i="6"/>
  <c r="G225" i="6"/>
  <c r="G229" i="6"/>
  <c r="G233" i="6"/>
  <c r="G237" i="6"/>
  <c r="G241" i="6"/>
  <c r="G245" i="6"/>
  <c r="G249" i="6"/>
  <c r="G253" i="6"/>
  <c r="G255" i="6"/>
  <c r="G262" i="6"/>
  <c r="G263" i="6"/>
  <c r="G108" i="6"/>
  <c r="G140" i="6"/>
  <c r="G180" i="6"/>
  <c r="G254" i="6"/>
  <c r="G174" i="6"/>
  <c r="G256" i="6"/>
  <c r="G257" i="6"/>
  <c r="G265" i="6"/>
  <c r="G268" i="6"/>
  <c r="G270" i="6"/>
  <c r="G272" i="6"/>
  <c r="G274" i="6"/>
  <c r="G276" i="6"/>
  <c r="G278" i="6"/>
  <c r="G280" i="6"/>
  <c r="G282" i="6"/>
  <c r="G284" i="6"/>
  <c r="G286" i="6"/>
  <c r="G80" i="6"/>
  <c r="G100" i="6"/>
  <c r="G132" i="6"/>
  <c r="G219" i="6"/>
  <c r="G221" i="6"/>
  <c r="G227" i="6"/>
  <c r="G231" i="6"/>
  <c r="G235" i="6"/>
  <c r="G239" i="6"/>
  <c r="G243" i="6"/>
  <c r="G247" i="6"/>
  <c r="G251" i="6"/>
  <c r="G258" i="6"/>
  <c r="G259" i="6"/>
  <c r="G266" i="6"/>
  <c r="N134" i="6"/>
  <c r="J13" i="6"/>
  <c r="K114" i="6"/>
  <c r="H208" i="6"/>
  <c r="N125" i="6"/>
  <c r="I206" i="6"/>
  <c r="G206" i="6"/>
  <c r="J213" i="6"/>
  <c r="N129" i="6"/>
  <c r="K264" i="6"/>
  <c r="H90" i="6"/>
  <c r="I213" i="6"/>
  <c r="N79" i="6"/>
  <c r="K79" i="6"/>
  <c r="M114" i="6"/>
  <c r="N3" i="6"/>
  <c r="N5" i="6"/>
  <c r="N7" i="6"/>
  <c r="N9" i="6"/>
  <c r="N11" i="6"/>
  <c r="N15" i="6"/>
  <c r="N17" i="6"/>
  <c r="N19" i="6"/>
  <c r="N21" i="6"/>
  <c r="N23" i="6"/>
  <c r="N25" i="6"/>
  <c r="N27" i="6"/>
  <c r="N29" i="6"/>
  <c r="N31" i="6"/>
  <c r="N33" i="6"/>
  <c r="N35" i="6"/>
  <c r="N37" i="6"/>
  <c r="N39" i="6"/>
  <c r="N41" i="6"/>
  <c r="N43" i="6"/>
  <c r="N45" i="6"/>
  <c r="N47" i="6"/>
  <c r="N49" i="6"/>
  <c r="N51" i="6"/>
  <c r="N53" i="6"/>
  <c r="N55" i="6"/>
  <c r="N57" i="6"/>
  <c r="N2" i="6"/>
  <c r="N18" i="6"/>
  <c r="N34" i="6"/>
  <c r="N50" i="6"/>
  <c r="N4" i="6"/>
  <c r="N20" i="6"/>
  <c r="N36" i="6"/>
  <c r="N52" i="6"/>
  <c r="N59" i="6"/>
  <c r="N61" i="6"/>
  <c r="N63" i="6"/>
  <c r="N65" i="6"/>
  <c r="N67" i="6"/>
  <c r="N69" i="6"/>
  <c r="N71" i="6"/>
  <c r="N73" i="6"/>
  <c r="N75" i="6"/>
  <c r="N77" i="6"/>
  <c r="N81" i="6"/>
  <c r="N83" i="6"/>
  <c r="N85" i="6"/>
  <c r="N87" i="6"/>
  <c r="N89" i="6"/>
  <c r="N91" i="6"/>
  <c r="N93" i="6"/>
  <c r="N6" i="6"/>
  <c r="N22" i="6"/>
  <c r="N38" i="6"/>
  <c r="N54" i="6"/>
  <c r="N8" i="6"/>
  <c r="N24" i="6"/>
  <c r="N40" i="6"/>
  <c r="N56" i="6"/>
  <c r="N10" i="6"/>
  <c r="N26" i="6"/>
  <c r="N42" i="6"/>
  <c r="N12" i="6"/>
  <c r="N28" i="6"/>
  <c r="N44" i="6"/>
  <c r="N58" i="6"/>
  <c r="N60" i="6"/>
  <c r="N62" i="6"/>
  <c r="N64" i="6"/>
  <c r="N66" i="6"/>
  <c r="N68" i="6"/>
  <c r="N70" i="6"/>
  <c r="N72" i="6"/>
  <c r="N74" i="6"/>
  <c r="N76" i="6"/>
  <c r="N78" i="6"/>
  <c r="N80" i="6"/>
  <c r="N82" i="6"/>
  <c r="N84" i="6"/>
  <c r="N86" i="6"/>
  <c r="N88" i="6"/>
  <c r="N46" i="6"/>
  <c r="N92" i="6"/>
  <c r="N32" i="6"/>
  <c r="N95" i="6"/>
  <c r="N97" i="6"/>
  <c r="N99" i="6"/>
  <c r="N101" i="6"/>
  <c r="N103" i="6"/>
  <c r="N105" i="6"/>
  <c r="N107" i="6"/>
  <c r="N109" i="6"/>
  <c r="N111" i="6"/>
  <c r="N113" i="6"/>
  <c r="N115" i="6"/>
  <c r="N117" i="6"/>
  <c r="N119" i="6"/>
  <c r="N121" i="6"/>
  <c r="N123" i="6"/>
  <c r="N127" i="6"/>
  <c r="N131" i="6"/>
  <c r="N133" i="6"/>
  <c r="N135" i="6"/>
  <c r="N137" i="6"/>
  <c r="N139" i="6"/>
  <c r="N141" i="6"/>
  <c r="N143" i="6"/>
  <c r="N145" i="6"/>
  <c r="N147" i="6"/>
  <c r="N149" i="6"/>
  <c r="N151" i="6"/>
  <c r="N153" i="6"/>
  <c r="N155" i="6"/>
  <c r="N157" i="6"/>
  <c r="N159" i="6"/>
  <c r="N161" i="6"/>
  <c r="N163" i="6"/>
  <c r="N165" i="6"/>
  <c r="N167" i="6"/>
  <c r="N169" i="6"/>
  <c r="N171" i="6"/>
  <c r="N173" i="6"/>
  <c r="N175" i="6"/>
  <c r="N177" i="6"/>
  <c r="N179" i="6"/>
  <c r="N48" i="6"/>
  <c r="N14" i="6"/>
  <c r="N94" i="6"/>
  <c r="N96" i="6"/>
  <c r="N98" i="6"/>
  <c r="N100" i="6"/>
  <c r="N102" i="6"/>
  <c r="N104" i="6"/>
  <c r="N106" i="6"/>
  <c r="N108" i="6"/>
  <c r="N110" i="6"/>
  <c r="N112" i="6"/>
  <c r="N116" i="6"/>
  <c r="N118" i="6"/>
  <c r="N120" i="6"/>
  <c r="N122" i="6"/>
  <c r="N124" i="6"/>
  <c r="N126" i="6"/>
  <c r="N128" i="6"/>
  <c r="N130" i="6"/>
  <c r="N132" i="6"/>
  <c r="N136" i="6"/>
  <c r="N138" i="6"/>
  <c r="N140" i="6"/>
  <c r="N142" i="6"/>
  <c r="N144" i="6"/>
  <c r="N146" i="6"/>
  <c r="N148" i="6"/>
  <c r="N150" i="6"/>
  <c r="N152" i="6"/>
  <c r="N154" i="6"/>
  <c r="N156" i="6"/>
  <c r="N158" i="6"/>
  <c r="N160" i="6"/>
  <c r="N162" i="6"/>
  <c r="N164" i="6"/>
  <c r="N166" i="6"/>
  <c r="N168" i="6"/>
  <c r="N170" i="6"/>
  <c r="N172" i="6"/>
  <c r="N174" i="6"/>
  <c r="N176" i="6"/>
  <c r="N178" i="6"/>
  <c r="N180" i="6"/>
  <c r="N187" i="6"/>
  <c r="N190" i="6"/>
  <c r="N181" i="6"/>
  <c r="N184" i="6"/>
  <c r="N16" i="6"/>
  <c r="N191" i="6"/>
  <c r="N193" i="6"/>
  <c r="N195" i="6"/>
  <c r="N197" i="6"/>
  <c r="N199" i="6"/>
  <c r="N201" i="6"/>
  <c r="N203" i="6"/>
  <c r="N205" i="6"/>
  <c r="N207" i="6"/>
  <c r="N209" i="6"/>
  <c r="N211" i="6"/>
  <c r="N215" i="6"/>
  <c r="N217" i="6"/>
  <c r="N219" i="6"/>
  <c r="N221" i="6"/>
  <c r="N223" i="6"/>
  <c r="N225" i="6"/>
  <c r="N227" i="6"/>
  <c r="N229" i="6"/>
  <c r="N231" i="6"/>
  <c r="N233" i="6"/>
  <c r="N235" i="6"/>
  <c r="N237" i="6"/>
  <c r="N239" i="6"/>
  <c r="N241" i="6"/>
  <c r="N243" i="6"/>
  <c r="N245" i="6"/>
  <c r="N247" i="6"/>
  <c r="N249" i="6"/>
  <c r="N251" i="6"/>
  <c r="N253" i="6"/>
  <c r="N255" i="6"/>
  <c r="N257" i="6"/>
  <c r="N259" i="6"/>
  <c r="N261" i="6"/>
  <c r="N263" i="6"/>
  <c r="N265" i="6"/>
  <c r="N185" i="6"/>
  <c r="N188" i="6"/>
  <c r="N182" i="6"/>
  <c r="N30" i="6"/>
  <c r="N254" i="6"/>
  <c r="N262" i="6"/>
  <c r="N267" i="6"/>
  <c r="N269" i="6"/>
  <c r="N271" i="6"/>
  <c r="N273" i="6"/>
  <c r="N275" i="6"/>
  <c r="N277" i="6"/>
  <c r="N279" i="6"/>
  <c r="N281" i="6"/>
  <c r="N283" i="6"/>
  <c r="N285" i="6"/>
  <c r="N287" i="6"/>
  <c r="N196" i="6"/>
  <c r="N204" i="6"/>
  <c r="N212" i="6"/>
  <c r="N224" i="6"/>
  <c r="N228" i="6"/>
  <c r="N232" i="6"/>
  <c r="N236" i="6"/>
  <c r="N240" i="6"/>
  <c r="N244" i="6"/>
  <c r="N248" i="6"/>
  <c r="N252" i="6"/>
  <c r="N256" i="6"/>
  <c r="N194" i="6"/>
  <c r="N202" i="6"/>
  <c r="N210" i="6"/>
  <c r="N189" i="6"/>
  <c r="N258" i="6"/>
  <c r="N266" i="6"/>
  <c r="N268" i="6"/>
  <c r="N270" i="6"/>
  <c r="N272" i="6"/>
  <c r="N274" i="6"/>
  <c r="N276" i="6"/>
  <c r="N278" i="6"/>
  <c r="N280" i="6"/>
  <c r="N282" i="6"/>
  <c r="N284" i="6"/>
  <c r="N286" i="6"/>
  <c r="N183" i="6"/>
  <c r="N186" i="6"/>
  <c r="N192" i="6"/>
  <c r="N200" i="6"/>
  <c r="N216" i="6"/>
  <c r="N218" i="6"/>
  <c r="N220" i="6"/>
  <c r="N226" i="6"/>
  <c r="N230" i="6"/>
  <c r="N234" i="6"/>
  <c r="N238" i="6"/>
  <c r="N242" i="6"/>
  <c r="N246" i="6"/>
  <c r="N250" i="6"/>
  <c r="N260" i="6"/>
  <c r="N198" i="6"/>
  <c r="N214" i="6"/>
  <c r="N222" i="6"/>
  <c r="L3" i="6"/>
  <c r="L5" i="6"/>
  <c r="L7" i="6"/>
  <c r="L9" i="6"/>
  <c r="L11" i="6"/>
  <c r="L15" i="6"/>
  <c r="L17" i="6"/>
  <c r="L19" i="6"/>
  <c r="L21" i="6"/>
  <c r="L23" i="6"/>
  <c r="L25" i="6"/>
  <c r="L27" i="6"/>
  <c r="L29" i="6"/>
  <c r="L31" i="6"/>
  <c r="L33" i="6"/>
  <c r="L35" i="6"/>
  <c r="L37" i="6"/>
  <c r="L39" i="6"/>
  <c r="L41" i="6"/>
  <c r="L43" i="6"/>
  <c r="L45" i="6"/>
  <c r="L47" i="6"/>
  <c r="L49" i="6"/>
  <c r="L51" i="6"/>
  <c r="L53" i="6"/>
  <c r="L55" i="6"/>
  <c r="L57" i="6"/>
  <c r="L2" i="6"/>
  <c r="L4" i="6"/>
  <c r="L20" i="6"/>
  <c r="L36" i="6"/>
  <c r="L52" i="6"/>
  <c r="L6" i="6"/>
  <c r="L22" i="6"/>
  <c r="L38" i="6"/>
  <c r="L54" i="6"/>
  <c r="L8" i="6"/>
  <c r="L24" i="6"/>
  <c r="L40" i="6"/>
  <c r="L56" i="6"/>
  <c r="L10" i="6"/>
  <c r="L26" i="6"/>
  <c r="L42" i="6"/>
  <c r="L58" i="6"/>
  <c r="L60" i="6"/>
  <c r="L62" i="6"/>
  <c r="L64" i="6"/>
  <c r="L66" i="6"/>
  <c r="L68" i="6"/>
  <c r="L70" i="6"/>
  <c r="L72" i="6"/>
  <c r="L74" i="6"/>
  <c r="L76" i="6"/>
  <c r="L78" i="6"/>
  <c r="L80" i="6"/>
  <c r="L82" i="6"/>
  <c r="L84" i="6"/>
  <c r="L86" i="6"/>
  <c r="L88" i="6"/>
  <c r="L92" i="6"/>
  <c r="L94" i="6"/>
  <c r="L12" i="6"/>
  <c r="L28" i="6"/>
  <c r="L44" i="6"/>
  <c r="L14" i="6"/>
  <c r="L30" i="6"/>
  <c r="L46" i="6"/>
  <c r="L32" i="6"/>
  <c r="L18" i="6"/>
  <c r="L59" i="6"/>
  <c r="L67" i="6"/>
  <c r="L75" i="6"/>
  <c r="L83" i="6"/>
  <c r="L48" i="6"/>
  <c r="L91" i="6"/>
  <c r="L34" i="6"/>
  <c r="L65" i="6"/>
  <c r="L73" i="6"/>
  <c r="L81" i="6"/>
  <c r="L96" i="6"/>
  <c r="L98" i="6"/>
  <c r="L100" i="6"/>
  <c r="L102" i="6"/>
  <c r="L104" i="6"/>
  <c r="L106" i="6"/>
  <c r="L108" i="6"/>
  <c r="L110" i="6"/>
  <c r="L112" i="6"/>
  <c r="L116" i="6"/>
  <c r="L118" i="6"/>
  <c r="L120" i="6"/>
  <c r="L122" i="6"/>
  <c r="L124" i="6"/>
  <c r="L126" i="6"/>
  <c r="L128" i="6"/>
  <c r="L130" i="6"/>
  <c r="L132" i="6"/>
  <c r="L136" i="6"/>
  <c r="L138" i="6"/>
  <c r="L140" i="6"/>
  <c r="L142" i="6"/>
  <c r="L144" i="6"/>
  <c r="L146" i="6"/>
  <c r="L148" i="6"/>
  <c r="L150" i="6"/>
  <c r="L152" i="6"/>
  <c r="L154" i="6"/>
  <c r="L156" i="6"/>
  <c r="L158" i="6"/>
  <c r="L160" i="6"/>
  <c r="L162" i="6"/>
  <c r="L164" i="6"/>
  <c r="L166" i="6"/>
  <c r="L168" i="6"/>
  <c r="L170" i="6"/>
  <c r="L172" i="6"/>
  <c r="L174" i="6"/>
  <c r="L176" i="6"/>
  <c r="L178" i="6"/>
  <c r="L50" i="6"/>
  <c r="L63" i="6"/>
  <c r="L71" i="6"/>
  <c r="L87" i="6"/>
  <c r="L163" i="6"/>
  <c r="L184" i="6"/>
  <c r="L187" i="6"/>
  <c r="L61" i="6"/>
  <c r="L95" i="6"/>
  <c r="L103" i="6"/>
  <c r="L111" i="6"/>
  <c r="L119" i="6"/>
  <c r="L127" i="6"/>
  <c r="L135" i="6"/>
  <c r="L143" i="6"/>
  <c r="L151" i="6"/>
  <c r="L165" i="6"/>
  <c r="L180" i="6"/>
  <c r="L181" i="6"/>
  <c r="L193" i="6"/>
  <c r="L195" i="6"/>
  <c r="L197" i="6"/>
  <c r="L199" i="6"/>
  <c r="L201" i="6"/>
  <c r="L203" i="6"/>
  <c r="L205" i="6"/>
  <c r="L207" i="6"/>
  <c r="L209" i="6"/>
  <c r="L211" i="6"/>
  <c r="L215" i="6"/>
  <c r="L217" i="6"/>
  <c r="L219" i="6"/>
  <c r="L221" i="6"/>
  <c r="L223" i="6"/>
  <c r="L225" i="6"/>
  <c r="L227" i="6"/>
  <c r="L229" i="6"/>
  <c r="L231" i="6"/>
  <c r="L233" i="6"/>
  <c r="L235" i="6"/>
  <c r="L237" i="6"/>
  <c r="L239" i="6"/>
  <c r="L241" i="6"/>
  <c r="L243" i="6"/>
  <c r="L245" i="6"/>
  <c r="L247" i="6"/>
  <c r="L249" i="6"/>
  <c r="L251" i="6"/>
  <c r="L253" i="6"/>
  <c r="L16" i="6"/>
  <c r="L167" i="6"/>
  <c r="L179" i="6"/>
  <c r="L188" i="6"/>
  <c r="L191" i="6"/>
  <c r="L85" i="6"/>
  <c r="L101" i="6"/>
  <c r="L109" i="6"/>
  <c r="L117" i="6"/>
  <c r="L133" i="6"/>
  <c r="L141" i="6"/>
  <c r="L149" i="6"/>
  <c r="L169" i="6"/>
  <c r="L182" i="6"/>
  <c r="L185" i="6"/>
  <c r="L93" i="6"/>
  <c r="L171" i="6"/>
  <c r="L77" i="6"/>
  <c r="L99" i="6"/>
  <c r="L107" i="6"/>
  <c r="L115" i="6"/>
  <c r="L123" i="6"/>
  <c r="L131" i="6"/>
  <c r="L139" i="6"/>
  <c r="L147" i="6"/>
  <c r="L155" i="6"/>
  <c r="L157" i="6"/>
  <c r="L173" i="6"/>
  <c r="L186" i="6"/>
  <c r="L189" i="6"/>
  <c r="L192" i="6"/>
  <c r="L194" i="6"/>
  <c r="L196" i="6"/>
  <c r="L198" i="6"/>
  <c r="L200" i="6"/>
  <c r="L202" i="6"/>
  <c r="L204" i="6"/>
  <c r="L210" i="6"/>
  <c r="L212" i="6"/>
  <c r="L214" i="6"/>
  <c r="L216" i="6"/>
  <c r="L218" i="6"/>
  <c r="L220" i="6"/>
  <c r="L222" i="6"/>
  <c r="L89" i="6"/>
  <c r="L224" i="6"/>
  <c r="L228" i="6"/>
  <c r="L232" i="6"/>
  <c r="L236" i="6"/>
  <c r="L240" i="6"/>
  <c r="L244" i="6"/>
  <c r="L248" i="6"/>
  <c r="L252" i="6"/>
  <c r="L255" i="6"/>
  <c r="L256" i="6"/>
  <c r="L263" i="6"/>
  <c r="L113" i="6"/>
  <c r="L145" i="6"/>
  <c r="L177" i="6"/>
  <c r="L257" i="6"/>
  <c r="L258" i="6"/>
  <c r="L265" i="6"/>
  <c r="L266" i="6"/>
  <c r="L268" i="6"/>
  <c r="L270" i="6"/>
  <c r="L272" i="6"/>
  <c r="L274" i="6"/>
  <c r="L276" i="6"/>
  <c r="L278" i="6"/>
  <c r="L280" i="6"/>
  <c r="L282" i="6"/>
  <c r="L284" i="6"/>
  <c r="L286" i="6"/>
  <c r="L105" i="6"/>
  <c r="L137" i="6"/>
  <c r="L159" i="6"/>
  <c r="L183" i="6"/>
  <c r="L226" i="6"/>
  <c r="L230" i="6"/>
  <c r="L234" i="6"/>
  <c r="L238" i="6"/>
  <c r="L242" i="6"/>
  <c r="L246" i="6"/>
  <c r="L250" i="6"/>
  <c r="L259" i="6"/>
  <c r="L260" i="6"/>
  <c r="L69" i="6"/>
  <c r="L97" i="6"/>
  <c r="L175" i="6"/>
  <c r="L254" i="6"/>
  <c r="L261" i="6"/>
  <c r="L262" i="6"/>
  <c r="L267" i="6"/>
  <c r="L269" i="6"/>
  <c r="L271" i="6"/>
  <c r="L273" i="6"/>
  <c r="L275" i="6"/>
  <c r="L277" i="6"/>
  <c r="L279" i="6"/>
  <c r="L121" i="6"/>
  <c r="L153" i="6"/>
  <c r="L161" i="6"/>
  <c r="L190" i="6"/>
  <c r="L283" i="6"/>
  <c r="L281" i="6"/>
  <c r="L287" i="6"/>
  <c r="L285" i="6"/>
  <c r="F134" i="6"/>
  <c r="G213" i="6"/>
  <c r="M90" i="6"/>
  <c r="J206" i="6"/>
  <c r="F125" i="6"/>
  <c r="M129" i="6"/>
  <c r="K129" i="6"/>
  <c r="L125" i="6"/>
  <c r="H125" i="6"/>
  <c r="G134" i="6"/>
  <c r="J129" i="6"/>
  <c r="K13" i="6"/>
  <c r="R2" i="2"/>
  <c r="R3" i="2"/>
  <c r="R3" i="1"/>
  <c r="E79" i="7" l="1"/>
  <c r="E95" i="7"/>
  <c r="E71" i="7"/>
  <c r="E17" i="7"/>
  <c r="E116" i="7"/>
  <c r="E93" i="7"/>
  <c r="E111" i="7"/>
  <c r="E33" i="7"/>
  <c r="E113" i="7"/>
  <c r="E11" i="7"/>
  <c r="E39" i="7"/>
  <c r="E43" i="7"/>
  <c r="E86" i="7"/>
  <c r="E96" i="7"/>
  <c r="E78" i="7"/>
  <c r="E37" i="7"/>
  <c r="E6" i="7"/>
  <c r="E105" i="7"/>
  <c r="E88" i="7"/>
  <c r="E29" i="7"/>
  <c r="E67" i="7"/>
  <c r="E7" i="7"/>
  <c r="E110" i="7"/>
  <c r="E59" i="7"/>
  <c r="E41" i="7"/>
  <c r="E61" i="7"/>
  <c r="E27" i="7"/>
  <c r="E3" i="7"/>
  <c r="E8" i="7"/>
  <c r="E44" i="7"/>
  <c r="E2" i="7"/>
  <c r="E45" i="7"/>
  <c r="E4" i="7"/>
  <c r="E50" i="7"/>
  <c r="E14" i="7"/>
  <c r="E52" i="7"/>
  <c r="E100" i="7"/>
  <c r="E75" i="7"/>
  <c r="E76" i="7"/>
  <c r="E58" i="7"/>
  <c r="E83" i="7"/>
  <c r="E112" i="7"/>
  <c r="E85" i="7"/>
  <c r="E72" i="7"/>
  <c r="E19" i="7"/>
  <c r="E49" i="7"/>
  <c r="E16" i="7"/>
  <c r="E60" i="7"/>
  <c r="E10" i="7"/>
  <c r="E12" i="7"/>
  <c r="E66" i="7"/>
  <c r="E22" i="7"/>
  <c r="E15" i="7"/>
  <c r="E109" i="7"/>
  <c r="E42" i="7"/>
  <c r="E82" i="7"/>
  <c r="E97" i="7"/>
  <c r="E35" i="7"/>
  <c r="E65" i="7"/>
  <c r="E24" i="7"/>
  <c r="E84" i="7"/>
  <c r="E18" i="7"/>
  <c r="E20" i="7"/>
  <c r="E74" i="7"/>
  <c r="E30" i="7"/>
  <c r="E25" i="7"/>
  <c r="E117" i="7"/>
  <c r="E108" i="7"/>
  <c r="E101" i="7"/>
  <c r="E106" i="7"/>
  <c r="E48" i="7"/>
  <c r="E73" i="7"/>
  <c r="E32" i="7"/>
  <c r="E26" i="7"/>
  <c r="E28" i="7"/>
  <c r="E56" i="7"/>
  <c r="E38" i="7"/>
  <c r="E102" i="7"/>
  <c r="E94" i="7"/>
  <c r="E57" i="7"/>
  <c r="E69" i="7"/>
  <c r="E68" i="7"/>
  <c r="E103" i="7"/>
  <c r="E91" i="7"/>
  <c r="E54" i="7"/>
  <c r="E64" i="7"/>
  <c r="E107" i="7"/>
  <c r="E40" i="7"/>
  <c r="E34" i="7"/>
  <c r="E36" i="7"/>
  <c r="E80" i="7"/>
  <c r="E5" i="7"/>
  <c r="E51" i="7"/>
  <c r="E55" i="7"/>
  <c r="E21" i="7"/>
  <c r="E81" i="7"/>
  <c r="E99" i="7"/>
  <c r="E77" i="7"/>
  <c r="E9" i="7"/>
  <c r="E63" i="7"/>
  <c r="E23" i="7"/>
  <c r="E89" i="7"/>
  <c r="E115" i="7"/>
  <c r="E53" i="7"/>
  <c r="E62" i="7"/>
  <c r="E46" i="7"/>
  <c r="E90" i="7"/>
  <c r="E13" i="7"/>
  <c r="E92" i="7"/>
  <c r="E31" i="7"/>
  <c r="E114" i="7"/>
  <c r="E70" i="7"/>
  <c r="E98" i="7"/>
  <c r="E104" i="7"/>
  <c r="E47" i="7"/>
  <c r="E87" i="7"/>
  <c r="E129" i="6"/>
  <c r="E213" i="6"/>
  <c r="E271" i="6"/>
  <c r="E279" i="6"/>
  <c r="E287" i="6"/>
  <c r="E281" i="6"/>
  <c r="E197" i="6"/>
  <c r="E64" i="6"/>
  <c r="E23" i="6"/>
  <c r="E106" i="6"/>
  <c r="E107" i="6"/>
  <c r="E267" i="6"/>
  <c r="E84" i="6"/>
  <c r="E85" i="6"/>
  <c r="E286" i="6"/>
  <c r="E88" i="6"/>
  <c r="E282" i="6"/>
  <c r="E65" i="6"/>
  <c r="E191" i="6"/>
  <c r="E176" i="6"/>
  <c r="E75" i="6"/>
  <c r="E244" i="6"/>
  <c r="E170" i="6"/>
  <c r="E254" i="6"/>
  <c r="E240" i="6"/>
  <c r="E98" i="6"/>
  <c r="E27" i="6"/>
  <c r="E201" i="6"/>
  <c r="E128" i="6"/>
  <c r="E14" i="6"/>
  <c r="E196" i="6"/>
  <c r="E66" i="6"/>
  <c r="E136" i="6"/>
  <c r="E243" i="6"/>
  <c r="E37" i="6"/>
  <c r="E103" i="6"/>
  <c r="E171" i="6"/>
  <c r="E112" i="6"/>
  <c r="E180" i="6"/>
  <c r="E263" i="6"/>
  <c r="E256" i="6"/>
  <c r="E60" i="6"/>
  <c r="E175" i="6"/>
  <c r="E285" i="6"/>
  <c r="E224" i="6"/>
  <c r="E89" i="6"/>
  <c r="E55" i="6"/>
  <c r="E133" i="6"/>
  <c r="E124" i="6"/>
  <c r="E109" i="6"/>
  <c r="E110" i="6"/>
  <c r="E113" i="6"/>
  <c r="E82" i="6"/>
  <c r="E234" i="6"/>
  <c r="E200" i="6"/>
  <c r="E101" i="6"/>
  <c r="E260" i="6"/>
  <c r="E194" i="6"/>
  <c r="E262" i="6"/>
  <c r="E273" i="6"/>
  <c r="E123" i="6"/>
  <c r="E43" i="6"/>
  <c r="E220" i="6"/>
  <c r="E154" i="6"/>
  <c r="E22" i="6"/>
  <c r="E204" i="6"/>
  <c r="E9" i="6"/>
  <c r="E74" i="6"/>
  <c r="E144" i="6"/>
  <c r="E251" i="6"/>
  <c r="E45" i="6"/>
  <c r="E111" i="6"/>
  <c r="E179" i="6"/>
  <c r="E121" i="6"/>
  <c r="E188" i="6"/>
  <c r="E56" i="6"/>
  <c r="E28" i="6"/>
  <c r="E233" i="6"/>
  <c r="E211" i="6"/>
  <c r="E274" i="6"/>
  <c r="E169" i="6"/>
  <c r="E117" i="6"/>
  <c r="E247" i="6"/>
  <c r="E91" i="6"/>
  <c r="E270" i="6"/>
  <c r="E173" i="6"/>
  <c r="E177" i="6"/>
  <c r="E5" i="6"/>
  <c r="E95" i="6"/>
  <c r="E104" i="6"/>
  <c r="E283" i="6"/>
  <c r="E265" i="6"/>
  <c r="E115" i="6"/>
  <c r="E105" i="6"/>
  <c r="E166" i="6"/>
  <c r="E151" i="6"/>
  <c r="E137" i="6"/>
  <c r="E138" i="6"/>
  <c r="E149" i="6"/>
  <c r="E32" i="6"/>
  <c r="E99" i="6"/>
  <c r="E258" i="6"/>
  <c r="E268" i="6"/>
  <c r="E127" i="6"/>
  <c r="E277" i="6"/>
  <c r="E20" i="6"/>
  <c r="E229" i="6"/>
  <c r="E158" i="6"/>
  <c r="E49" i="6"/>
  <c r="E67" i="6"/>
  <c r="E236" i="6"/>
  <c r="E178" i="6"/>
  <c r="E30" i="6"/>
  <c r="E272" i="6"/>
  <c r="E18" i="6"/>
  <c r="E83" i="6"/>
  <c r="E152" i="6"/>
  <c r="E259" i="6"/>
  <c r="E53" i="6"/>
  <c r="E120" i="6"/>
  <c r="E187" i="6"/>
  <c r="E131" i="6"/>
  <c r="E215" i="6"/>
  <c r="E73" i="6"/>
  <c r="E35" i="6"/>
  <c r="E248" i="6"/>
  <c r="E159" i="6"/>
  <c r="E132" i="6"/>
  <c r="E275" i="6"/>
  <c r="E76" i="6"/>
  <c r="E50" i="6"/>
  <c r="E155" i="6"/>
  <c r="E164" i="6"/>
  <c r="E40" i="6"/>
  <c r="E59" i="6"/>
  <c r="E41" i="6"/>
  <c r="E228" i="6"/>
  <c r="E72" i="6"/>
  <c r="E102" i="6"/>
  <c r="E58" i="6"/>
  <c r="E163" i="6"/>
  <c r="E31" i="6"/>
  <c r="E142" i="6"/>
  <c r="E141" i="6"/>
  <c r="E198" i="6"/>
  <c r="E17" i="6"/>
  <c r="E167" i="6"/>
  <c r="E193" i="6"/>
  <c r="E162" i="6"/>
  <c r="E181" i="6"/>
  <c r="E150" i="6"/>
  <c r="E116" i="6"/>
  <c r="E284" i="6"/>
  <c r="E145" i="6"/>
  <c r="E44" i="6"/>
  <c r="E237" i="6"/>
  <c r="E214" i="6"/>
  <c r="E15" i="6"/>
  <c r="E190" i="6"/>
  <c r="E209" i="6"/>
  <c r="E160" i="6"/>
  <c r="E93" i="6"/>
  <c r="E252" i="6"/>
  <c r="E11" i="6"/>
  <c r="E202" i="6"/>
  <c r="E38" i="6"/>
  <c r="E280" i="6"/>
  <c r="E26" i="6"/>
  <c r="E92" i="6"/>
  <c r="E168" i="6"/>
  <c r="E61" i="6"/>
  <c r="E130" i="6"/>
  <c r="E195" i="6"/>
  <c r="E140" i="6"/>
  <c r="E223" i="6"/>
  <c r="E122" i="6"/>
  <c r="E218" i="6"/>
  <c r="E39" i="6"/>
  <c r="E25" i="6"/>
  <c r="E19" i="6"/>
  <c r="E119" i="6"/>
  <c r="E48" i="6"/>
  <c r="E227" i="6"/>
  <c r="E86" i="6"/>
  <c r="E96" i="6"/>
  <c r="E81" i="6"/>
  <c r="E146" i="6"/>
  <c r="E70" i="6"/>
  <c r="E235" i="6"/>
  <c r="E255" i="6"/>
  <c r="E63" i="6"/>
  <c r="E182" i="6"/>
  <c r="E165" i="6"/>
  <c r="E225" i="6"/>
  <c r="E33" i="6"/>
  <c r="E183" i="6"/>
  <c r="E186" i="6"/>
  <c r="E205" i="6"/>
  <c r="E174" i="6"/>
  <c r="E135" i="6"/>
  <c r="E161" i="6"/>
  <c r="E68" i="6"/>
  <c r="E261" i="6"/>
  <c r="E222" i="6"/>
  <c r="E47" i="6"/>
  <c r="E217" i="6"/>
  <c r="E226" i="6"/>
  <c r="E192" i="6"/>
  <c r="E118" i="6"/>
  <c r="E269" i="6"/>
  <c r="E36" i="6"/>
  <c r="E212" i="6"/>
  <c r="E46" i="6"/>
  <c r="E2" i="6"/>
  <c r="E34" i="6"/>
  <c r="E100" i="6"/>
  <c r="E184" i="6"/>
  <c r="E4" i="6"/>
  <c r="E69" i="6"/>
  <c r="E139" i="6"/>
  <c r="E203" i="6"/>
  <c r="E78" i="6"/>
  <c r="E148" i="6"/>
  <c r="E231" i="6"/>
  <c r="E7" i="6"/>
  <c r="E253" i="6"/>
  <c r="E238" i="6"/>
  <c r="E276" i="6"/>
  <c r="E62" i="6"/>
  <c r="E21" i="6"/>
  <c r="E157" i="6"/>
  <c r="E257" i="6"/>
  <c r="E126" i="6"/>
  <c r="E172" i="6"/>
  <c r="E97" i="6"/>
  <c r="E241" i="6"/>
  <c r="E189" i="6"/>
  <c r="E24" i="6"/>
  <c r="E266" i="6"/>
  <c r="E57" i="6"/>
  <c r="E199" i="6"/>
  <c r="E10" i="6"/>
  <c r="E3" i="6"/>
  <c r="E221" i="6"/>
  <c r="E6" i="6"/>
  <c r="E232" i="6"/>
  <c r="E207" i="6"/>
  <c r="E8" i="6"/>
  <c r="E143" i="6"/>
  <c r="E185" i="6"/>
  <c r="E94" i="6"/>
  <c r="E278" i="6"/>
  <c r="E230" i="6"/>
  <c r="E80" i="6"/>
  <c r="E16" i="6"/>
  <c r="E249" i="6"/>
  <c r="E250" i="6"/>
  <c r="E210" i="6"/>
  <c r="E153" i="6"/>
  <c r="E52" i="6"/>
  <c r="E245" i="6"/>
  <c r="E54" i="6"/>
  <c r="E42" i="6"/>
  <c r="E108" i="6"/>
  <c r="E219" i="6"/>
  <c r="E12" i="6"/>
  <c r="E77" i="6"/>
  <c r="E147" i="6"/>
  <c r="E87" i="6"/>
  <c r="E156" i="6"/>
  <c r="E239" i="6"/>
  <c r="E216" i="6"/>
  <c r="E242" i="6"/>
  <c r="E71" i="6"/>
  <c r="E51" i="6"/>
  <c r="E246" i="6"/>
  <c r="E29" i="6"/>
  <c r="E114" i="6"/>
  <c r="E264" i="6"/>
  <c r="E134" i="6"/>
  <c r="E79" i="6"/>
  <c r="E206" i="6"/>
  <c r="E90" i="6"/>
  <c r="E125" i="6"/>
  <c r="E13" i="6"/>
  <c r="E208" i="6"/>
</calcChain>
</file>

<file path=xl/sharedStrings.xml><?xml version="1.0" encoding="utf-8"?>
<sst xmlns="http://schemas.openxmlformats.org/spreadsheetml/2006/main" count="4080" uniqueCount="88">
  <si>
    <t>Brazil</t>
  </si>
  <si>
    <t>Canada</t>
  </si>
  <si>
    <t>Chile</t>
  </si>
  <si>
    <t>Colombia</t>
  </si>
  <si>
    <t>Croatia</t>
  </si>
  <si>
    <t>Cyprus</t>
  </si>
  <si>
    <t>Egypt</t>
  </si>
  <si>
    <t>Germany</t>
  </si>
  <si>
    <t>Greece</t>
  </si>
  <si>
    <t>Guatemala</t>
  </si>
  <si>
    <t>India</t>
  </si>
  <si>
    <t>Iran</t>
  </si>
  <si>
    <t>Israel</t>
  </si>
  <si>
    <t>Japan</t>
  </si>
  <si>
    <t>Latvia</t>
  </si>
  <si>
    <t>Luxembourg</t>
  </si>
  <si>
    <t>Morocco</t>
  </si>
  <si>
    <t>Netherlands</t>
  </si>
  <si>
    <t>Oman</t>
  </si>
  <si>
    <t>Panama</t>
  </si>
  <si>
    <t>Poland</t>
  </si>
  <si>
    <t>Qatar</t>
  </si>
  <si>
    <t>Saudi Arabia</t>
  </si>
  <si>
    <t>Slovakia</t>
  </si>
  <si>
    <t>Slovenia</t>
  </si>
  <si>
    <t>South Africa</t>
  </si>
  <si>
    <t>South Korea</t>
  </si>
  <si>
    <t>Spain</t>
  </si>
  <si>
    <t>Sweden</t>
  </si>
  <si>
    <t>Switzerland</t>
  </si>
  <si>
    <t>Taiwan</t>
  </si>
  <si>
    <t>United Arab Emirates</t>
  </si>
  <si>
    <t>United Kingdom</t>
  </si>
  <si>
    <t>United States</t>
  </si>
  <si>
    <t>Teaap1</t>
  </si>
  <si>
    <t>N/A</t>
  </si>
  <si>
    <t>Teaap2</t>
  </si>
  <si>
    <t>Teaac1</t>
  </si>
  <si>
    <t>Teaac2</t>
  </si>
  <si>
    <t>Suskil</t>
  </si>
  <si>
    <t>Futsup</t>
  </si>
  <si>
    <t>Knoent</t>
  </si>
  <si>
    <t>Frfail</t>
  </si>
  <si>
    <t>Opport</t>
  </si>
  <si>
    <t>Nbstat</t>
  </si>
  <si>
    <t>Regulatory Quality</t>
  </si>
  <si>
    <t>TEA 18-34</t>
  </si>
  <si>
    <t>Region</t>
  </si>
  <si>
    <t>Income Group</t>
  </si>
  <si>
    <t>Year</t>
  </si>
  <si>
    <t>Country</t>
  </si>
  <si>
    <t>Latin America &amp; Caribbean</t>
  </si>
  <si>
    <t>Upper-middle income</t>
  </si>
  <si>
    <t>North America</t>
  </si>
  <si>
    <t>High income</t>
  </si>
  <si>
    <t>Europe &amp; Central Asia</t>
  </si>
  <si>
    <t>Middle East &amp; North Africa</t>
  </si>
  <si>
    <t>Lower-middle income</t>
  </si>
  <si>
    <t>South Asia</t>
  </si>
  <si>
    <t>East Asia &amp; Pacific</t>
  </si>
  <si>
    <t>Sub-Saharan Africa</t>
  </si>
  <si>
    <t>- Selected the variables/data for the 35 countries of group 2019-2022 and used the same group of countries to select the variables/data for 2012-2022</t>
  </si>
  <si>
    <t>- Removed 9 countries from the 2012-2022 group with more than 1 variable with missing data for more than 1 consecutive year</t>
  </si>
  <si>
    <t>- Removed 6 countries from the 2019-2022 group with Nbstat missing as it was the only variable with missing data for more than 1 consecutive year</t>
  </si>
  <si>
    <t>- Intepolated data (w/average) for 2012-2022 (all variables): Canada (2012), Guatemala (2012), India (2012), Israel (2012), Latvia (2014, 2018), Luxembourg (2012), South Africa (2018, 2020), South Korea (2014), Taiwan (2021)</t>
  </si>
  <si>
    <t>- Y(TEA 18-34) = (Teaap1 + Teaap2) / ((Teaap1 / Teaac1) + (Teaap2 / Teaac2))</t>
  </si>
  <si>
    <t>Try the predictive models: same specifications with X lagged by one year</t>
  </si>
  <si>
    <t>Run a version without the one-year interpolation (the best panel/sample we could get), and keep a flag for interpolated observations so we can tell whether they help or not</t>
  </si>
  <si>
    <t>- Data</t>
  </si>
  <si>
    <t>- Models</t>
  </si>
  <si>
    <t>- Variables standardised with (xi,t-avg(xi))/std(xi)</t>
  </si>
  <si>
    <t>Standard errors clustered by country</t>
  </si>
  <si>
    <t>Sample: S2012-2022 &amp; S2019-2022</t>
  </si>
  <si>
    <t>OLS with HC3</t>
  </si>
  <si>
    <t>- Intepolated data (w/average) for 2019-2022 (all variables): Japan (2020), South Africa (2020), Taiwan (2021), Canada (Nbstat, 2021)</t>
  </si>
  <si>
    <t>- Countries: Brazil, Canada, Chile, Colombia, Croatia, Cyprus, Egypt, Germany, Greece, Guatemala, India, Iran, Israel, Japan, Latvia, Luxembourg, Morocco, Netherlands, Norway, Oman, Panama, Poland, Qatar, Saudi Arabia, Slovakia, Slovenia, South Africa, South Korea, Spain, Sweden, Switzerland, Taiwan, United Arab Emirates, United Kingdom, United States</t>
  </si>
  <si>
    <t>Z: Income group and Region</t>
  </si>
  <si>
    <t>TEA_18_34</t>
  </si>
  <si>
    <t>RQ</t>
  </si>
  <si>
    <t>Y: TEA_18_34 (pooled from the 18–24 and 25–34 bands)</t>
  </si>
  <si>
    <t>X (2012-2022): Suskil, Futsup, Knoent, Frfail, Opport, and RG</t>
  </si>
  <si>
    <t>Estimate the seven variables separately (with Z), then jointly, by pooled OLS, random effects and country fixed effects for both periods</t>
  </si>
  <si>
    <t>- Baseline sample (S2012-2022 &amp; S2019-2022) removes years with interpolated data - Unbalanced panel</t>
  </si>
  <si>
    <t>- Removed Nbstat from 2012-2022 as it was the only variable with too many missing data</t>
  </si>
  <si>
    <t>X (2019-2022): Suskil, Futsup, Knoent, Frfail, Opport, Nbstat, and RG</t>
  </si>
  <si>
    <t>Variable</t>
  </si>
  <si>
    <t>Correlation matrix (Pearson)</t>
  </si>
  <si>
    <t>Script and a short codebook mapping the GEM variable names to X1–X8 in Section 7.2.1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</si>
</sst>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9">
    <font>
      <sz val="11"/>
      <color theme="1"/>
      <name val="Aptos Narrow"/>
    </font>
    <font>
      <sz val="11"/>
      <color indexed="8"/>
      <name val="Aptos Narrow"/>
      <family val="2"/>
    </font>
    <font>
      <b/>
      <sz val="11"/>
      <color rgb="FFFFFFFF"/>
      <name val="Calibri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name val="Carlito"/>
    </font>
    <font>
      <sz val="10"/>
      <color rgb="FF1F2937"/>
      <name val="Arial"/>
      <family val="2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color indexed="8"/>
      <name val="Aptos Narrow"/>
      <family val="2"/>
    </font>
    <font>
      <sz val="11"/>
      <name val="Aptos Narrow"/>
      <family val="2"/>
    </font>
    <font>
      <b/>
      <sz val="11"/>
      <color theme="1"/>
      <name val="Calibri"/>
      <family val="2"/>
    </font>
    <font>
      <b/>
      <sz val="11"/>
      <color rgb="FF17365D"/>
      <name val="Calibri"/>
      <family val="2"/>
    </font>
    <font>
      <b/>
      <sz val="11"/>
      <color rgb="FFFFFFFF"/>
      <name val="Aptos Narrow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9">
    <xf numFmtId="0" fontId="0" fillId="0" borderId="0"/>
    <xf numFmtId="0" fontId="1" fillId="0" borderId="0"/>
    <xf numFmtId="9" fontId="7" fillId="0" borderId="0" applyFont="0" applyFill="0" applyBorder="0" applyAlignment="0" applyProtection="0"/>
    <xf numFmtId="0" fontId="8" fillId="0" borderId="0"/>
    <xf numFmtId="0" fontId="3" fillId="0" borderId="0"/>
    <xf numFmtId="9" fontId="3" fillId="0" borderId="0" applyFont="0" applyFill="0" applyBorder="0" applyAlignment="0" applyProtection="0"/>
    <xf numFmtId="0" fontId="10" fillId="0" borderId="0"/>
    <xf numFmtId="0" fontId="11" fillId="0" borderId="0"/>
    <xf numFmtId="9" fontId="10" fillId="0" borderId="0" applyFont="0" applyFill="0" applyBorder="0" applyAlignment="0" applyProtection="0"/>
  </cellStyleXfs>
  <cellXfs count="4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0" xfId="0" applyFont="1"/>
    <xf numFmtId="2" fontId="4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9" fillId="0" borderId="0" xfId="3" applyFont="1"/>
    <xf numFmtId="9" fontId="5" fillId="2" borderId="1" xfId="2" applyFont="1" applyFill="1" applyBorder="1" applyAlignment="1">
      <alignment horizontal="center" vertical="center"/>
    </xf>
    <xf numFmtId="9" fontId="3" fillId="0" borderId="0" xfId="2" applyFont="1"/>
    <xf numFmtId="0" fontId="3" fillId="0" borderId="0" xfId="0" quotePrefix="1" applyFont="1"/>
    <xf numFmtId="0" fontId="6" fillId="0" borderId="0" xfId="0" applyFont="1"/>
    <xf numFmtId="0" fontId="6" fillId="0" borderId="0" xfId="0" quotePrefix="1" applyFont="1"/>
    <xf numFmtId="165" fontId="3" fillId="0" borderId="0" xfId="0" applyNumberFormat="1" applyFont="1"/>
    <xf numFmtId="4" fontId="3" fillId="0" borderId="0" xfId="2" applyNumberFormat="1" applyFont="1" applyAlignment="1">
      <alignment horizontal="center"/>
    </xf>
    <xf numFmtId="0" fontId="9" fillId="0" borderId="0" xfId="3" applyFont="1" applyAlignment="1">
      <alignment horizontal="center"/>
    </xf>
    <xf numFmtId="0" fontId="3" fillId="4" borderId="0" xfId="0" applyFont="1" applyFill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/>
    </xf>
    <xf numFmtId="0" fontId="9" fillId="4" borderId="0" xfId="3" applyFont="1" applyFill="1"/>
    <xf numFmtId="1" fontId="1" fillId="4" borderId="0" xfId="0" applyNumberFormat="1" applyFont="1" applyFill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2" fontId="4" fillId="4" borderId="1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10" fillId="0" borderId="0" xfId="6"/>
    <xf numFmtId="0" fontId="11" fillId="0" borderId="0" xfId="7"/>
    <xf numFmtId="2" fontId="12" fillId="0" borderId="1" xfId="6" applyNumberFormat="1" applyFont="1" applyBorder="1" applyAlignment="1">
      <alignment horizontal="center"/>
    </xf>
    <xf numFmtId="2" fontId="10" fillId="0" borderId="0" xfId="6" applyNumberFormat="1" applyAlignment="1">
      <alignment horizontal="center" vertical="center"/>
    </xf>
    <xf numFmtId="1" fontId="10" fillId="0" borderId="0" xfId="6" applyNumberFormat="1" applyAlignment="1">
      <alignment horizontal="center" vertical="center"/>
    </xf>
    <xf numFmtId="0" fontId="10" fillId="0" borderId="0" xfId="6" applyAlignment="1">
      <alignment horizontal="center" vertical="center"/>
    </xf>
    <xf numFmtId="2" fontId="13" fillId="0" borderId="0" xfId="6" applyNumberFormat="1" applyFont="1" applyAlignment="1">
      <alignment horizontal="center" vertical="center"/>
    </xf>
    <xf numFmtId="1" fontId="13" fillId="0" borderId="0" xfId="6" applyNumberFormat="1" applyFont="1" applyAlignment="1">
      <alignment horizontal="center" vertical="center"/>
    </xf>
    <xf numFmtId="0" fontId="14" fillId="0" borderId="0" xfId="6" applyFont="1" applyAlignment="1">
      <alignment horizontal="center" vertical="center"/>
    </xf>
    <xf numFmtId="164" fontId="11" fillId="0" borderId="0" xfId="7" applyNumberFormat="1"/>
    <xf numFmtId="0" fontId="15" fillId="0" borderId="0" xfId="7" applyFont="1"/>
    <xf numFmtId="0" fontId="16" fillId="5" borderId="0" xfId="7" applyFont="1" applyFill="1"/>
    <xf numFmtId="9" fontId="17" fillId="2" borderId="1" xfId="8" applyFont="1" applyFill="1" applyBorder="1" applyAlignment="1">
      <alignment horizontal="center" vertical="center"/>
    </xf>
    <xf numFmtId="0" fontId="18" fillId="2" borderId="0" xfId="6" applyFont="1" applyFill="1" applyAlignment="1">
      <alignment horizontal="center" vertical="center" wrapText="1"/>
    </xf>
    <xf numFmtId="0" fontId="18" fillId="2" borderId="0" xfId="6" applyFont="1" applyFill="1" applyAlignment="1">
      <alignment horizontal="center" vertical="center"/>
    </xf>
  </cellXfs>
  <cellStyles count="9">
    <cellStyle name="Normal" xfId="0" builtinId="0"/>
    <cellStyle name="Normal 2" xfId="3" xr:uid="{CAC36A4D-133F-40CA-9DB3-654318F97352}"/>
    <cellStyle name="Normal 3" xfId="1" xr:uid="{00000000-0005-0000-0000-000001000000}"/>
    <cellStyle name="Normal 4" xfId="4" xr:uid="{1C5E1983-F3EB-4A1A-953A-8FE8D3E62FF8}"/>
    <cellStyle name="Normal 4 2" xfId="6" xr:uid="{10B8685B-0D97-48F8-BF8E-88018B009FCD}"/>
    <cellStyle name="Normal 5" xfId="7" xr:uid="{B74AE694-0303-47A1-99A6-6677F9D04B75}"/>
    <cellStyle name="Per cent" xfId="2" builtinId="5"/>
    <cellStyle name="Per cent 2" xfId="5" xr:uid="{F3ED89BA-7371-4C6C-9CE2-838194BCBDD8}"/>
    <cellStyle name="Per cent 2 2" xfId="8" xr:uid="{26555BB9-CC49-43FD-A9F0-576B4E5CF63A}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2E9E6"/>
      <color rgb="FFEAE1DE"/>
      <color rgb="FFDAE1E6"/>
      <color rgb="FFF0DBD0"/>
      <color rgb="FFE4D5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675C5-1739-48E2-86E3-EF83307051D9}">
  <dimension ref="A2:B33"/>
  <sheetViews>
    <sheetView tabSelected="1" zoomScale="175" zoomScaleNormal="175" workbookViewId="0">
      <selection activeCell="B3" sqref="B3"/>
    </sheetView>
  </sheetViews>
  <sheetFormatPr defaultRowHeight="14.4"/>
  <sheetData>
    <row r="2" spans="1:1">
      <c r="A2" s="17" t="s">
        <v>61</v>
      </c>
    </row>
    <row r="3" spans="1:1">
      <c r="A3" s="17" t="s">
        <v>75</v>
      </c>
    </row>
    <row r="4" spans="1:1">
      <c r="A4" s="17" t="s">
        <v>83</v>
      </c>
    </row>
    <row r="5" spans="1:1">
      <c r="A5" s="17" t="s">
        <v>62</v>
      </c>
    </row>
    <row r="6" spans="1:1">
      <c r="A6" s="17" t="s">
        <v>63</v>
      </c>
    </row>
    <row r="7" spans="1:1">
      <c r="A7" s="17" t="s">
        <v>64</v>
      </c>
    </row>
    <row r="8" spans="1:1">
      <c r="A8" s="17" t="s">
        <v>74</v>
      </c>
    </row>
    <row r="9" spans="1:1">
      <c r="A9" s="17" t="s">
        <v>82</v>
      </c>
    </row>
    <row r="10" spans="1:1">
      <c r="A10" s="17" t="s">
        <v>65</v>
      </c>
    </row>
    <row r="11" spans="1:1">
      <c r="A11" s="17" t="s">
        <v>70</v>
      </c>
    </row>
    <row r="12" spans="1:1">
      <c r="A12" s="17"/>
    </row>
    <row r="13" spans="1:1">
      <c r="A13" s="19" t="s">
        <v>68</v>
      </c>
    </row>
    <row r="14" spans="1:1">
      <c r="A14" s="19" t="s">
        <v>72</v>
      </c>
    </row>
    <row r="15" spans="1:1">
      <c r="A15" s="7" t="s">
        <v>79</v>
      </c>
    </row>
    <row r="16" spans="1:1">
      <c r="A16" s="7" t="s">
        <v>80</v>
      </c>
    </row>
    <row r="17" spans="1:2">
      <c r="A17" s="7" t="s">
        <v>84</v>
      </c>
    </row>
    <row r="18" spans="1:2">
      <c r="A18" s="7" t="s">
        <v>76</v>
      </c>
    </row>
    <row r="19" spans="1:2">
      <c r="B19" s="11"/>
    </row>
    <row r="20" spans="1:2">
      <c r="A20" s="17" t="s">
        <v>69</v>
      </c>
      <c r="B20" s="11"/>
    </row>
    <row r="21" spans="1:2">
      <c r="A21" s="17" t="s">
        <v>81</v>
      </c>
      <c r="B21" s="11"/>
    </row>
    <row r="22" spans="1:2">
      <c r="A22" s="17" t="s">
        <v>71</v>
      </c>
      <c r="B22" s="11"/>
    </row>
    <row r="23" spans="1:2">
      <c r="A23" s="7" t="s">
        <v>73</v>
      </c>
      <c r="B23" s="11"/>
    </row>
    <row r="24" spans="1:2">
      <c r="A24" s="7" t="s">
        <v>67</v>
      </c>
      <c r="B24" s="11"/>
    </row>
    <row r="25" spans="1:2">
      <c r="A25" s="7" t="s">
        <v>66</v>
      </c>
      <c r="B25" s="11"/>
    </row>
    <row r="26" spans="1:2">
      <c r="A26" s="19" t="s">
        <v>87</v>
      </c>
      <c r="B26" s="11"/>
    </row>
    <row r="27" spans="1:2">
      <c r="A27" s="19"/>
      <c r="B27" s="11"/>
    </row>
    <row r="28" spans="1:2">
      <c r="B28" s="11"/>
    </row>
    <row r="29" spans="1:2">
      <c r="A29" s="7"/>
      <c r="B29" s="11"/>
    </row>
    <row r="30" spans="1:2">
      <c r="B30" s="11"/>
    </row>
    <row r="31" spans="1:2">
      <c r="B31" s="11"/>
    </row>
    <row r="32" spans="1:2">
      <c r="A32" s="18"/>
      <c r="B32" s="11"/>
    </row>
    <row r="33" spans="1:2">
      <c r="A33" s="19"/>
      <c r="B33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83F6-1274-4D8B-BB29-4946F7AF3BB1}">
  <sheetPr>
    <tabColor theme="2" tint="-0.499984740745262"/>
  </sheetPr>
  <dimension ref="A1:O276"/>
  <sheetViews>
    <sheetView workbookViewId="0">
      <selection activeCell="O1" sqref="O1"/>
    </sheetView>
  </sheetViews>
  <sheetFormatPr defaultRowHeight="14.4"/>
  <cols>
    <col min="1" max="1" width="13.5546875" bestFit="1" customWidth="1"/>
    <col min="2" max="2" width="5" bestFit="1" customWidth="1"/>
    <col min="3" max="3" width="23.33203125" bestFit="1" customWidth="1"/>
    <col min="4" max="4" width="18.44140625" bestFit="1" customWidth="1"/>
    <col min="5" max="15" width="12.6640625" bestFit="1" customWidth="1"/>
  </cols>
  <sheetData>
    <row r="1" spans="1:15">
      <c r="A1" s="1" t="s">
        <v>50</v>
      </c>
      <c r="B1" s="1" t="s">
        <v>49</v>
      </c>
      <c r="C1" s="1" t="s">
        <v>47</v>
      </c>
      <c r="D1" s="1" t="s">
        <v>48</v>
      </c>
      <c r="E1" s="13" t="s">
        <v>77</v>
      </c>
      <c r="F1" s="1" t="s">
        <v>34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78</v>
      </c>
    </row>
    <row r="2" spans="1:15">
      <c r="A2" s="9" t="s">
        <v>0</v>
      </c>
      <c r="B2" s="3">
        <v>2012</v>
      </c>
      <c r="C2" s="14" t="s">
        <v>51</v>
      </c>
      <c r="D2" s="14" t="s">
        <v>52</v>
      </c>
      <c r="E2" s="22">
        <f>('2012-2022'!E2-'2012-2022'!R$2)/'2012-2022'!R$3</f>
        <v>0.46131175776305922</v>
      </c>
      <c r="F2" s="22">
        <f>('2012-2022'!F2-'2012-2022'!S$2)/'2012-2022'!S$3</f>
        <v>0.61320248450437642</v>
      </c>
      <c r="G2" s="22">
        <f>('2012-2022'!G2-'2012-2022'!T$2)/'2012-2022'!T$3</f>
        <v>0.51305811962657411</v>
      </c>
      <c r="H2" s="22">
        <f>('2012-2022'!H2-'2012-2022'!U$2)/'2012-2022'!U$3</f>
        <v>0.38704089403929026</v>
      </c>
      <c r="I2" s="22">
        <f>('2012-2022'!I2-'2012-2022'!V$2)/'2012-2022'!V$3</f>
        <v>0.50009163895907105</v>
      </c>
      <c r="J2" s="22">
        <f>('2012-2022'!J2-'2012-2022'!W$2)/'2012-2022'!W$3</f>
        <v>0.22078999922988399</v>
      </c>
      <c r="K2" s="22">
        <f>('2012-2022'!K2-'2012-2022'!X$2)/'2012-2022'!X$3</f>
        <v>1.1419892323997258</v>
      </c>
      <c r="L2" s="22">
        <f>('2012-2022'!L2-'2012-2022'!Y$2)/'2012-2022'!Y$3</f>
        <v>-0.64550295928177093</v>
      </c>
      <c r="M2" s="22">
        <f>('2012-2022'!M2-'2012-2022'!Z$2)/'2012-2022'!Z$3</f>
        <v>-0.76351995790832028</v>
      </c>
      <c r="N2" s="22">
        <f>('2012-2022'!N2-'2012-2022'!AA$2)/'2012-2022'!AA$3</f>
        <v>0.47258316756458885</v>
      </c>
      <c r="O2" s="22">
        <f>('2012-2022'!P2-'2012-2022'!AC$2)/'2012-2022'!AC$3</f>
        <v>-0.80178648961536747</v>
      </c>
    </row>
    <row r="3" spans="1:15">
      <c r="A3" s="9" t="s">
        <v>0</v>
      </c>
      <c r="B3" s="3">
        <v>2013</v>
      </c>
      <c r="C3" s="14" t="s">
        <v>51</v>
      </c>
      <c r="D3" s="14" t="s">
        <v>52</v>
      </c>
      <c r="E3" s="22">
        <f>('2012-2022'!E3-'2012-2022'!R$2)/'2012-2022'!R$3</f>
        <v>0.80520701357757851</v>
      </c>
      <c r="F3" s="22">
        <f>('2012-2022'!F3-'2012-2022'!S$2)/'2012-2022'!S$3</f>
        <v>0.42991577405575893</v>
      </c>
      <c r="G3" s="22">
        <f>('2012-2022'!G3-'2012-2022'!T$2)/'2012-2022'!T$3</f>
        <v>0.400222113041659</v>
      </c>
      <c r="H3" s="22">
        <f>('2012-2022'!H3-'2012-2022'!U$2)/'2012-2022'!U$3</f>
        <v>0.66424304287579661</v>
      </c>
      <c r="I3" s="22">
        <f>('2012-2022'!I3-'2012-2022'!V$2)/'2012-2022'!V$3</f>
        <v>0.85467009557281293</v>
      </c>
      <c r="J3" s="22">
        <f>('2012-2022'!J3-'2012-2022'!W$2)/'2012-2022'!W$3</f>
        <v>0.10583261489966311</v>
      </c>
      <c r="K3" s="22">
        <f>('2012-2022'!K3-'2012-2022'!X$2)/'2012-2022'!X$3</f>
        <v>0.54210742674419421</v>
      </c>
      <c r="L3" s="22">
        <f>('2012-2022'!L3-'2012-2022'!Y$2)/'2012-2022'!Y$3</f>
        <v>-0.30051545599836915</v>
      </c>
      <c r="M3" s="22">
        <f>('2012-2022'!M3-'2012-2022'!Z$2)/'2012-2022'!Z$3</f>
        <v>-2.6500058510178368E-2</v>
      </c>
      <c r="N3" s="22">
        <f>('2012-2022'!N3-'2012-2022'!AA$2)/'2012-2022'!AA$3</f>
        <v>0.38091908696177057</v>
      </c>
      <c r="O3" s="22">
        <f>('2012-2022'!P3-'2012-2022'!AC$2)/'2012-2022'!AC$3</f>
        <v>-0.87645841241616163</v>
      </c>
    </row>
    <row r="4" spans="1:15">
      <c r="A4" s="9" t="s">
        <v>0</v>
      </c>
      <c r="B4" s="3">
        <v>2014</v>
      </c>
      <c r="C4" s="14" t="s">
        <v>51</v>
      </c>
      <c r="D4" s="14" t="s">
        <v>52</v>
      </c>
      <c r="E4" s="22">
        <f>('2012-2022'!E4-'2012-2022'!R$2)/'2012-2022'!R$3</f>
        <v>0.81947256685637415</v>
      </c>
      <c r="F4" s="22">
        <f>('2012-2022'!F4-'2012-2022'!S$2)/'2012-2022'!S$3</f>
        <v>0.65024616708522087</v>
      </c>
      <c r="G4" s="22">
        <f>('2012-2022'!G4-'2012-2022'!T$2)/'2012-2022'!T$3</f>
        <v>0.57557358175852824</v>
      </c>
      <c r="H4" s="22">
        <f>('2012-2022'!H4-'2012-2022'!U$2)/'2012-2022'!U$3</f>
        <v>0.66498584318111043</v>
      </c>
      <c r="I4" s="22">
        <f>('2012-2022'!I4-'2012-2022'!V$2)/'2012-2022'!V$3</f>
        <v>0.89452694762961837</v>
      </c>
      <c r="J4" s="22">
        <f>('2012-2022'!J4-'2012-2022'!W$2)/'2012-2022'!W$3</f>
        <v>-0.12512145844753678</v>
      </c>
      <c r="K4" s="22">
        <f>('2012-2022'!K4-'2012-2022'!X$2)/'2012-2022'!X$3</f>
        <v>-7.7939202943115562E-3</v>
      </c>
      <c r="L4" s="22">
        <f>('2012-2022'!L4-'2012-2022'!Y$2)/'2012-2022'!Y$3</f>
        <v>-0.32076303832856407</v>
      </c>
      <c r="M4" s="22">
        <f>('2012-2022'!M4-'2012-2022'!Z$2)/'2012-2022'!Z$3</f>
        <v>-0.40067222475668907</v>
      </c>
      <c r="N4" s="22">
        <f>('2012-2022'!N4-'2012-2022'!AA$2)/'2012-2022'!AA$3</f>
        <v>0.6675989311739321</v>
      </c>
      <c r="O4" s="22">
        <f>('2012-2022'!P4-'2012-2022'!AC$2)/'2012-2022'!AC$3</f>
        <v>-1.0858036350072151</v>
      </c>
    </row>
    <row r="5" spans="1:15">
      <c r="A5" s="9" t="s">
        <v>0</v>
      </c>
      <c r="B5" s="3">
        <v>2015</v>
      </c>
      <c r="C5" s="14" t="s">
        <v>51</v>
      </c>
      <c r="D5" s="14" t="s">
        <v>52</v>
      </c>
      <c r="E5" s="22">
        <f>('2012-2022'!E5-'2012-2022'!R$2)/'2012-2022'!R$3</f>
        <v>1.4124961542699082</v>
      </c>
      <c r="F5" s="22">
        <f>('2012-2022'!F5-'2012-2022'!S$2)/'2012-2022'!S$3</f>
        <v>0.78124703523265282</v>
      </c>
      <c r="G5" s="22">
        <f>('2012-2022'!G5-'2012-2022'!T$2)/'2012-2022'!T$3</f>
        <v>0.35944595714760808</v>
      </c>
      <c r="H5" s="22">
        <f>('2012-2022'!H5-'2012-2022'!U$2)/'2012-2022'!U$3</f>
        <v>1.3070457832840063</v>
      </c>
      <c r="I5" s="22">
        <f>('2012-2022'!I5-'2012-2022'!V$2)/'2012-2022'!V$3</f>
        <v>1.4144570202780131</v>
      </c>
      <c r="J5" s="22">
        <f>('2012-2022'!J5-'2012-2022'!W$2)/'2012-2022'!W$3</f>
        <v>0.5963961643052752</v>
      </c>
      <c r="K5" s="22">
        <f>('2012-2022'!K5-'2012-2022'!X$2)/'2012-2022'!X$3</f>
        <v>9.5645262736767114E-2</v>
      </c>
      <c r="L5" s="22">
        <f>('2012-2022'!L5-'2012-2022'!Y$2)/'2012-2022'!Y$3</f>
        <v>0.79271187278339084</v>
      </c>
      <c r="M5" s="22">
        <f>('2012-2022'!M5-'2012-2022'!Z$2)/'2012-2022'!Z$3</f>
        <v>0.64159132225009752</v>
      </c>
      <c r="N5" s="22">
        <f>('2012-2022'!N5-'2012-2022'!AA$2)/'2012-2022'!AA$3</f>
        <v>-0.15058705761366395</v>
      </c>
      <c r="O5" s="22">
        <f>('2012-2022'!P5-'2012-2022'!AC$2)/'2012-2022'!AC$3</f>
        <v>-1.1610230741289624</v>
      </c>
    </row>
    <row r="6" spans="1:15">
      <c r="A6" s="9" t="s">
        <v>0</v>
      </c>
      <c r="B6" s="3">
        <v>2016</v>
      </c>
      <c r="C6" s="14" t="s">
        <v>51</v>
      </c>
      <c r="D6" s="14" t="s">
        <v>52</v>
      </c>
      <c r="E6" s="22">
        <f>('2012-2022'!E6-'2012-2022'!R$2)/'2012-2022'!R$3</f>
        <v>1.1050953317179428</v>
      </c>
      <c r="F6" s="22">
        <f>('2012-2022'!F6-'2012-2022'!S$2)/'2012-2022'!S$3</f>
        <v>0.85488075545145192</v>
      </c>
      <c r="G6" s="22">
        <f>('2012-2022'!G6-'2012-2022'!T$2)/'2012-2022'!T$3</f>
        <v>-1.2055777314962705E-2</v>
      </c>
      <c r="H6" s="22">
        <f>('2012-2022'!H6-'2012-2022'!U$2)/'2012-2022'!U$3</f>
        <v>1.2079503965618439</v>
      </c>
      <c r="I6" s="22">
        <f>('2012-2022'!I6-'2012-2022'!V$2)/'2012-2022'!V$3</f>
        <v>0.98274852562763937</v>
      </c>
      <c r="J6" s="22">
        <f>('2012-2022'!J6-'2012-2022'!W$2)/'2012-2022'!W$3</f>
        <v>0.18858427317363996</v>
      </c>
      <c r="K6" s="22">
        <f>('2012-2022'!K6-'2012-2022'!X$2)/'2012-2022'!X$3</f>
        <v>0.43948567441033959</v>
      </c>
      <c r="L6" s="22">
        <f>('2012-2022'!L6-'2012-2022'!Y$2)/'2012-2022'!Y$3</f>
        <v>-3.4906038762886199E-2</v>
      </c>
      <c r="M6" s="22">
        <f>('2012-2022'!M6-'2012-2022'!Z$2)/'2012-2022'!Z$3</f>
        <v>-6.0895097650607501E-2</v>
      </c>
      <c r="N6" s="22">
        <f>('2012-2022'!N6-'2012-2022'!AA$2)/'2012-2022'!AA$3</f>
        <v>-0.28407508786877417</v>
      </c>
      <c r="O6" s="22">
        <f>('2012-2022'!P6-'2012-2022'!AC$2)/'2012-2022'!AC$3</f>
        <v>-1.1608959698808605</v>
      </c>
    </row>
    <row r="7" spans="1:15">
      <c r="A7" s="9" t="s">
        <v>0</v>
      </c>
      <c r="B7" s="3">
        <v>2017</v>
      </c>
      <c r="C7" s="14" t="s">
        <v>51</v>
      </c>
      <c r="D7" s="14" t="s">
        <v>52</v>
      </c>
      <c r="E7" s="22">
        <f>('2012-2022'!E7-'2012-2022'!R$2)/'2012-2022'!R$3</f>
        <v>1.7235449049617666</v>
      </c>
      <c r="F7" s="22">
        <f>('2012-2022'!F7-'2012-2022'!S$2)/'2012-2022'!S$3</f>
        <v>0.72978460011887558</v>
      </c>
      <c r="G7" s="22">
        <f>('2012-2022'!G7-'2012-2022'!T$2)/'2012-2022'!T$3</f>
        <v>1.1797891935269558</v>
      </c>
      <c r="H7" s="22">
        <f>('2012-2022'!H7-'2012-2022'!U$2)/'2012-2022'!U$3</f>
        <v>1.2331479791357489</v>
      </c>
      <c r="I7" s="22">
        <f>('2012-2022'!I7-'2012-2022'!V$2)/'2012-2022'!V$3</f>
        <v>1.9761987087292108</v>
      </c>
      <c r="J7" s="22">
        <f>('2012-2022'!J7-'2012-2022'!W$2)/'2012-2022'!W$3</f>
        <v>0.3903810692150439</v>
      </c>
      <c r="K7" s="22">
        <f>('2012-2022'!K7-'2012-2022'!X$2)/'2012-2022'!X$3</f>
        <v>-0.27066778559645838</v>
      </c>
      <c r="L7" s="22">
        <f>('2012-2022'!L7-'2012-2022'!Y$2)/'2012-2022'!Y$3</f>
        <v>7.7674937487687085E-2</v>
      </c>
      <c r="M7" s="22">
        <f>('2012-2022'!M7-'2012-2022'!Z$2)/'2012-2022'!Z$3</f>
        <v>5.3117815259941768E-2</v>
      </c>
      <c r="N7" s="22">
        <f>('2012-2022'!N7-'2012-2022'!AA$2)/'2012-2022'!AA$3</f>
        <v>0.10053570991262353</v>
      </c>
      <c r="O7" s="22">
        <f>('2012-2022'!P7-'2012-2022'!AC$2)/'2012-2022'!AC$3</f>
        <v>-1.1736092862812606</v>
      </c>
    </row>
    <row r="8" spans="1:15">
      <c r="A8" s="9" t="s">
        <v>0</v>
      </c>
      <c r="B8" s="3">
        <v>2018</v>
      </c>
      <c r="C8" s="14" t="s">
        <v>51</v>
      </c>
      <c r="D8" s="14" t="s">
        <v>52</v>
      </c>
      <c r="E8" s="22">
        <f>('2012-2022'!E8-'2012-2022'!R$2)/'2012-2022'!R$3</f>
        <v>0.9542137507966415</v>
      </c>
      <c r="F8" s="22">
        <f>('2012-2022'!F8-'2012-2022'!S$2)/'2012-2022'!S$3</f>
        <v>1.2689780925704646</v>
      </c>
      <c r="G8" s="22">
        <f>('2012-2022'!G8-'2012-2022'!T$2)/'2012-2022'!T$3</f>
        <v>-0.31297931487532887</v>
      </c>
      <c r="H8" s="22">
        <f>('2012-2022'!H8-'2012-2022'!U$2)/'2012-2022'!U$3</f>
        <v>1.3626428184222066</v>
      </c>
      <c r="I8" s="22">
        <f>('2012-2022'!I8-'2012-2022'!V$2)/'2012-2022'!V$3</f>
        <v>0.62846872006888332</v>
      </c>
      <c r="J8" s="22">
        <f>('2012-2022'!J8-'2012-2022'!W$2)/'2012-2022'!W$3</f>
        <v>0.24959854731695663</v>
      </c>
      <c r="K8" s="22">
        <f>('2012-2022'!K8-'2012-2022'!X$2)/'2012-2022'!X$3</f>
        <v>0.30004929879720138</v>
      </c>
      <c r="L8" s="22">
        <f>('2012-2022'!L8-'2012-2022'!Y$2)/'2012-2022'!Y$3</f>
        <v>-0.58465766529472618</v>
      </c>
      <c r="M8" s="22">
        <f>('2012-2022'!M8-'2012-2022'!Z$2)/'2012-2022'!Z$3</f>
        <v>0.11154504495310827</v>
      </c>
      <c r="N8" s="22">
        <f>('2012-2022'!N8-'2012-2022'!AA$2)/'2012-2022'!AA$3</f>
        <v>-0.83102874061904275</v>
      </c>
      <c r="O8" s="22">
        <f>('2012-2022'!P8-'2012-2022'!AC$2)/'2012-2022'!AC$3</f>
        <v>-1.3470425927916496</v>
      </c>
    </row>
    <row r="9" spans="1:15">
      <c r="A9" s="9" t="s">
        <v>0</v>
      </c>
      <c r="B9" s="3">
        <v>2019</v>
      </c>
      <c r="C9" s="14" t="s">
        <v>51</v>
      </c>
      <c r="D9" s="14" t="s">
        <v>52</v>
      </c>
      <c r="E9" s="22">
        <f>('2012-2022'!E9-'2012-2022'!R$2)/'2012-2022'!R$3</f>
        <v>1.6130318223749525</v>
      </c>
      <c r="F9" s="22">
        <f>('2012-2022'!F9-'2012-2022'!S$2)/'2012-2022'!S$3</f>
        <v>0.793798595660405</v>
      </c>
      <c r="G9" s="22">
        <f>('2012-2022'!G9-'2012-2022'!T$2)/'2012-2022'!T$3</f>
        <v>-0.39864154957627351</v>
      </c>
      <c r="H9" s="22">
        <f>('2012-2022'!H9-'2012-2022'!U$2)/'2012-2022'!U$3</f>
        <v>1.7897139581838895</v>
      </c>
      <c r="I9" s="22">
        <f>('2012-2022'!I9-'2012-2022'!V$2)/'2012-2022'!V$3</f>
        <v>1.4075996837353202</v>
      </c>
      <c r="J9" s="22">
        <f>('2012-2022'!J9-'2012-2022'!W$2)/'2012-2022'!W$3</f>
        <v>0.9196967512666423</v>
      </c>
      <c r="K9" s="22">
        <f>('2012-2022'!K9-'2012-2022'!X$2)/'2012-2022'!X$3</f>
        <v>0.90919660208907394</v>
      </c>
      <c r="L9" s="22">
        <f>('2012-2022'!L9-'2012-2022'!Y$2)/'2012-2022'!Y$3</f>
        <v>0.7905644469957972</v>
      </c>
      <c r="M9" s="22">
        <f>('2012-2022'!M9-'2012-2022'!Z$2)/'2012-2022'!Z$3</f>
        <v>-0.11292454387935813</v>
      </c>
      <c r="N9" s="22">
        <f>('2012-2022'!N9-'2012-2022'!AA$2)/'2012-2022'!AA$3</f>
        <v>9.7501109899783972E-2</v>
      </c>
      <c r="O9" s="22">
        <f>('2012-2022'!P9-'2012-2022'!AC$2)/'2012-2022'!AC$3</f>
        <v>-1.1649088684913089</v>
      </c>
    </row>
    <row r="10" spans="1:15">
      <c r="A10" s="9" t="s">
        <v>0</v>
      </c>
      <c r="B10" s="3">
        <v>2020</v>
      </c>
      <c r="C10" s="14" t="s">
        <v>51</v>
      </c>
      <c r="D10" s="14" t="s">
        <v>52</v>
      </c>
      <c r="E10" s="22">
        <f>('2012-2022'!E10-'2012-2022'!R$2)/'2012-2022'!R$3</f>
        <v>1.6891947723393095</v>
      </c>
      <c r="F10" s="22">
        <f>('2012-2022'!F10-'2012-2022'!S$2)/'2012-2022'!S$3</f>
        <v>0.54710386930395549</v>
      </c>
      <c r="G10" s="22">
        <f>('2012-2022'!G10-'2012-2022'!T$2)/'2012-2022'!T$3</f>
        <v>-0.15443589929905072</v>
      </c>
      <c r="H10" s="22">
        <f>('2012-2022'!H10-'2012-2022'!U$2)/'2012-2022'!U$3</f>
        <v>1.5883445676471202</v>
      </c>
      <c r="I10" s="22">
        <f>('2012-2022'!I10-'2012-2022'!V$2)/'2012-2022'!V$3</f>
        <v>1.6740679207760669</v>
      </c>
      <c r="J10" s="22">
        <f>('2012-2022'!J10-'2012-2022'!W$2)/'2012-2022'!W$3</f>
        <v>1.4272962473382664</v>
      </c>
      <c r="K10" s="22">
        <f>('2012-2022'!K10-'2012-2022'!X$2)/'2012-2022'!X$3</f>
        <v>2.1548993708998831</v>
      </c>
      <c r="L10" s="22">
        <f>('2012-2022'!L10-'2012-2022'!Y$2)/'2012-2022'!Y$3</f>
        <v>2.5914596372395562</v>
      </c>
      <c r="M10" s="22">
        <f>('2012-2022'!M10-'2012-2022'!Z$2)/'2012-2022'!Z$3</f>
        <v>0.41943113064214738</v>
      </c>
      <c r="N10" s="22">
        <f>('2012-2022'!N10-'2012-2022'!AA$2)/'2012-2022'!AA$3</f>
        <v>0.77778783817658448</v>
      </c>
      <c r="O10" s="22">
        <f>('2012-2022'!P10-'2012-2022'!AC$2)/'2012-2022'!AC$3</f>
        <v>-1.2308676756494727</v>
      </c>
    </row>
    <row r="11" spans="1:15">
      <c r="A11" s="9" t="s">
        <v>0</v>
      </c>
      <c r="B11" s="3">
        <v>2021</v>
      </c>
      <c r="C11" s="14" t="s">
        <v>51</v>
      </c>
      <c r="D11" s="14" t="s">
        <v>52</v>
      </c>
      <c r="E11" s="22">
        <f>('2012-2022'!E11-'2012-2022'!R$2)/'2012-2022'!R$3</f>
        <v>1.2758855633987807</v>
      </c>
      <c r="F11" s="22">
        <f>('2012-2022'!F11-'2012-2022'!S$2)/'2012-2022'!S$3</f>
        <v>-0.3044690211753015</v>
      </c>
      <c r="G11" s="22">
        <f>('2012-2022'!G11-'2012-2022'!T$2)/'2012-2022'!T$3</f>
        <v>0.35898325450416763</v>
      </c>
      <c r="H11" s="22">
        <f>('2012-2022'!H11-'2012-2022'!U$2)/'2012-2022'!U$3</f>
        <v>0.59120502045164502</v>
      </c>
      <c r="I11" s="22">
        <f>('2012-2022'!I11-'2012-2022'!V$2)/'2012-2022'!V$3</f>
        <v>1.6394813078738153</v>
      </c>
      <c r="J11" s="22">
        <f>('2012-2022'!J11-'2012-2022'!W$2)/'2012-2022'!W$3</f>
        <v>1.3305620744911262</v>
      </c>
      <c r="K11" s="22">
        <f>('2012-2022'!K11-'2012-2022'!X$2)/'2012-2022'!X$3</f>
        <v>2.1124216785973555</v>
      </c>
      <c r="L11" s="22">
        <f>('2012-2022'!L11-'2012-2022'!Y$2)/'2012-2022'!Y$3</f>
        <v>2.304100644704886</v>
      </c>
      <c r="M11" s="22">
        <f>('2012-2022'!M11-'2012-2022'!Z$2)/'2012-2022'!Z$3</f>
        <v>0.56106082722223038</v>
      </c>
      <c r="N11" s="22">
        <f>('2012-2022'!N11-'2012-2022'!AA$2)/'2012-2022'!AA$3</f>
        <v>0.62183339684959038</v>
      </c>
      <c r="O11" s="22">
        <f>('2012-2022'!P11-'2012-2022'!AC$2)/'2012-2022'!AC$3</f>
        <v>-1.2298449327629164</v>
      </c>
    </row>
    <row r="12" spans="1:15">
      <c r="A12" s="9" t="s">
        <v>0</v>
      </c>
      <c r="B12" s="3">
        <v>2022</v>
      </c>
      <c r="C12" s="14" t="s">
        <v>51</v>
      </c>
      <c r="D12" s="14" t="s">
        <v>52</v>
      </c>
      <c r="E12" s="22">
        <f>('2012-2022'!E12-'2012-2022'!R$2)/'2012-2022'!R$3</f>
        <v>1.2560582766572215</v>
      </c>
      <c r="F12" s="22">
        <f>('2012-2022'!F12-'2012-2022'!S$2)/'2012-2022'!S$3</f>
        <v>0.5934486212486908</v>
      </c>
      <c r="G12" s="22">
        <f>('2012-2022'!G12-'2012-2022'!T$2)/'2012-2022'!T$3</f>
        <v>-0.21864272013534033</v>
      </c>
      <c r="H12" s="22">
        <f>('2012-2022'!H12-'2012-2022'!U$2)/'2012-2022'!U$3</f>
        <v>1.4409162139685261</v>
      </c>
      <c r="I12" s="22">
        <f>('2012-2022'!I12-'2012-2022'!V$2)/'2012-2022'!V$3</f>
        <v>1.0583545739566158</v>
      </c>
      <c r="J12" s="22">
        <f>('2012-2022'!J12-'2012-2022'!W$2)/'2012-2022'!W$3</f>
        <v>1.5419528004114642</v>
      </c>
      <c r="K12" s="22">
        <f>('2012-2022'!K12-'2012-2022'!X$2)/'2012-2022'!X$3</f>
        <v>2.2446227990338707</v>
      </c>
      <c r="L12" s="22">
        <f>('2012-2022'!L12-'2012-2022'!Y$2)/'2012-2022'!Y$3</f>
        <v>2.7134309352606669</v>
      </c>
      <c r="M12" s="22">
        <f>('2012-2022'!M12-'2012-2022'!Z$2)/'2012-2022'!Z$3</f>
        <v>0.82516668695440143</v>
      </c>
      <c r="N12" s="22">
        <f>('2012-2022'!N12-'2012-2022'!AA$2)/'2012-2022'!AA$3</f>
        <v>1.4338622600981106</v>
      </c>
      <c r="O12" s="22">
        <f>('2012-2022'!P12-'2012-2022'!AC$2)/'2012-2022'!AC$3</f>
        <v>-1.2900142734274198</v>
      </c>
    </row>
    <row r="13" spans="1:15">
      <c r="A13" s="10" t="s">
        <v>1</v>
      </c>
      <c r="B13" s="11">
        <v>2013</v>
      </c>
      <c r="C13" s="14" t="s">
        <v>53</v>
      </c>
      <c r="D13" s="14" t="s">
        <v>54</v>
      </c>
      <c r="E13" s="22">
        <f>('2012-2022'!E14-'2012-2022'!R$2)/'2012-2022'!R$3</f>
        <v>0.18655614506150298</v>
      </c>
      <c r="F13" s="22">
        <f>('2012-2022'!F14-'2012-2022'!S$2)/'2012-2022'!S$3</f>
        <v>-0.56318974413156631</v>
      </c>
      <c r="G13" s="22">
        <f>('2012-2022'!G14-'2012-2022'!T$2)/'2012-2022'!T$3</f>
        <v>0.11048348975792228</v>
      </c>
      <c r="H13" s="22">
        <f>('2012-2022'!H14-'2012-2022'!U$2)/'2012-2022'!U$3</f>
        <v>-0.25141867199920231</v>
      </c>
      <c r="I13" s="22">
        <f>('2012-2022'!I14-'2012-2022'!V$2)/'2012-2022'!V$3</f>
        <v>0.47470182994518589</v>
      </c>
      <c r="J13" s="22">
        <f>('2012-2022'!J14-'2012-2022'!W$2)/'2012-2022'!W$3</f>
        <v>-0.25577676353363715</v>
      </c>
      <c r="K13" s="22">
        <f>('2012-2022'!K14-'2012-2022'!X$2)/'2012-2022'!X$3</f>
        <v>-0.39875585903169453</v>
      </c>
      <c r="L13" s="22">
        <f>('2012-2022'!L14-'2012-2022'!Y$2)/'2012-2022'!Y$3</f>
        <v>-1.0973775860603112</v>
      </c>
      <c r="M13" s="22">
        <f>('2012-2022'!M14-'2012-2022'!Z$2)/'2012-2022'!Z$3</f>
        <v>-0.57932877696745944</v>
      </c>
      <c r="N13" s="22">
        <f>('2012-2022'!N14-'2012-2022'!AA$2)/'2012-2022'!AA$3</f>
        <v>0.7803106683537776</v>
      </c>
      <c r="O13" s="22">
        <f>('2012-2022'!P14-'2012-2022'!AC$2)/'2012-2022'!AC$3</f>
        <v>1.1642637801225806</v>
      </c>
    </row>
    <row r="14" spans="1:15">
      <c r="A14" s="10" t="s">
        <v>1</v>
      </c>
      <c r="B14" s="11">
        <v>2014</v>
      </c>
      <c r="C14" s="14" t="s">
        <v>53</v>
      </c>
      <c r="D14" s="14" t="s">
        <v>54</v>
      </c>
      <c r="E14" s="22">
        <f>('2012-2022'!E15-'2012-2022'!R$2)/'2012-2022'!R$3</f>
        <v>6.6263930834712312E-2</v>
      </c>
      <c r="F14" s="22">
        <f>('2012-2022'!F15-'2012-2022'!S$2)/'2012-2022'!S$3</f>
        <v>-0.23038585773901205</v>
      </c>
      <c r="G14" s="22">
        <f>('2012-2022'!G15-'2012-2022'!T$2)/'2012-2022'!T$3</f>
        <v>-0.93616216324399881</v>
      </c>
      <c r="H14" s="22">
        <f>('2012-2022'!H15-'2012-2022'!U$2)/'2012-2022'!U$3</f>
        <v>8.309270913570195E-2</v>
      </c>
      <c r="I14" s="22">
        <f>('2012-2022'!I15-'2012-2022'!V$2)/'2012-2022'!V$3</f>
        <v>6.4878600661008978E-2</v>
      </c>
      <c r="J14" s="22">
        <f>('2012-2022'!J15-'2012-2022'!W$2)/'2012-2022'!W$3</f>
        <v>-0.21039330331962214</v>
      </c>
      <c r="K14" s="22">
        <f>('2012-2022'!K15-'2012-2022'!X$2)/'2012-2022'!X$3</f>
        <v>-0.42025796078862104</v>
      </c>
      <c r="L14" s="22">
        <f>('2012-2022'!L15-'2012-2022'!Y$2)/'2012-2022'!Y$3</f>
        <v>-0.86417623735662663</v>
      </c>
      <c r="M14" s="22">
        <f>('2012-2022'!M15-'2012-2022'!Z$2)/'2012-2022'!Z$3</f>
        <v>-0.37965576073916174</v>
      </c>
      <c r="N14" s="22">
        <f>('2012-2022'!N15-'2012-2022'!AA$2)/'2012-2022'!AA$3</f>
        <v>0.66640034860525243</v>
      </c>
      <c r="O14" s="22">
        <f>('2012-2022'!P15-'2012-2022'!AC$2)/'2012-2022'!AC$3</f>
        <v>1.0752584960736706</v>
      </c>
    </row>
    <row r="15" spans="1:15">
      <c r="A15" s="10" t="s">
        <v>1</v>
      </c>
      <c r="B15" s="11">
        <v>2015</v>
      </c>
      <c r="C15" s="14" t="s">
        <v>53</v>
      </c>
      <c r="D15" s="14" t="s">
        <v>54</v>
      </c>
      <c r="E15" s="22">
        <f>('2012-2022'!E16-'2012-2022'!R$2)/'2012-2022'!R$3</f>
        <v>0.48797552267723932</v>
      </c>
      <c r="F15" s="22">
        <f>('2012-2022'!F16-'2012-2022'!S$2)/'2012-2022'!S$3</f>
        <v>0.52111727265471008</v>
      </c>
      <c r="G15" s="22">
        <f>('2012-2022'!G16-'2012-2022'!T$2)/'2012-2022'!T$3</f>
        <v>-1.1494321952967612</v>
      </c>
      <c r="H15" s="22">
        <f>('2012-2022'!H16-'2012-2022'!U$2)/'2012-2022'!U$3</f>
        <v>0.94186571333381408</v>
      </c>
      <c r="I15" s="22">
        <f>('2012-2022'!I16-'2012-2022'!V$2)/'2012-2022'!V$3</f>
        <v>0.16490577745634616</v>
      </c>
      <c r="J15" s="22">
        <f>('2012-2022'!J16-'2012-2022'!W$2)/'2012-2022'!W$3</f>
        <v>-7.8476913247602184E-2</v>
      </c>
      <c r="K15" s="22">
        <f>('2012-2022'!K16-'2012-2022'!X$2)/'2012-2022'!X$3</f>
        <v>-0.37177172413086329</v>
      </c>
      <c r="L15" s="22">
        <f>('2012-2022'!L16-'2012-2022'!Y$2)/'2012-2022'!Y$3</f>
        <v>-0.8072147487843836</v>
      </c>
      <c r="M15" s="22">
        <f>('2012-2022'!M16-'2012-2022'!Z$2)/'2012-2022'!Z$3</f>
        <v>-3.3068278507050929E-2</v>
      </c>
      <c r="N15" s="22">
        <f>('2012-2022'!N16-'2012-2022'!AA$2)/'2012-2022'!AA$3</f>
        <v>0.52127033329762751</v>
      </c>
      <c r="O15" s="22">
        <f>('2012-2022'!P16-'2012-2022'!AC$2)/'2012-2022'!AC$3</f>
        <v>1.0456507495447567</v>
      </c>
    </row>
    <row r="16" spans="1:15">
      <c r="A16" s="10" t="s">
        <v>1</v>
      </c>
      <c r="B16" s="11">
        <v>2016</v>
      </c>
      <c r="C16" s="14" t="s">
        <v>53</v>
      </c>
      <c r="D16" s="14" t="s">
        <v>54</v>
      </c>
      <c r="E16" s="22">
        <f>('2012-2022'!E17-'2012-2022'!R$2)/'2012-2022'!R$3</f>
        <v>0.7373229651348403</v>
      </c>
      <c r="F16" s="22">
        <f>('2012-2022'!F17-'2012-2022'!S$2)/'2012-2022'!S$3</f>
        <v>-0.33367228330351539</v>
      </c>
      <c r="G16" s="22">
        <f>('2012-2022'!G17-'2012-2022'!T$2)/'2012-2022'!T$3</f>
        <v>-0.60342743829845324</v>
      </c>
      <c r="H16" s="22">
        <f>('2012-2022'!H17-'2012-2022'!U$2)/'2012-2022'!U$3</f>
        <v>0.44345272228920096</v>
      </c>
      <c r="I16" s="22">
        <f>('2012-2022'!I17-'2012-2022'!V$2)/'2012-2022'!V$3</f>
        <v>0.90440307915687856</v>
      </c>
      <c r="J16" s="22">
        <f>('2012-2022'!J17-'2012-2022'!W$2)/'2012-2022'!W$3</f>
        <v>0.23230789765972859</v>
      </c>
      <c r="K16" s="22">
        <f>('2012-2022'!K17-'2012-2022'!X$2)/'2012-2022'!X$3</f>
        <v>-7.8952322623523502E-2</v>
      </c>
      <c r="L16" s="22">
        <f>('2012-2022'!L17-'2012-2022'!Y$2)/'2012-2022'!Y$3</f>
        <v>-0.43148105798357633</v>
      </c>
      <c r="M16" s="22">
        <f>('2012-2022'!M17-'2012-2022'!Z$2)/'2012-2022'!Z$3</f>
        <v>0.11488994882017241</v>
      </c>
      <c r="N16" s="22">
        <f>('2012-2022'!N17-'2012-2022'!AA$2)/'2012-2022'!AA$3</f>
        <v>0.88049545747239144</v>
      </c>
      <c r="O16" s="22">
        <f>('2012-2022'!P17-'2012-2022'!AC$2)/'2012-2022'!AC$3</f>
        <v>1.185995840679098</v>
      </c>
    </row>
    <row r="17" spans="1:15">
      <c r="A17" s="10" t="s">
        <v>1</v>
      </c>
      <c r="B17" s="11">
        <v>2017</v>
      </c>
      <c r="C17" s="14" t="s">
        <v>53</v>
      </c>
      <c r="D17" s="14" t="s">
        <v>54</v>
      </c>
      <c r="E17" s="22">
        <f>('2012-2022'!E18-'2012-2022'!R$2)/'2012-2022'!R$3</f>
        <v>1.4769076044979608</v>
      </c>
      <c r="F17" s="22">
        <f>('2012-2022'!F18-'2012-2022'!S$2)/'2012-2022'!S$3</f>
        <v>-0.23434755454785033</v>
      </c>
      <c r="G17" s="22">
        <f>('2012-2022'!G18-'2012-2022'!T$2)/'2012-2022'!T$3</f>
        <v>0.14733390085849521</v>
      </c>
      <c r="H17" s="22">
        <f>('2012-2022'!H18-'2012-2022'!U$2)/'2012-2022'!U$3</f>
        <v>0.80281522606756195</v>
      </c>
      <c r="I17" s="22">
        <f>('2012-2022'!I18-'2012-2022'!V$2)/'2012-2022'!V$3</f>
        <v>1.8467395296796589</v>
      </c>
      <c r="J17" s="22">
        <f>('2012-2022'!J18-'2012-2022'!W$2)/'2012-2022'!W$3</f>
        <v>0.36366573847838268</v>
      </c>
      <c r="K17" s="22">
        <f>('2012-2022'!K18-'2012-2022'!X$2)/'2012-2022'!X$3</f>
        <v>6.1334638333533253E-2</v>
      </c>
      <c r="L17" s="22">
        <f>('2012-2022'!L18-'2012-2022'!Y$2)/'2012-2022'!Y$3</f>
        <v>-0.20045334274461382</v>
      </c>
      <c r="M17" s="22">
        <f>('2012-2022'!M18-'2012-2022'!Z$2)/'2012-2022'!Z$3</f>
        <v>0.43338277862931657</v>
      </c>
      <c r="N17" s="22">
        <f>('2012-2022'!N18-'2012-2022'!AA$2)/'2012-2022'!AA$3</f>
        <v>0.95898012733817517</v>
      </c>
      <c r="O17" s="22">
        <f>('2012-2022'!P18-'2012-2022'!AC$2)/'2012-2022'!AC$3</f>
        <v>1.2783297222282504</v>
      </c>
    </row>
    <row r="18" spans="1:15">
      <c r="A18" s="10" t="s">
        <v>1</v>
      </c>
      <c r="B18" s="11">
        <v>2018</v>
      </c>
      <c r="C18" s="14" t="s">
        <v>53</v>
      </c>
      <c r="D18" s="14" t="s">
        <v>54</v>
      </c>
      <c r="E18" s="22">
        <f>('2012-2022'!E19-'2012-2022'!R$2)/'2012-2022'!R$3</f>
        <v>1.7798583951127753</v>
      </c>
      <c r="F18" s="22">
        <f>('2012-2022'!F19-'2012-2022'!S$2)/'2012-2022'!S$3</f>
        <v>0.92911064087231121</v>
      </c>
      <c r="G18" s="22">
        <f>('2012-2022'!G19-'2012-2022'!T$2)/'2012-2022'!T$3</f>
        <v>-0.21127995878265288</v>
      </c>
      <c r="H18" s="22">
        <f>('2012-2022'!H19-'2012-2022'!U$2)/'2012-2022'!U$3</f>
        <v>2.2053519430174751</v>
      </c>
      <c r="I18" s="22">
        <f>('2012-2022'!I19-'2012-2022'!V$2)/'2012-2022'!V$3</f>
        <v>1.3966980687687374</v>
      </c>
      <c r="J18" s="22">
        <f>('2012-2022'!J19-'2012-2022'!W$2)/'2012-2022'!W$3</f>
        <v>0.38739775466418852</v>
      </c>
      <c r="K18" s="22">
        <f>('2012-2022'!K19-'2012-2022'!X$2)/'2012-2022'!X$3</f>
        <v>0.12991001948533754</v>
      </c>
      <c r="L18" s="22">
        <f>('2012-2022'!L19-'2012-2022'!Y$2)/'2012-2022'!Y$3</f>
        <v>-0.14832563129651416</v>
      </c>
      <c r="M18" s="22">
        <f>('2012-2022'!M19-'2012-2022'!Z$2)/'2012-2022'!Z$3</f>
        <v>0.44504118998066566</v>
      </c>
      <c r="N18" s="22">
        <f>('2012-2022'!N19-'2012-2022'!AA$2)/'2012-2022'!AA$3</f>
        <v>1.1299635011254201</v>
      </c>
      <c r="O18" s="22">
        <f>('2012-2022'!P19-'2012-2022'!AC$2)/'2012-2022'!AC$3</f>
        <v>1.0247830230195945</v>
      </c>
    </row>
    <row r="19" spans="1:15">
      <c r="A19" s="10" t="s">
        <v>1</v>
      </c>
      <c r="B19" s="11">
        <v>2019</v>
      </c>
      <c r="C19" s="14" t="s">
        <v>53</v>
      </c>
      <c r="D19" s="14" t="s">
        <v>54</v>
      </c>
      <c r="E19" s="22">
        <f>('2012-2022'!E20-'2012-2022'!R$2)/'2012-2022'!R$3</f>
        <v>2.0056849877132135</v>
      </c>
      <c r="F19" s="22">
        <f>('2012-2022'!F20-'2012-2022'!S$2)/'2012-2022'!S$3</f>
        <v>0.84331348501869963</v>
      </c>
      <c r="G19" s="22">
        <f>('2012-2022'!G20-'2012-2022'!T$2)/'2012-2022'!T$3</f>
        <v>0.5682045416182453</v>
      </c>
      <c r="H19" s="22">
        <f>('2012-2022'!H20-'2012-2022'!U$2)/'2012-2022'!U$3</f>
        <v>1.9737676932784485</v>
      </c>
      <c r="I19" s="22">
        <f>('2012-2022'!I20-'2012-2022'!V$2)/'2012-2022'!V$3</f>
        <v>1.8950837772863958</v>
      </c>
      <c r="J19" s="22">
        <f>('2012-2022'!J20-'2012-2022'!W$2)/'2012-2022'!W$3</f>
        <v>0.469189339494612</v>
      </c>
      <c r="K19" s="22">
        <f>('2012-2022'!K20-'2012-2022'!X$2)/'2012-2022'!X$3</f>
        <v>-7.8716969916543866E-2</v>
      </c>
      <c r="L19" s="22">
        <f>('2012-2022'!L20-'2012-2022'!Y$2)/'2012-2022'!Y$3</f>
        <v>1.0671117546124433</v>
      </c>
      <c r="M19" s="22">
        <f>('2012-2022'!M20-'2012-2022'!Z$2)/'2012-2022'!Z$3</f>
        <v>0.69119629249409653</v>
      </c>
      <c r="N19" s="22">
        <f>('2012-2022'!N20-'2012-2022'!AA$2)/'2012-2022'!AA$3</f>
        <v>1.3850475859630014</v>
      </c>
      <c r="O19" s="22">
        <f>('2012-2022'!P20-'2012-2022'!AC$2)/'2012-2022'!AC$3</f>
        <v>1.0755320656521767</v>
      </c>
    </row>
    <row r="20" spans="1:15">
      <c r="A20" s="10" t="s">
        <v>1</v>
      </c>
      <c r="B20" s="11">
        <v>2020</v>
      </c>
      <c r="C20" s="14" t="s">
        <v>53</v>
      </c>
      <c r="D20" s="14" t="s">
        <v>54</v>
      </c>
      <c r="E20" s="22">
        <f>('2012-2022'!E21-'2012-2022'!R$2)/'2012-2022'!R$3</f>
        <v>1.155414507634144</v>
      </c>
      <c r="F20" s="22">
        <f>('2012-2022'!F21-'2012-2022'!S$2)/'2012-2022'!S$3</f>
        <v>0.88465066142283899</v>
      </c>
      <c r="G20" s="22">
        <f>('2012-2022'!G21-'2012-2022'!T$2)/'2012-2022'!T$3</f>
        <v>-0.17877009978868547</v>
      </c>
      <c r="H20" s="22">
        <f>('2012-2022'!H21-'2012-2022'!U$2)/'2012-2022'!U$3</f>
        <v>1.5272778590837963</v>
      </c>
      <c r="I20" s="22">
        <f>('2012-2022'!I21-'2012-2022'!V$2)/'2012-2022'!V$3</f>
        <v>0.84616871893135637</v>
      </c>
      <c r="J20" s="22">
        <f>('2012-2022'!J21-'2012-2022'!W$2)/'2012-2022'!W$3</f>
        <v>0.36619423992080807</v>
      </c>
      <c r="K20" s="22">
        <f>('2012-2022'!K21-'2012-2022'!X$2)/'2012-2022'!X$3</f>
        <v>-0.34725367417636616</v>
      </c>
      <c r="L20" s="22">
        <f>('2012-2022'!L21-'2012-2022'!Y$2)/'2012-2022'!Y$3</f>
        <v>0.73615588906873719</v>
      </c>
      <c r="M20" s="22">
        <f>('2012-2022'!M21-'2012-2022'!Z$2)/'2012-2022'!Z$3</f>
        <v>1.4938981020115147</v>
      </c>
      <c r="N20" s="22">
        <f>('2012-2022'!N21-'2012-2022'!AA$2)/'2012-2022'!AA$3</f>
        <v>0.26759042426850022</v>
      </c>
      <c r="O20" s="22">
        <f>('2012-2022'!P21-'2012-2022'!AC$2)/'2012-2022'!AC$3</f>
        <v>0.9626726709936223</v>
      </c>
    </row>
    <row r="21" spans="1:15">
      <c r="A21" s="10" t="s">
        <v>1</v>
      </c>
      <c r="B21" s="11">
        <v>2021</v>
      </c>
      <c r="C21" s="14" t="s">
        <v>53</v>
      </c>
      <c r="D21" s="14" t="s">
        <v>54</v>
      </c>
      <c r="E21" s="22">
        <f>('2012-2022'!E22-'2012-2022'!R$2)/'2012-2022'!R$3</f>
        <v>2.4361703698831052</v>
      </c>
      <c r="F21" s="22">
        <f>('2012-2022'!F22-'2012-2022'!S$2)/'2012-2022'!S$3</f>
        <v>1.1302185763594639</v>
      </c>
      <c r="G21" s="22">
        <f>('2012-2022'!G22-'2012-2022'!T$2)/'2012-2022'!T$3</f>
        <v>0.33709488516439234</v>
      </c>
      <c r="H21" s="22">
        <f>('2012-2022'!H22-'2012-2022'!U$2)/'2012-2022'!U$3</f>
        <v>2.686532112553317</v>
      </c>
      <c r="I21" s="22">
        <f>('2012-2022'!I22-'2012-2022'!V$2)/'2012-2022'!V$3</f>
        <v>2.1203592095361024</v>
      </c>
      <c r="J21" s="22">
        <f>('2012-2022'!J22-'2012-2022'!W$2)/'2012-2022'!W$3</f>
        <v>0.65378926224915079</v>
      </c>
      <c r="K21" s="22">
        <f>('2012-2022'!K22-'2012-2022'!X$2)/'2012-2022'!X$3</f>
        <v>1.4885195297995321E-2</v>
      </c>
      <c r="L21" s="22">
        <f>('2012-2022'!L22-'2012-2022'!Y$2)/'2012-2022'!Y$3</f>
        <v>0.7951937624672818</v>
      </c>
      <c r="M21" s="22">
        <f>('2012-2022'!M22-'2012-2022'!Z$2)/'2012-2022'!Z$3</f>
        <v>1.0335199543254971</v>
      </c>
      <c r="N21" s="22">
        <f>('2012-2022'!N22-'2012-2022'!AA$2)/'2012-2022'!AA$3</f>
        <v>1.5975070062711254</v>
      </c>
      <c r="O21" s="22">
        <f>('2012-2022'!P22-'2012-2022'!AC$2)/'2012-2022'!AC$3</f>
        <v>1.0114462546247958</v>
      </c>
    </row>
    <row r="22" spans="1:15">
      <c r="A22" s="10" t="s">
        <v>1</v>
      </c>
      <c r="B22" s="11">
        <v>2022</v>
      </c>
      <c r="C22" s="14" t="s">
        <v>53</v>
      </c>
      <c r="D22" s="14" t="s">
        <v>54</v>
      </c>
      <c r="E22" s="22">
        <f>('2012-2022'!E23-'2012-2022'!R$2)/'2012-2022'!R$3</f>
        <v>1.4739038972228853</v>
      </c>
      <c r="F22" s="22">
        <f>('2012-2022'!F23-'2012-2022'!S$2)/'2012-2022'!S$3</f>
        <v>0.36549234523450708</v>
      </c>
      <c r="G22" s="22">
        <f>('2012-2022'!G23-'2012-2022'!T$2)/'2012-2022'!T$3</f>
        <v>0.68128218952027686</v>
      </c>
      <c r="H22" s="22">
        <f>('2012-2022'!H23-'2012-2022'!U$2)/'2012-2022'!U$3</f>
        <v>1.2993143325348886</v>
      </c>
      <c r="I22" s="22">
        <f>('2012-2022'!I23-'2012-2022'!V$2)/'2012-2022'!V$3</f>
        <v>1.4605178576574509</v>
      </c>
      <c r="J22" s="22">
        <f>('2012-2022'!J23-'2012-2022'!W$2)/'2012-2022'!W$3</f>
        <v>0.34754857135885564</v>
      </c>
      <c r="K22" s="22">
        <f>('2012-2022'!K23-'2012-2022'!X$2)/'2012-2022'!X$3</f>
        <v>-0.16781354538045987</v>
      </c>
      <c r="L22" s="22">
        <f>('2012-2022'!L23-'2012-2022'!Y$2)/'2012-2022'!Y$3</f>
        <v>0.44137732042543332</v>
      </c>
      <c r="M22" s="22">
        <f>('2012-2022'!M23-'2012-2022'!Z$2)/'2012-2022'!Z$3</f>
        <v>0.95749678661947613</v>
      </c>
      <c r="N22" s="22">
        <f>('2012-2022'!N23-'2012-2022'!AA$2)/'2012-2022'!AA$3</f>
        <v>0.87263877029317793</v>
      </c>
      <c r="O22" s="22">
        <f>('2012-2022'!P23-'2012-2022'!AC$2)/'2012-2022'!AC$3</f>
        <v>1.0121264069316513</v>
      </c>
    </row>
    <row r="23" spans="1:15">
      <c r="A23" s="10" t="s">
        <v>2</v>
      </c>
      <c r="B23" s="11">
        <v>2012</v>
      </c>
      <c r="C23" s="14" t="s">
        <v>51</v>
      </c>
      <c r="D23" s="14" t="s">
        <v>54</v>
      </c>
      <c r="E23" s="22">
        <f>('2012-2022'!E24-'2012-2022'!R$2)/'2012-2022'!R$3</f>
        <v>1.259393203428711</v>
      </c>
      <c r="F23" s="22">
        <f>('2012-2022'!F24-'2012-2022'!S$2)/'2012-2022'!S$3</f>
        <v>7.4904172684847253E-2</v>
      </c>
      <c r="G23" s="22">
        <f>('2012-2022'!G24-'2012-2022'!T$2)/'2012-2022'!T$3</f>
        <v>-7.4798196595320859E-2</v>
      </c>
      <c r="H23" s="22">
        <f>('2012-2022'!H24-'2012-2022'!U$2)/'2012-2022'!U$3</f>
        <v>0.94626053463469195</v>
      </c>
      <c r="I23" s="22">
        <f>('2012-2022'!I24-'2012-2022'!V$2)/'2012-2022'!V$3</f>
        <v>1.4022033180848177</v>
      </c>
      <c r="J23" s="22">
        <f>('2012-2022'!J24-'2012-2022'!W$2)/'2012-2022'!W$3</f>
        <v>0.73891929229811604</v>
      </c>
      <c r="K23" s="22">
        <f>('2012-2022'!K24-'2012-2022'!X$2)/'2012-2022'!X$3</f>
        <v>1.7189809300685566</v>
      </c>
      <c r="L23" s="22">
        <f>('2012-2022'!L24-'2012-2022'!Y$2)/'2012-2022'!Y$3</f>
        <v>9.4732360306198863E-3</v>
      </c>
      <c r="M23" s="22">
        <f>('2012-2022'!M24-'2012-2022'!Z$2)/'2012-2022'!Z$3</f>
        <v>-1.1268893669074915</v>
      </c>
      <c r="N23" s="22">
        <f>('2012-2022'!N24-'2012-2022'!AA$2)/'2012-2022'!AA$3</f>
        <v>1.2497443979050447</v>
      </c>
      <c r="O23" s="22">
        <f>('2012-2022'!P24-'2012-2022'!AC$2)/'2012-2022'!AC$3</f>
        <v>0.90547010188867161</v>
      </c>
    </row>
    <row r="24" spans="1:15">
      <c r="A24" s="10" t="s">
        <v>2</v>
      </c>
      <c r="B24" s="11">
        <v>2013</v>
      </c>
      <c r="C24" s="14" t="s">
        <v>51</v>
      </c>
      <c r="D24" s="14" t="s">
        <v>54</v>
      </c>
      <c r="E24" s="22">
        <f>('2012-2022'!E25-'2012-2022'!R$2)/'2012-2022'!R$3</f>
        <v>1.3411268222130466</v>
      </c>
      <c r="F24" s="22">
        <f>('2012-2022'!F25-'2012-2022'!S$2)/'2012-2022'!S$3</f>
        <v>-0.57093537230103075</v>
      </c>
      <c r="G24" s="22">
        <f>('2012-2022'!G25-'2012-2022'!T$2)/'2012-2022'!T$3</f>
        <v>-0.17630524331164116</v>
      </c>
      <c r="H24" s="22">
        <f>('2012-2022'!H25-'2012-2022'!U$2)/'2012-2022'!U$3</f>
        <v>0.35703412088014125</v>
      </c>
      <c r="I24" s="22">
        <f>('2012-2022'!I25-'2012-2022'!V$2)/'2012-2022'!V$3</f>
        <v>2.0894713101806044</v>
      </c>
      <c r="J24" s="22">
        <f>('2012-2022'!J25-'2012-2022'!W$2)/'2012-2022'!W$3</f>
        <v>0.71429669685048613</v>
      </c>
      <c r="K24" s="22">
        <f>('2012-2022'!K25-'2012-2022'!X$2)/'2012-2022'!X$3</f>
        <v>1.9047443650850033</v>
      </c>
      <c r="L24" s="22">
        <f>('2012-2022'!L25-'2012-2022'!Y$2)/'2012-2022'!Y$3</f>
        <v>4.1083927611949324E-2</v>
      </c>
      <c r="M24" s="22">
        <f>('2012-2022'!M25-'2012-2022'!Z$2)/'2012-2022'!Z$3</f>
        <v>-1.1899352260279392</v>
      </c>
      <c r="N24" s="22">
        <f>('2012-2022'!N25-'2012-2022'!AA$2)/'2012-2022'!AA$3</f>
        <v>1.4668076060179609</v>
      </c>
      <c r="O24" s="22">
        <f>('2012-2022'!P25-'2012-2022'!AC$2)/'2012-2022'!AC$3</f>
        <v>0.84776012156182234</v>
      </c>
    </row>
    <row r="25" spans="1:15">
      <c r="A25" s="10" t="s">
        <v>2</v>
      </c>
      <c r="B25" s="11">
        <v>2014</v>
      </c>
      <c r="C25" s="14" t="s">
        <v>51</v>
      </c>
      <c r="D25" s="14" t="s">
        <v>54</v>
      </c>
      <c r="E25" s="22">
        <f>('2012-2022'!E26-'2012-2022'!R$2)/'2012-2022'!R$3</f>
        <v>1.814004868479093</v>
      </c>
      <c r="F25" s="22">
        <f>('2012-2022'!F26-'2012-2022'!S$2)/'2012-2022'!S$3</f>
        <v>-0.18902435488164035</v>
      </c>
      <c r="G25" s="22">
        <f>('2012-2022'!G26-'2012-2022'!T$2)/'2012-2022'!T$3</f>
        <v>-0.32476255152228423</v>
      </c>
      <c r="H25" s="22">
        <f>('2012-2022'!H26-'2012-2022'!U$2)/'2012-2022'!U$3</f>
        <v>0.992728081663384</v>
      </c>
      <c r="I25" s="22">
        <f>('2012-2022'!I26-'2012-2022'!V$2)/'2012-2022'!V$3</f>
        <v>2.4209296346756668</v>
      </c>
      <c r="J25" s="22">
        <f>('2012-2022'!J26-'2012-2022'!W$2)/'2012-2022'!W$3</f>
        <v>1.1696823445579421</v>
      </c>
      <c r="K25" s="22">
        <f>('2012-2022'!K26-'2012-2022'!X$2)/'2012-2022'!X$3</f>
        <v>2.0202924673511347</v>
      </c>
      <c r="L25" s="22">
        <f>('2012-2022'!L26-'2012-2022'!Y$2)/'2012-2022'!Y$3</f>
        <v>0.52439786953411471</v>
      </c>
      <c r="M25" s="22">
        <f>('2012-2022'!M26-'2012-2022'!Z$2)/'2012-2022'!Z$3</f>
        <v>-1.2218531534057064</v>
      </c>
      <c r="N25" s="22">
        <f>('2012-2022'!N26-'2012-2022'!AA$2)/'2012-2022'!AA$3</f>
        <v>1.3798998257134274</v>
      </c>
      <c r="O25" s="22">
        <f>('2012-2022'!P26-'2012-2022'!AC$2)/'2012-2022'!AC$3</f>
        <v>0.62444964972902539</v>
      </c>
    </row>
    <row r="26" spans="1:15">
      <c r="A26" s="10" t="s">
        <v>2</v>
      </c>
      <c r="B26" s="11">
        <v>2015</v>
      </c>
      <c r="C26" s="14" t="s">
        <v>51</v>
      </c>
      <c r="D26" s="14" t="s">
        <v>54</v>
      </c>
      <c r="E26" s="22">
        <f>('2012-2022'!E27-'2012-2022'!R$2)/'2012-2022'!R$3</f>
        <v>1.5929345555665499</v>
      </c>
      <c r="F26" s="22">
        <f>('2012-2022'!F27-'2012-2022'!S$2)/'2012-2022'!S$3</f>
        <v>-0.50750850463909236</v>
      </c>
      <c r="G26" s="22">
        <f>('2012-2022'!G27-'2012-2022'!T$2)/'2012-2022'!T$3</f>
        <v>-0.194287517812921</v>
      </c>
      <c r="H26" s="22">
        <f>('2012-2022'!H27-'2012-2022'!U$2)/'2012-2022'!U$3</f>
        <v>0.81030432235345207</v>
      </c>
      <c r="I26" s="22">
        <f>('2012-2022'!I27-'2012-2022'!V$2)/'2012-2022'!V$3</f>
        <v>2.0117093071236338</v>
      </c>
      <c r="J26" s="22">
        <f>('2012-2022'!J27-'2012-2022'!W$2)/'2012-2022'!W$3</f>
        <v>1.2433026848087614</v>
      </c>
      <c r="K26" s="22">
        <f>('2012-2022'!K27-'2012-2022'!X$2)/'2012-2022'!X$3</f>
        <v>2.2732232871709646</v>
      </c>
      <c r="L26" s="22">
        <f>('2012-2022'!L27-'2012-2022'!Y$2)/'2012-2022'!Y$3</f>
        <v>0.16049859147407769</v>
      </c>
      <c r="M26" s="22">
        <f>('2012-2022'!M27-'2012-2022'!Z$2)/'2012-2022'!Z$3</f>
        <v>-1.2536603462709968</v>
      </c>
      <c r="N26" s="22">
        <f>('2012-2022'!N27-'2012-2022'!AA$2)/'2012-2022'!AA$3</f>
        <v>0.78035932637130745</v>
      </c>
      <c r="O26" s="22">
        <f>('2012-2022'!P27-'2012-2022'!AC$2)/'2012-2022'!AC$3</f>
        <v>0.49769327250204071</v>
      </c>
    </row>
    <row r="27" spans="1:15">
      <c r="A27" s="10" t="s">
        <v>2</v>
      </c>
      <c r="B27" s="11">
        <v>2016</v>
      </c>
      <c r="C27" s="14" t="s">
        <v>51</v>
      </c>
      <c r="D27" s="14" t="s">
        <v>54</v>
      </c>
      <c r="E27" s="22">
        <f>('2012-2022'!E28-'2012-2022'!R$2)/'2012-2022'!R$3</f>
        <v>1.3920399841670579</v>
      </c>
      <c r="F27" s="22">
        <f>('2012-2022'!F28-'2012-2022'!S$2)/'2012-2022'!S$3</f>
        <v>-0.55816691102843641</v>
      </c>
      <c r="G27" s="22">
        <f>('2012-2022'!G28-'2012-2022'!T$2)/'2012-2022'!T$3</f>
        <v>-0.12023640481221917</v>
      </c>
      <c r="H27" s="22">
        <f>('2012-2022'!H28-'2012-2022'!U$2)/'2012-2022'!U$3</f>
        <v>0.63953577789986293</v>
      </c>
      <c r="I27" s="22">
        <f>('2012-2022'!I28-'2012-2022'!V$2)/'2012-2022'!V$3</f>
        <v>1.7841751327434492</v>
      </c>
      <c r="J27" s="22">
        <f>('2012-2022'!J28-'2012-2022'!W$2)/'2012-2022'!W$3</f>
        <v>0.85188949238286571</v>
      </c>
      <c r="K27" s="22">
        <f>('2012-2022'!K28-'2012-2022'!X$2)/'2012-2022'!X$3</f>
        <v>1.9508897214073584</v>
      </c>
      <c r="L27" s="22">
        <f>('2012-2022'!L28-'2012-2022'!Y$2)/'2012-2022'!Y$3</f>
        <v>-0.10340971346870974</v>
      </c>
      <c r="M27" s="22">
        <f>('2012-2022'!M28-'2012-2022'!Z$2)/'2012-2022'!Z$3</f>
        <v>-1.2087213054968111</v>
      </c>
      <c r="N27" s="22">
        <f>('2012-2022'!N28-'2012-2022'!AA$2)/'2012-2022'!AA$3</f>
        <v>0.34686610951737995</v>
      </c>
      <c r="O27" s="22">
        <f>('2012-2022'!P28-'2012-2022'!AC$2)/'2012-2022'!AC$3</f>
        <v>0.56445468452655689</v>
      </c>
    </row>
    <row r="28" spans="1:15">
      <c r="A28" s="10" t="s">
        <v>2</v>
      </c>
      <c r="B28" s="11">
        <v>2017</v>
      </c>
      <c r="C28" s="14" t="s">
        <v>51</v>
      </c>
      <c r="D28" s="14" t="s">
        <v>54</v>
      </c>
      <c r="E28" s="22">
        <f>('2012-2022'!E29-'2012-2022'!R$2)/'2012-2022'!R$3</f>
        <v>1.2899769637469793</v>
      </c>
      <c r="F28" s="22">
        <f>('2012-2022'!F29-'2012-2022'!S$2)/'2012-2022'!S$3</f>
        <v>-0.84032271378727597</v>
      </c>
      <c r="G28" s="22">
        <f>('2012-2022'!G29-'2012-2022'!T$2)/'2012-2022'!T$3</f>
        <v>5.2280718334509736E-6</v>
      </c>
      <c r="H28" s="22">
        <f>('2012-2022'!H29-'2012-2022'!U$2)/'2012-2022'!U$3</f>
        <v>0.31337093413660799</v>
      </c>
      <c r="I28" s="22">
        <f>('2012-2022'!I29-'2012-2022'!V$2)/'2012-2022'!V$3</f>
        <v>1.8060540836288501</v>
      </c>
      <c r="J28" s="22">
        <f>('2012-2022'!J29-'2012-2022'!W$2)/'2012-2022'!W$3</f>
        <v>0.90565728333889139</v>
      </c>
      <c r="K28" s="22">
        <f>('2012-2022'!K29-'2012-2022'!X$2)/'2012-2022'!X$3</f>
        <v>1.8999775943608523</v>
      </c>
      <c r="L28" s="22">
        <f>('2012-2022'!L29-'2012-2022'!Y$2)/'2012-2022'!Y$3</f>
        <v>0.13323614583122223</v>
      </c>
      <c r="M28" s="22">
        <f>('2012-2022'!M29-'2012-2022'!Z$2)/'2012-2022'!Z$3</f>
        <v>-1.0873295965764462</v>
      </c>
      <c r="N28" s="22">
        <f>('2012-2022'!N29-'2012-2022'!AA$2)/'2012-2022'!AA$3</f>
        <v>0.66705641093564727</v>
      </c>
      <c r="O28" s="22">
        <f>('2012-2022'!P29-'2012-2022'!AC$2)/'2012-2022'!AC$3</f>
        <v>0.51928980548244175</v>
      </c>
    </row>
    <row r="29" spans="1:15">
      <c r="A29" s="10" t="s">
        <v>2</v>
      </c>
      <c r="B29" s="11">
        <v>2018</v>
      </c>
      <c r="C29" s="14" t="s">
        <v>51</v>
      </c>
      <c r="D29" s="14" t="s">
        <v>54</v>
      </c>
      <c r="E29" s="22">
        <f>('2012-2022'!E30-'2012-2022'!R$2)/'2012-2022'!R$3</f>
        <v>1.3516315048601673</v>
      </c>
      <c r="F29" s="22">
        <f>('2012-2022'!F30-'2012-2022'!S$2)/'2012-2022'!S$3</f>
        <v>-0.31185908828950909</v>
      </c>
      <c r="G29" s="22">
        <f>('2012-2022'!G30-'2012-2022'!T$2)/'2012-2022'!T$3</f>
        <v>-0.64841767229502001</v>
      </c>
      <c r="H29" s="22">
        <f>('2012-2022'!H30-'2012-2022'!U$2)/'2012-2022'!U$3</f>
        <v>1.0307641243059942</v>
      </c>
      <c r="I29" s="22">
        <f>('2012-2022'!I30-'2012-2022'!V$2)/'2012-2022'!V$3</f>
        <v>1.4739787483396727</v>
      </c>
      <c r="J29" s="22">
        <f>('2012-2022'!J30-'2012-2022'!W$2)/'2012-2022'!W$3</f>
        <v>0.96521450185846536</v>
      </c>
      <c r="K29" s="22">
        <f>('2012-2022'!K30-'2012-2022'!X$2)/'2012-2022'!X$3</f>
        <v>2.1223550050696263</v>
      </c>
      <c r="L29" s="22">
        <f>('2012-2022'!L30-'2012-2022'!Y$2)/'2012-2022'!Y$3</f>
        <v>3.0990489809804404E-2</v>
      </c>
      <c r="M29" s="22">
        <f>('2012-2022'!M30-'2012-2022'!Z$2)/'2012-2022'!Z$3</f>
        <v>-1.1176689217484577</v>
      </c>
      <c r="N29" s="22">
        <f>('2012-2022'!N30-'2012-2022'!AA$2)/'2012-2022'!AA$3</f>
        <v>1.0556970260452652</v>
      </c>
      <c r="O29" s="22">
        <f>('2012-2022'!P30-'2012-2022'!AC$2)/'2012-2022'!AC$3</f>
        <v>0.43779712425210232</v>
      </c>
    </row>
    <row r="30" spans="1:15">
      <c r="A30" s="10" t="s">
        <v>2</v>
      </c>
      <c r="B30" s="11">
        <v>2019</v>
      </c>
      <c r="C30" s="14" t="s">
        <v>51</v>
      </c>
      <c r="D30" s="14" t="s">
        <v>54</v>
      </c>
      <c r="E30" s="22">
        <f>('2012-2022'!E31-'2012-2022'!R$2)/'2012-2022'!R$3</f>
        <v>3.1673713568229491</v>
      </c>
      <c r="F30" s="22">
        <f>('2012-2022'!F31-'2012-2022'!S$2)/'2012-2022'!S$3</f>
        <v>-1.4606610822619475E-2</v>
      </c>
      <c r="G30" s="22">
        <f>('2012-2022'!G31-'2012-2022'!T$2)/'2012-2022'!T$3</f>
        <v>-0.55827384990117901</v>
      </c>
      <c r="H30" s="22">
        <f>('2012-2022'!H31-'2012-2022'!U$2)/'2012-2022'!U$3</f>
        <v>2.7922887378336463</v>
      </c>
      <c r="I30" s="22">
        <f>('2012-2022'!I31-'2012-2022'!V$2)/'2012-2022'!V$3</f>
        <v>3.2068246818847634</v>
      </c>
      <c r="J30" s="22">
        <f>('2012-2022'!J31-'2012-2022'!W$2)/'2012-2022'!W$3</f>
        <v>2.0961249253088599</v>
      </c>
      <c r="K30" s="22">
        <f>('2012-2022'!K31-'2012-2022'!X$2)/'2012-2022'!X$3</f>
        <v>2.5604862340892289</v>
      </c>
      <c r="L30" s="22">
        <f>('2012-2022'!L31-'2012-2022'!Y$2)/'2012-2022'!Y$3</f>
        <v>2.3307843789452565</v>
      </c>
      <c r="M30" s="22">
        <f>('2012-2022'!M31-'2012-2022'!Z$2)/'2012-2022'!Z$3</f>
        <v>1.5497514364902016</v>
      </c>
      <c r="N30" s="22">
        <f>('2012-2022'!N31-'2012-2022'!AA$2)/'2012-2022'!AA$3</f>
        <v>0.17549125623006287</v>
      </c>
      <c r="O30" s="22">
        <f>('2012-2022'!P31-'2012-2022'!AC$2)/'2012-2022'!AC$3</f>
        <v>0.31442139314921125</v>
      </c>
    </row>
    <row r="31" spans="1:15">
      <c r="A31" s="10" t="s">
        <v>2</v>
      </c>
      <c r="B31" s="11">
        <v>2020</v>
      </c>
      <c r="C31" s="14" t="s">
        <v>51</v>
      </c>
      <c r="D31" s="14" t="s">
        <v>54</v>
      </c>
      <c r="E31" s="22">
        <f>('2012-2022'!E32-'2012-2022'!R$2)/'2012-2022'!R$3</f>
        <v>1.9580936843032686</v>
      </c>
      <c r="F31" s="22">
        <f>('2012-2022'!F32-'2012-2022'!S$2)/'2012-2022'!S$3</f>
        <v>0.61692353666504007</v>
      </c>
      <c r="G31" s="22">
        <f>('2012-2022'!G32-'2012-2022'!T$2)/'2012-2022'!T$3</f>
        <v>-0.65608235915832613</v>
      </c>
      <c r="H31" s="22">
        <f>('2012-2022'!H32-'2012-2022'!U$2)/'2012-2022'!U$3</f>
        <v>2.3435862388322168</v>
      </c>
      <c r="I31" s="22">
        <f>('2012-2022'!I32-'2012-2022'!V$2)/'2012-2022'!V$3</f>
        <v>1.5871579956224784</v>
      </c>
      <c r="J31" s="22">
        <f>('2012-2022'!J32-'2012-2022'!W$2)/'2012-2022'!W$3</f>
        <v>1.7621899283504157</v>
      </c>
      <c r="K31" s="22">
        <f>('2012-2022'!K32-'2012-2022'!X$2)/'2012-2022'!X$3</f>
        <v>2.2545701297470537</v>
      </c>
      <c r="L31" s="22">
        <f>('2012-2022'!L32-'2012-2022'!Y$2)/'2012-2022'!Y$3</f>
        <v>1.9153641653872393</v>
      </c>
      <c r="M31" s="22">
        <f>('2012-2022'!M32-'2012-2022'!Z$2)/'2012-2022'!Z$3</f>
        <v>0.77900327207525644</v>
      </c>
      <c r="N31" s="22">
        <f>('2012-2022'!N32-'2012-2022'!AA$2)/'2012-2022'!AA$3</f>
        <v>0.11738222469285195</v>
      </c>
      <c r="O31" s="22">
        <f>('2012-2022'!P32-'2012-2022'!AC$2)/'2012-2022'!AC$3</f>
        <v>7.9339131833952109E-2</v>
      </c>
    </row>
    <row r="32" spans="1:15">
      <c r="A32" s="10" t="s">
        <v>2</v>
      </c>
      <c r="B32" s="11">
        <v>2021</v>
      </c>
      <c r="C32" s="14" t="s">
        <v>51</v>
      </c>
      <c r="D32" s="14" t="s">
        <v>54</v>
      </c>
      <c r="E32" s="22">
        <f>('2012-2022'!E33-'2012-2022'!R$2)/'2012-2022'!R$3</f>
        <v>2.6630389506521701</v>
      </c>
      <c r="F32" s="22">
        <f>('2012-2022'!F33-'2012-2022'!S$2)/'2012-2022'!S$3</f>
        <v>-0.10641940126403966</v>
      </c>
      <c r="G32" s="22">
        <f>('2012-2022'!G33-'2012-2022'!T$2)/'2012-2022'!T$3</f>
        <v>0.16902362335957019</v>
      </c>
      <c r="H32" s="22">
        <f>('2012-2022'!H33-'2012-2022'!U$2)/'2012-2022'!U$3</f>
        <v>1.8414828232672014</v>
      </c>
      <c r="I32" s="22">
        <f>('2012-2022'!I33-'2012-2022'!V$2)/'2012-2022'!V$3</f>
        <v>3.0231453987763239</v>
      </c>
      <c r="J32" s="22">
        <f>('2012-2022'!J33-'2012-2022'!W$2)/'2012-2022'!W$3</f>
        <v>1.6777465527696347</v>
      </c>
      <c r="K32" s="22">
        <f>('2012-2022'!K33-'2012-2022'!X$2)/'2012-2022'!X$3</f>
        <v>2.218784808900149</v>
      </c>
      <c r="L32" s="22">
        <f>('2012-2022'!L33-'2012-2022'!Y$2)/'2012-2022'!Y$3</f>
        <v>2.3114033057626227</v>
      </c>
      <c r="M32" s="22">
        <f>('2012-2022'!M33-'2012-2022'!Z$2)/'2012-2022'!Z$3</f>
        <v>0.69609192336724701</v>
      </c>
      <c r="N32" s="22">
        <f>('2012-2022'!N33-'2012-2022'!AA$2)/'2012-2022'!AA$3</f>
        <v>0.92919910216718693</v>
      </c>
      <c r="O32" s="22">
        <f>('2012-2022'!P33-'2012-2022'!AC$2)/'2012-2022'!AC$3</f>
        <v>5.8498309669911285E-2</v>
      </c>
    </row>
    <row r="33" spans="1:15">
      <c r="A33" s="10" t="s">
        <v>2</v>
      </c>
      <c r="B33" s="11">
        <v>2022</v>
      </c>
      <c r="C33" s="14" t="s">
        <v>51</v>
      </c>
      <c r="D33" s="14" t="s">
        <v>54</v>
      </c>
      <c r="E33" s="22">
        <f>('2012-2022'!E34-'2012-2022'!R$2)/'2012-2022'!R$3</f>
        <v>1.7881666586017955</v>
      </c>
      <c r="F33" s="22">
        <f>('2012-2022'!F34-'2012-2022'!S$2)/'2012-2022'!S$3</f>
        <v>-0.22246737680594403</v>
      </c>
      <c r="G33" s="22">
        <f>('2012-2022'!G34-'2012-2022'!T$2)/'2012-2022'!T$3</f>
        <v>-0.44450232185000693</v>
      </c>
      <c r="H33" s="22">
        <f>('2012-2022'!H34-'2012-2022'!U$2)/'2012-2022'!U$3</f>
        <v>1.3714407179245238</v>
      </c>
      <c r="I33" s="22">
        <f>('2012-2022'!I34-'2012-2022'!V$2)/'2012-2022'!V$3</f>
        <v>1.9412037567103397</v>
      </c>
      <c r="J33" s="22">
        <f>('2012-2022'!J34-'2012-2022'!W$2)/'2012-2022'!W$3</f>
        <v>1.6228087891238017</v>
      </c>
      <c r="K33" s="22">
        <f>('2012-2022'!K34-'2012-2022'!X$2)/'2012-2022'!X$3</f>
        <v>1.9732064017124229</v>
      </c>
      <c r="L33" s="22">
        <f>('2012-2022'!L34-'2012-2022'!Y$2)/'2012-2022'!Y$3</f>
        <v>2.1385094388376169</v>
      </c>
      <c r="M33" s="22">
        <f>('2012-2022'!M34-'2012-2022'!Z$2)/'2012-2022'!Z$3</f>
        <v>0.74815316234880058</v>
      </c>
      <c r="N33" s="22">
        <f>('2012-2022'!N34-'2012-2022'!AA$2)/'2012-2022'!AA$3</f>
        <v>0.35457056644119561</v>
      </c>
      <c r="O33" s="22">
        <f>('2012-2022'!P34-'2012-2022'!AC$2)/'2012-2022'!AC$3</f>
        <v>8.059303269733483E-4</v>
      </c>
    </row>
    <row r="34" spans="1:15">
      <c r="A34" s="10" t="s">
        <v>3</v>
      </c>
      <c r="B34" s="11">
        <v>2012</v>
      </c>
      <c r="C34" s="14" t="s">
        <v>51</v>
      </c>
      <c r="D34" s="14" t="s">
        <v>52</v>
      </c>
      <c r="E34" s="22">
        <f>('2012-2022'!E35-'2012-2022'!R$2)/'2012-2022'!R$3</f>
        <v>1.3323569821519334</v>
      </c>
      <c r="F34" s="22">
        <f>('2012-2022'!F35-'2012-2022'!S$2)/'2012-2022'!S$3</f>
        <v>1.0720215979760483</v>
      </c>
      <c r="G34" s="22">
        <f>('2012-2022'!G35-'2012-2022'!T$2)/'2012-2022'!T$3</f>
        <v>0.35703900001524819</v>
      </c>
      <c r="H34" s="22">
        <f>('2012-2022'!H35-'2012-2022'!U$2)/'2012-2022'!U$3</f>
        <v>1.3212705497004462</v>
      </c>
      <c r="I34" s="22">
        <f>('2012-2022'!I35-'2012-2022'!V$2)/'2012-2022'!V$3</f>
        <v>1.2846744213427854</v>
      </c>
      <c r="J34" s="22">
        <f>('2012-2022'!J35-'2012-2022'!W$2)/'2012-2022'!W$3</f>
        <v>0.44877321757247002</v>
      </c>
      <c r="K34" s="22">
        <f>('2012-2022'!K35-'2012-2022'!X$2)/'2012-2022'!X$3</f>
        <v>2.6345841534197443</v>
      </c>
      <c r="L34" s="22">
        <f>('2012-2022'!L35-'2012-2022'!Y$2)/'2012-2022'!Y$3</f>
        <v>-0.93576940527214358</v>
      </c>
      <c r="M34" s="22">
        <f>('2012-2022'!M35-'2012-2022'!Z$2)/'2012-2022'!Z$3</f>
        <v>-0.85405779834748785</v>
      </c>
      <c r="N34" s="22">
        <f>('2012-2022'!N35-'2012-2022'!AA$2)/'2012-2022'!AA$3</f>
        <v>1.6782880924232388</v>
      </c>
      <c r="O34" s="22">
        <f>('2012-2022'!P35-'2012-2022'!AC$2)/'2012-2022'!AC$3</f>
        <v>-0.76092982854746827</v>
      </c>
    </row>
    <row r="35" spans="1:15">
      <c r="A35" s="10" t="s">
        <v>3</v>
      </c>
      <c r="B35" s="11">
        <v>2013</v>
      </c>
      <c r="C35" s="14" t="s">
        <v>51</v>
      </c>
      <c r="D35" s="14" t="s">
        <v>52</v>
      </c>
      <c r="E35" s="22">
        <f>('2012-2022'!E36-'2012-2022'!R$2)/'2012-2022'!R$3</f>
        <v>1.4988547182163467</v>
      </c>
      <c r="F35" s="22">
        <f>('2012-2022'!F36-'2012-2022'!S$2)/'2012-2022'!S$3</f>
        <v>0.84980784357583372</v>
      </c>
      <c r="G35" s="22">
        <f>('2012-2022'!G36-'2012-2022'!T$2)/'2012-2022'!T$3</f>
        <v>-0.39473480928473126</v>
      </c>
      <c r="H35" s="22">
        <f>('2012-2022'!H36-'2012-2022'!U$2)/'2012-2022'!U$3</f>
        <v>1.6017746147651821</v>
      </c>
      <c r="I35" s="22">
        <f>('2012-2022'!I36-'2012-2022'!V$2)/'2012-2022'!V$3</f>
        <v>1.3625229322414851</v>
      </c>
      <c r="J35" s="22">
        <f>('2012-2022'!J36-'2012-2022'!W$2)/'2012-2022'!W$3</f>
        <v>0.5595724951534955</v>
      </c>
      <c r="K35" s="22">
        <f>('2012-2022'!K36-'2012-2022'!X$2)/'2012-2022'!X$3</f>
        <v>2.6546207720455035</v>
      </c>
      <c r="L35" s="22">
        <f>('2012-2022'!L36-'2012-2022'!Y$2)/'2012-2022'!Y$3</f>
        <v>-1.5052845337777254</v>
      </c>
      <c r="M35" s="22">
        <f>('2012-2022'!M36-'2012-2022'!Z$2)/'2012-2022'!Z$3</f>
        <v>-0.80447405079234258</v>
      </c>
      <c r="N35" s="22">
        <f>('2012-2022'!N36-'2012-2022'!AA$2)/'2012-2022'!AA$3</f>
        <v>1.423289966554119</v>
      </c>
      <c r="O35" s="22">
        <f>('2012-2022'!P36-'2012-2022'!AC$2)/'2012-2022'!AC$3</f>
        <v>-0.74311109532098696</v>
      </c>
    </row>
    <row r="36" spans="1:15">
      <c r="A36" s="10" t="s">
        <v>3</v>
      </c>
      <c r="B36" s="11">
        <v>2014</v>
      </c>
      <c r="C36" s="14" t="s">
        <v>51</v>
      </c>
      <c r="D36" s="14" t="s">
        <v>52</v>
      </c>
      <c r="E36" s="22">
        <f>('2012-2022'!E37-'2012-2022'!R$2)/'2012-2022'!R$3</f>
        <v>0.70793249865449748</v>
      </c>
      <c r="F36" s="22">
        <f>('2012-2022'!F37-'2012-2022'!S$2)/'2012-2022'!S$3</f>
        <v>0.27232479519866754</v>
      </c>
      <c r="G36" s="22">
        <f>('2012-2022'!G37-'2012-2022'!T$2)/'2012-2022'!T$3</f>
        <v>2.8586882478822691E-2</v>
      </c>
      <c r="H36" s="22">
        <f>('2012-2022'!H37-'2012-2022'!U$2)/'2012-2022'!U$3</f>
        <v>0.46471245728863642</v>
      </c>
      <c r="I36" s="22">
        <f>('2012-2022'!I37-'2012-2022'!V$2)/'2012-2022'!V$3</f>
        <v>0.87990967730064384</v>
      </c>
      <c r="J36" s="22">
        <f>('2012-2022'!J37-'2012-2022'!W$2)/'2012-2022'!W$3</f>
        <v>0.52209854469049599</v>
      </c>
      <c r="K36" s="22">
        <f>('2012-2022'!K37-'2012-2022'!X$2)/'2012-2022'!X$3</f>
        <v>2.2060496843470303</v>
      </c>
      <c r="L36" s="22">
        <f>('2012-2022'!L37-'2012-2022'!Y$2)/'2012-2022'!Y$3</f>
        <v>-1.1923369139056328</v>
      </c>
      <c r="M36" s="22">
        <f>('2012-2022'!M37-'2012-2022'!Z$2)/'2012-2022'!Z$3</f>
        <v>-0.88885909072572622</v>
      </c>
      <c r="N36" s="22">
        <f>('2012-2022'!N37-'2012-2022'!AA$2)/'2012-2022'!AA$3</f>
        <v>1.3017109798591535</v>
      </c>
      <c r="O36" s="22">
        <f>('2012-2022'!P37-'2012-2022'!AC$2)/'2012-2022'!AC$3</f>
        <v>-0.71772859070127892</v>
      </c>
    </row>
    <row r="37" spans="1:15">
      <c r="A37" s="10" t="s">
        <v>3</v>
      </c>
      <c r="B37" s="11">
        <v>2015</v>
      </c>
      <c r="C37" s="14" t="s">
        <v>51</v>
      </c>
      <c r="D37" s="14" t="s">
        <v>52</v>
      </c>
      <c r="E37" s="22">
        <f>('2012-2022'!E38-'2012-2022'!R$2)/'2012-2022'!R$3</f>
        <v>1.1956880411203237</v>
      </c>
      <c r="F37" s="22">
        <f>('2012-2022'!F38-'2012-2022'!S$2)/'2012-2022'!S$3</f>
        <v>0.57541521944772245</v>
      </c>
      <c r="G37" s="22">
        <f>('2012-2022'!G38-'2012-2022'!T$2)/'2012-2022'!T$3</f>
        <v>-0.48637888420678099</v>
      </c>
      <c r="H37" s="22">
        <f>('2012-2022'!H38-'2012-2022'!U$2)/'2012-2022'!U$3</f>
        <v>1.2365331966094626</v>
      </c>
      <c r="I37" s="22">
        <f>('2012-2022'!I38-'2012-2022'!V$2)/'2012-2022'!V$3</f>
        <v>1.1218122719287635</v>
      </c>
      <c r="J37" s="22">
        <f>('2012-2022'!J38-'2012-2022'!W$2)/'2012-2022'!W$3</f>
        <v>0.70100414154147705</v>
      </c>
      <c r="K37" s="22">
        <f>('2012-2022'!K38-'2012-2022'!X$2)/'2012-2022'!X$3</f>
        <v>2.2461451589452119</v>
      </c>
      <c r="L37" s="22">
        <f>('2012-2022'!L38-'2012-2022'!Y$2)/'2012-2022'!Y$3</f>
        <v>-1.0074524237024918</v>
      </c>
      <c r="M37" s="22">
        <f>('2012-2022'!M38-'2012-2022'!Z$2)/'2012-2022'!Z$3</f>
        <v>-0.52852222245501235</v>
      </c>
      <c r="N37" s="22">
        <f>('2012-2022'!N38-'2012-2022'!AA$2)/'2012-2022'!AA$3</f>
        <v>0.83680569766703872</v>
      </c>
      <c r="O37" s="22">
        <f>('2012-2022'!P38-'2012-2022'!AC$2)/'2012-2022'!AC$3</f>
        <v>-0.65082913667437303</v>
      </c>
    </row>
    <row r="38" spans="1:15">
      <c r="A38" s="10" t="s">
        <v>3</v>
      </c>
      <c r="B38" s="11">
        <v>2016</v>
      </c>
      <c r="C38" s="14" t="s">
        <v>51</v>
      </c>
      <c r="D38" s="14" t="s">
        <v>52</v>
      </c>
      <c r="E38" s="22">
        <f>('2012-2022'!E39-'2012-2022'!R$2)/'2012-2022'!R$3</f>
        <v>2.1056583044345696</v>
      </c>
      <c r="F38" s="22">
        <f>('2012-2022'!F39-'2012-2022'!S$2)/'2012-2022'!S$3</f>
        <v>1.7676030976733514</v>
      </c>
      <c r="G38" s="22">
        <f>('2012-2022'!G39-'2012-2022'!T$2)/'2012-2022'!T$3</f>
        <v>-0.51009529290822853</v>
      </c>
      <c r="H38" s="22">
        <f>('2012-2022'!H39-'2012-2022'!U$2)/'2012-2022'!U$3</f>
        <v>2.0137942965160929</v>
      </c>
      <c r="I38" s="22">
        <f>('2012-2022'!I39-'2012-2022'!V$2)/'2012-2022'!V$3</f>
        <v>2.2195323827527362</v>
      </c>
      <c r="J38" s="22">
        <f>('2012-2022'!J39-'2012-2022'!W$2)/'2012-2022'!W$3</f>
        <v>1.4342678240160009</v>
      </c>
      <c r="K38" s="22">
        <f>('2012-2022'!K39-'2012-2022'!X$2)/'2012-2022'!X$3</f>
        <v>2.338142608120275</v>
      </c>
      <c r="L38" s="22">
        <f>('2012-2022'!L39-'2012-2022'!Y$2)/'2012-2022'!Y$3</f>
        <v>0.50909624962904843</v>
      </c>
      <c r="M38" s="22">
        <f>('2012-2022'!M39-'2012-2022'!Z$2)/'2012-2022'!Z$3</f>
        <v>-1.7905130826797717</v>
      </c>
      <c r="N38" s="22">
        <f>('2012-2022'!N39-'2012-2022'!AA$2)/'2012-2022'!AA$3</f>
        <v>0.40996504824775987</v>
      </c>
      <c r="O38" s="22">
        <f>('2012-2022'!P39-'2012-2022'!AC$2)/'2012-2022'!AC$3</f>
        <v>-0.69676393304329132</v>
      </c>
    </row>
    <row r="39" spans="1:15">
      <c r="A39" s="10" t="s">
        <v>3</v>
      </c>
      <c r="B39" s="11">
        <v>2017</v>
      </c>
      <c r="C39" s="14" t="s">
        <v>51</v>
      </c>
      <c r="D39" s="14" t="s">
        <v>52</v>
      </c>
      <c r="E39" s="22">
        <f>('2012-2022'!E40-'2012-2022'!R$2)/'2012-2022'!R$3</f>
        <v>0.92219717557231995</v>
      </c>
      <c r="F39" s="22">
        <f>('2012-2022'!F40-'2012-2022'!S$2)/'2012-2022'!S$3</f>
        <v>0.88775961344438448</v>
      </c>
      <c r="G39" s="22">
        <f>('2012-2022'!G40-'2012-2022'!T$2)/'2012-2022'!T$3</f>
        <v>-0.41732515858250518</v>
      </c>
      <c r="H39" s="22">
        <f>('2012-2022'!H40-'2012-2022'!U$2)/'2012-2022'!U$3</f>
        <v>1.2225986903410695</v>
      </c>
      <c r="I39" s="22">
        <f>('2012-2022'!I40-'2012-2022'!V$2)/'2012-2022'!V$3</f>
        <v>0.67412230148654673</v>
      </c>
      <c r="J39" s="22">
        <f>('2012-2022'!J40-'2012-2022'!W$2)/'2012-2022'!W$3</f>
        <v>1.4843940993272062</v>
      </c>
      <c r="K39" s="22">
        <f>('2012-2022'!K40-'2012-2022'!X$2)/'2012-2022'!X$3</f>
        <v>2.6310468587663114</v>
      </c>
      <c r="L39" s="22">
        <f>('2012-2022'!L40-'2012-2022'!Y$2)/'2012-2022'!Y$3</f>
        <v>-1.0798880796726942E-3</v>
      </c>
      <c r="M39" s="22">
        <f>('2012-2022'!M40-'2012-2022'!Z$2)/'2012-2022'!Z$3</f>
        <v>-1.5324633615445566</v>
      </c>
      <c r="N39" s="22">
        <f>('2012-2022'!N40-'2012-2022'!AA$2)/'2012-2022'!AA$3</f>
        <v>0.47261244424634652</v>
      </c>
      <c r="O39" s="22">
        <f>('2012-2022'!P40-'2012-2022'!AC$2)/'2012-2022'!AC$3</f>
        <v>-0.8282544720571442</v>
      </c>
    </row>
    <row r="40" spans="1:15">
      <c r="A40" s="10" t="s">
        <v>3</v>
      </c>
      <c r="B40" s="11">
        <v>2018</v>
      </c>
      <c r="C40" s="14" t="s">
        <v>51</v>
      </c>
      <c r="D40" s="14" t="s">
        <v>52</v>
      </c>
      <c r="E40" s="22">
        <f>('2012-2022'!E41-'2012-2022'!R$2)/'2012-2022'!R$3</f>
        <v>1.045248080804422</v>
      </c>
      <c r="F40" s="22">
        <f>('2012-2022'!F41-'2012-2022'!S$2)/'2012-2022'!S$3</f>
        <v>-8.9419753844657106E-3</v>
      </c>
      <c r="G40" s="22">
        <f>('2012-2022'!G41-'2012-2022'!T$2)/'2012-2022'!T$3</f>
        <v>-0.26342000799365378</v>
      </c>
      <c r="H40" s="22">
        <f>('2012-2022'!H41-'2012-2022'!U$2)/'2012-2022'!U$3</f>
        <v>0.78750405390956046</v>
      </c>
      <c r="I40" s="22">
        <f>('2012-2022'!I41-'2012-2022'!V$2)/'2012-2022'!V$3</f>
        <v>1.1651908399451671</v>
      </c>
      <c r="J40" s="22">
        <f>('2012-2022'!J41-'2012-2022'!W$2)/'2012-2022'!W$3</f>
        <v>1.30219219898168</v>
      </c>
      <c r="K40" s="22">
        <f>('2012-2022'!K41-'2012-2022'!X$2)/'2012-2022'!X$3</f>
        <v>2.1203056718804327</v>
      </c>
      <c r="L40" s="22">
        <f>('2012-2022'!L41-'2012-2022'!Y$2)/'2012-2022'!Y$3</f>
        <v>3.1825928910990571E-2</v>
      </c>
      <c r="M40" s="22">
        <f>('2012-2022'!M41-'2012-2022'!Z$2)/'2012-2022'!Z$3</f>
        <v>-1.5686560411792256</v>
      </c>
      <c r="N40" s="22">
        <f>('2012-2022'!N41-'2012-2022'!AA$2)/'2012-2022'!AA$3</f>
        <v>0.78816946640870078</v>
      </c>
      <c r="O40" s="22">
        <f>('2012-2022'!P41-'2012-2022'!AC$2)/'2012-2022'!AC$3</f>
        <v>-0.90306280248325055</v>
      </c>
    </row>
    <row r="41" spans="1:15">
      <c r="A41" s="10" t="s">
        <v>3</v>
      </c>
      <c r="B41" s="11">
        <v>2019</v>
      </c>
      <c r="C41" s="14" t="s">
        <v>51</v>
      </c>
      <c r="D41" s="14" t="s">
        <v>52</v>
      </c>
      <c r="E41" s="22">
        <f>('2012-2022'!E42-'2012-2022'!R$2)/'2012-2022'!R$3</f>
        <v>1.7289652903000461</v>
      </c>
      <c r="F41" s="22">
        <f>('2012-2022'!F42-'2012-2022'!S$2)/'2012-2022'!S$3</f>
        <v>0.87147733628643309</v>
      </c>
      <c r="G41" s="22">
        <f>('2012-2022'!G42-'2012-2022'!T$2)/'2012-2022'!T$3</f>
        <v>-1.2528055430265264E-2</v>
      </c>
      <c r="H41" s="22">
        <f>('2012-2022'!H42-'2012-2022'!U$2)/'2012-2022'!U$3</f>
        <v>1.876212538178863</v>
      </c>
      <c r="I41" s="22">
        <f>('2012-2022'!I42-'2012-2022'!V$2)/'2012-2022'!V$3</f>
        <v>1.5302226963627876</v>
      </c>
      <c r="J41" s="22">
        <f>('2012-2022'!J42-'2012-2022'!W$2)/'2012-2022'!W$3</f>
        <v>1.8209957044168275</v>
      </c>
      <c r="K41" s="22">
        <f>('2012-2022'!K42-'2012-2022'!X$2)/'2012-2022'!X$3</f>
        <v>1.5147759269403718</v>
      </c>
      <c r="L41" s="22">
        <f>('2012-2022'!L42-'2012-2022'!Y$2)/'2012-2022'!Y$3</f>
        <v>1.9773912718620685</v>
      </c>
      <c r="M41" s="22">
        <f>('2012-2022'!M42-'2012-2022'!Z$2)/'2012-2022'!Z$3</f>
        <v>-0.47501114450618953</v>
      </c>
      <c r="N41" s="22">
        <f>('2012-2022'!N42-'2012-2022'!AA$2)/'2012-2022'!AA$3</f>
        <v>0.11712941789580575</v>
      </c>
      <c r="O41" s="22">
        <f>('2012-2022'!P42-'2012-2022'!AC$2)/'2012-2022'!AC$3</f>
        <v>-0.74782074145169286</v>
      </c>
    </row>
    <row r="42" spans="1:15">
      <c r="A42" s="10" t="s">
        <v>3</v>
      </c>
      <c r="B42" s="11">
        <v>2020</v>
      </c>
      <c r="C42" s="14" t="s">
        <v>51</v>
      </c>
      <c r="D42" s="14" t="s">
        <v>52</v>
      </c>
      <c r="E42" s="22">
        <f>('2012-2022'!E43-'2012-2022'!R$2)/'2012-2022'!R$3</f>
        <v>3.0361418353563834</v>
      </c>
      <c r="F42" s="22">
        <f>('2012-2022'!F43-'2012-2022'!S$2)/'2012-2022'!S$3</f>
        <v>0.83840563514917199</v>
      </c>
      <c r="G42" s="22">
        <f>('2012-2022'!G43-'2012-2022'!T$2)/'2012-2022'!T$3</f>
        <v>0.17329589205157944</v>
      </c>
      <c r="H42" s="22">
        <f>('2012-2022'!H43-'2012-2022'!U$2)/'2012-2022'!U$3</f>
        <v>3.0039091876639281</v>
      </c>
      <c r="I42" s="22">
        <f>('2012-2022'!I43-'2012-2022'!V$2)/'2012-2022'!V$3</f>
        <v>2.8695423441435941</v>
      </c>
      <c r="J42" s="22">
        <f>('2012-2022'!J43-'2012-2022'!W$2)/'2012-2022'!W$3</f>
        <v>1.1636594575324701</v>
      </c>
      <c r="K42" s="22">
        <f>('2012-2022'!K43-'2012-2022'!X$2)/'2012-2022'!X$3</f>
        <v>1.5970727548950554</v>
      </c>
      <c r="L42" s="22">
        <f>('2012-2022'!L43-'2012-2022'!Y$2)/'2012-2022'!Y$3</f>
        <v>2.0070506857278092</v>
      </c>
      <c r="M42" s="22">
        <f>('2012-2022'!M43-'2012-2022'!Z$2)/'2012-2022'!Z$3</f>
        <v>-4.8130165291679163E-2</v>
      </c>
      <c r="N42" s="22">
        <f>('2012-2022'!N43-'2012-2022'!AA$2)/'2012-2022'!AA$3</f>
        <v>0.19184005116621763</v>
      </c>
      <c r="O42" s="22">
        <f>('2012-2022'!P43-'2012-2022'!AC$2)/'2012-2022'!AC$3</f>
        <v>-0.8377065775814192</v>
      </c>
    </row>
    <row r="43" spans="1:15">
      <c r="A43" s="10" t="s">
        <v>3</v>
      </c>
      <c r="B43" s="11">
        <v>2021</v>
      </c>
      <c r="C43" s="14" t="s">
        <v>51</v>
      </c>
      <c r="D43" s="14" t="s">
        <v>52</v>
      </c>
      <c r="E43" s="22">
        <f>('2012-2022'!E44-'2012-2022'!R$2)/'2012-2022'!R$3</f>
        <v>0.42987054998835256</v>
      </c>
      <c r="F43" s="22">
        <f>('2012-2022'!F44-'2012-2022'!S$2)/'2012-2022'!S$3</f>
        <v>0.44316600947304158</v>
      </c>
      <c r="G43" s="22">
        <f>('2012-2022'!G44-'2012-2022'!T$2)/'2012-2022'!T$3</f>
        <v>1.1005507196598043E-2</v>
      </c>
      <c r="H43" s="22">
        <f>('2012-2022'!H44-'2012-2022'!U$2)/'2012-2022'!U$3</f>
        <v>0.51057687376862304</v>
      </c>
      <c r="I43" s="22">
        <f>('2012-2022'!I44-'2012-2022'!V$2)/'2012-2022'!V$3</f>
        <v>0.35213150142885946</v>
      </c>
      <c r="J43" s="22">
        <f>('2012-2022'!J44-'2012-2022'!W$2)/'2012-2022'!W$3</f>
        <v>0.42010349689379695</v>
      </c>
      <c r="K43" s="22">
        <f>('2012-2022'!K44-'2012-2022'!X$2)/'2012-2022'!X$3</f>
        <v>0.2627980905146548</v>
      </c>
      <c r="L43" s="22">
        <f>('2012-2022'!L44-'2012-2022'!Y$2)/'2012-2022'!Y$3</f>
        <v>1.3118399011098598</v>
      </c>
      <c r="M43" s="22">
        <f>('2012-2022'!M44-'2012-2022'!Z$2)/'2012-2022'!Z$3</f>
        <v>0.48026834410757618</v>
      </c>
      <c r="N43" s="22">
        <f>('2012-2022'!N44-'2012-2022'!AA$2)/'2012-2022'!AA$3</f>
        <v>-0.41615009026231181</v>
      </c>
      <c r="O43" s="22">
        <f>('2012-2022'!P44-'2012-2022'!AC$2)/'2012-2022'!AC$3</f>
        <v>-0.74248512890031504</v>
      </c>
    </row>
    <row r="44" spans="1:15">
      <c r="A44" s="10" t="s">
        <v>3</v>
      </c>
      <c r="B44" s="11">
        <v>2022</v>
      </c>
      <c r="C44" s="14" t="s">
        <v>51</v>
      </c>
      <c r="D44" s="14" t="s">
        <v>52</v>
      </c>
      <c r="E44" s="22">
        <f>('2012-2022'!E45-'2012-2022'!R$2)/'2012-2022'!R$3</f>
        <v>2.1355713234236942</v>
      </c>
      <c r="F44" s="22">
        <f>('2012-2022'!F45-'2012-2022'!S$2)/'2012-2022'!S$3</f>
        <v>-7.1306686337935077E-2</v>
      </c>
      <c r="G44" s="22">
        <f>('2012-2022'!G45-'2012-2022'!T$2)/'2012-2022'!T$3</f>
        <v>0.19704853038581802</v>
      </c>
      <c r="H44" s="22">
        <f>('2012-2022'!H45-'2012-2022'!U$2)/'2012-2022'!U$3</f>
        <v>1.5396664517743661</v>
      </c>
      <c r="I44" s="22">
        <f>('2012-2022'!I45-'2012-2022'!V$2)/'2012-2022'!V$3</f>
        <v>2.3621518560108861</v>
      </c>
      <c r="J44" s="22">
        <f>('2012-2022'!J45-'2012-2022'!W$2)/'2012-2022'!W$3</f>
        <v>1.3166538335352636</v>
      </c>
      <c r="K44" s="22">
        <f>('2012-2022'!K45-'2012-2022'!X$2)/'2012-2022'!X$3</f>
        <v>0.31267005277619303</v>
      </c>
      <c r="L44" s="22">
        <f>('2012-2022'!L45-'2012-2022'!Y$2)/'2012-2022'!Y$3</f>
        <v>1.7596015787795769</v>
      </c>
      <c r="M44" s="22">
        <f>('2012-2022'!M45-'2012-2022'!Z$2)/'2012-2022'!Z$3</f>
        <v>-0.45633559215020697</v>
      </c>
      <c r="N44" s="22">
        <f>('2012-2022'!N45-'2012-2022'!AA$2)/'2012-2022'!AA$3</f>
        <v>0.53716786814702966</v>
      </c>
      <c r="O44" s="22">
        <f>('2012-2022'!P45-'2012-2022'!AC$2)/'2012-2022'!AC$3</f>
        <v>-0.80554417395910272</v>
      </c>
    </row>
    <row r="45" spans="1:15">
      <c r="A45" s="10" t="s">
        <v>4</v>
      </c>
      <c r="B45" s="11">
        <v>2012</v>
      </c>
      <c r="C45" s="14" t="s">
        <v>55</v>
      </c>
      <c r="D45" s="14" t="s">
        <v>54</v>
      </c>
      <c r="E45" s="22">
        <f>('2012-2022'!E46-'2012-2022'!R$2)/'2012-2022'!R$3</f>
        <v>-0.18844490113836113</v>
      </c>
      <c r="F45" s="22">
        <f>('2012-2022'!F46-'2012-2022'!S$2)/'2012-2022'!S$3</f>
        <v>0.25133739938939936</v>
      </c>
      <c r="G45" s="22">
        <f>('2012-2022'!G46-'2012-2022'!T$2)/'2012-2022'!T$3</f>
        <v>1.1671166674923406</v>
      </c>
      <c r="H45" s="22">
        <f>('2012-2022'!H46-'2012-2022'!U$2)/'2012-2022'!U$3</f>
        <v>-0.386146938354545</v>
      </c>
      <c r="I45" s="22">
        <f>('2012-2022'!I46-'2012-2022'!V$2)/'2012-2022'!V$3</f>
        <v>-1.5590691254366124E-2</v>
      </c>
      <c r="J45" s="22">
        <f>('2012-2022'!J46-'2012-2022'!W$2)/'2012-2022'!W$3</f>
        <v>-0.63702910323892392</v>
      </c>
      <c r="K45" s="22">
        <f>('2012-2022'!K46-'2012-2022'!X$2)/'2012-2022'!X$3</f>
        <v>9.8765842876399779E-2</v>
      </c>
      <c r="L45" s="22">
        <f>('2012-2022'!L46-'2012-2022'!Y$2)/'2012-2022'!Y$3</f>
        <v>-1.4545349110035219</v>
      </c>
      <c r="M45" s="22">
        <f>('2012-2022'!M46-'2012-2022'!Z$2)/'2012-2022'!Z$3</f>
        <v>0.34419597035558991</v>
      </c>
      <c r="N45" s="22">
        <f>('2012-2022'!N46-'2012-2022'!AA$2)/'2012-2022'!AA$3</f>
        <v>-1.7188805240304008</v>
      </c>
      <c r="O45" s="22">
        <f>('2012-2022'!P46-'2012-2022'!AC$2)/'2012-2022'!AC$3</f>
        <v>-0.78036433209700118</v>
      </c>
    </row>
    <row r="46" spans="1:15">
      <c r="A46" s="10" t="s">
        <v>4</v>
      </c>
      <c r="B46" s="11">
        <v>2013</v>
      </c>
      <c r="C46" s="14" t="s">
        <v>55</v>
      </c>
      <c r="D46" s="14" t="s">
        <v>54</v>
      </c>
      <c r="E46" s="22">
        <f>('2012-2022'!E47-'2012-2022'!R$2)/'2012-2022'!R$3</f>
        <v>-0.1342405740808737</v>
      </c>
      <c r="F46" s="22">
        <f>('2012-2022'!F47-'2012-2022'!S$2)/'2012-2022'!S$3</f>
        <v>-2.1056267522096585E-2</v>
      </c>
      <c r="G46" s="22">
        <f>('2012-2022'!G47-'2012-2022'!T$2)/'2012-2022'!T$3</f>
        <v>1.2477637795425729</v>
      </c>
      <c r="H46" s="22">
        <f>('2012-2022'!H47-'2012-2022'!U$2)/'2012-2022'!U$3</f>
        <v>-0.31391623049419937</v>
      </c>
      <c r="I46" s="22">
        <f>('2012-2022'!I47-'2012-2022'!V$2)/'2012-2022'!V$3</f>
        <v>-4.0851543299835466E-2</v>
      </c>
      <c r="J46" s="22">
        <f>('2012-2022'!J47-'2012-2022'!W$2)/'2012-2022'!W$3</f>
        <v>-0.3665598867279653</v>
      </c>
      <c r="K46" s="22">
        <f>('2012-2022'!K47-'2012-2022'!X$2)/'2012-2022'!X$3</f>
        <v>0.13688335402265717</v>
      </c>
      <c r="L46" s="22">
        <f>('2012-2022'!L47-'2012-2022'!Y$2)/'2012-2022'!Y$3</f>
        <v>-1.3776269630818858</v>
      </c>
      <c r="M46" s="22">
        <f>('2012-2022'!M47-'2012-2022'!Z$2)/'2012-2022'!Z$3</f>
        <v>0.31619772505515092</v>
      </c>
      <c r="N46" s="22">
        <f>('2012-2022'!N47-'2012-2022'!AA$2)/'2012-2022'!AA$3</f>
        <v>-1.6917561192992019</v>
      </c>
      <c r="O46" s="22">
        <f>('2012-2022'!P47-'2012-2022'!AC$2)/'2012-2022'!AC$3</f>
        <v>-0.75530744567965113</v>
      </c>
    </row>
    <row r="47" spans="1:15">
      <c r="A47" s="10" t="s">
        <v>4</v>
      </c>
      <c r="B47" s="11">
        <v>2014</v>
      </c>
      <c r="C47" s="14" t="s">
        <v>55</v>
      </c>
      <c r="D47" s="14" t="s">
        <v>54</v>
      </c>
      <c r="E47" s="22">
        <f>('2012-2022'!E48-'2012-2022'!R$2)/'2012-2022'!R$3</f>
        <v>-0.40242106589818144</v>
      </c>
      <c r="F47" s="22">
        <f>('2012-2022'!F48-'2012-2022'!S$2)/'2012-2022'!S$3</f>
        <v>-0.64649104211520592</v>
      </c>
      <c r="G47" s="22">
        <f>('2012-2022'!G48-'2012-2022'!T$2)/'2012-2022'!T$3</f>
        <v>0.83768060840516356</v>
      </c>
      <c r="H47" s="22">
        <f>('2012-2022'!H48-'2012-2022'!U$2)/'2012-2022'!U$3</f>
        <v>-0.67740397533389207</v>
      </c>
      <c r="I47" s="22">
        <f>('2012-2022'!I48-'2012-2022'!V$2)/'2012-2022'!V$3</f>
        <v>-0.23728217609519514</v>
      </c>
      <c r="J47" s="22">
        <f>('2012-2022'!J48-'2012-2022'!W$2)/'2012-2022'!W$3</f>
        <v>-0.47687957732163005</v>
      </c>
      <c r="K47" s="22">
        <f>('2012-2022'!K48-'2012-2022'!X$2)/'2012-2022'!X$3</f>
        <v>4.4428897949444809E-2</v>
      </c>
      <c r="L47" s="22">
        <f>('2012-2022'!L48-'2012-2022'!Y$2)/'2012-2022'!Y$3</f>
        <v>-1.3293323850132039</v>
      </c>
      <c r="M47" s="22">
        <f>('2012-2022'!M48-'2012-2022'!Z$2)/'2012-2022'!Z$3</f>
        <v>0.15514755070621847</v>
      </c>
      <c r="N47" s="22">
        <f>('2012-2022'!N48-'2012-2022'!AA$2)/'2012-2022'!AA$3</f>
        <v>-1.6394085840678796</v>
      </c>
      <c r="O47" s="22">
        <f>('2012-2022'!P48-'2012-2022'!AC$2)/'2012-2022'!AC$3</f>
        <v>-0.89021433567067498</v>
      </c>
    </row>
    <row r="48" spans="1:15">
      <c r="A48" s="10" t="s">
        <v>4</v>
      </c>
      <c r="B48" s="11">
        <v>2015</v>
      </c>
      <c r="C48" s="14" t="s">
        <v>55</v>
      </c>
      <c r="D48" s="14" t="s">
        <v>54</v>
      </c>
      <c r="E48" s="22">
        <f>('2012-2022'!E49-'2012-2022'!R$2)/'2012-2022'!R$3</f>
        <v>-0.55402536164073335</v>
      </c>
      <c r="F48" s="22">
        <f>('2012-2022'!F49-'2012-2022'!S$2)/'2012-2022'!S$3</f>
        <v>-0.10962687930922126</v>
      </c>
      <c r="G48" s="22">
        <f>('2012-2022'!G49-'2012-2022'!T$2)/'2012-2022'!T$3</f>
        <v>2.5077841501227695E-2</v>
      </c>
      <c r="H48" s="22">
        <f>('2012-2022'!H49-'2012-2022'!U$2)/'2012-2022'!U$3</f>
        <v>-0.46678683295900786</v>
      </c>
      <c r="I48" s="22">
        <f>('2012-2022'!I49-'2012-2022'!V$2)/'2012-2022'!V$3</f>
        <v>-0.58660928172910543</v>
      </c>
      <c r="J48" s="22">
        <f>('2012-2022'!J49-'2012-2022'!W$2)/'2012-2022'!W$3</f>
        <v>-0.33692586336642216</v>
      </c>
      <c r="K48" s="22">
        <f>('2012-2022'!K49-'2012-2022'!X$2)/'2012-2022'!X$3</f>
        <v>-0.1076003620130133</v>
      </c>
      <c r="L48" s="22">
        <f>('2012-2022'!L49-'2012-2022'!Y$2)/'2012-2022'!Y$3</f>
        <v>-1.3647507472913667</v>
      </c>
      <c r="M48" s="22">
        <f>('2012-2022'!M49-'2012-2022'!Z$2)/'2012-2022'!Z$3</f>
        <v>0.18255212227036507</v>
      </c>
      <c r="N48" s="22">
        <f>('2012-2022'!N49-'2012-2022'!AA$2)/'2012-2022'!AA$3</f>
        <v>-1.3988596750200262</v>
      </c>
      <c r="O48" s="22">
        <f>('2012-2022'!P49-'2012-2022'!AC$2)/'2012-2022'!AC$3</f>
        <v>-0.8560095893080869</v>
      </c>
    </row>
    <row r="49" spans="1:15">
      <c r="A49" s="10" t="s">
        <v>4</v>
      </c>
      <c r="B49" s="11">
        <v>2016</v>
      </c>
      <c r="C49" s="14" t="s">
        <v>55</v>
      </c>
      <c r="D49" s="14" t="s">
        <v>54</v>
      </c>
      <c r="E49" s="22">
        <f>('2012-2022'!E50-'2012-2022'!R$2)/'2012-2022'!R$3</f>
        <v>-0.34640571874381015</v>
      </c>
      <c r="F49" s="22">
        <f>('2012-2022'!F50-'2012-2022'!S$2)/'2012-2022'!S$3</f>
        <v>-0.15824491735468285</v>
      </c>
      <c r="G49" s="22">
        <f>('2012-2022'!G50-'2012-2022'!T$2)/'2012-2022'!T$3</f>
        <v>0.35819525148254244</v>
      </c>
      <c r="H49" s="22">
        <f>('2012-2022'!H50-'2012-2022'!U$2)/'2012-2022'!U$3</f>
        <v>-0.38281476487526966</v>
      </c>
      <c r="I49" s="22">
        <f>('2012-2022'!I50-'2012-2022'!V$2)/'2012-2022'!V$3</f>
        <v>-0.3195627836401273</v>
      </c>
      <c r="J49" s="22">
        <f>('2012-2022'!J50-'2012-2022'!W$2)/'2012-2022'!W$3</f>
        <v>-0.10822091630320749</v>
      </c>
      <c r="K49" s="22">
        <f>('2012-2022'!K50-'2012-2022'!X$2)/'2012-2022'!X$3</f>
        <v>2.5983906659807943E-3</v>
      </c>
      <c r="L49" s="22">
        <f>('2012-2022'!L50-'2012-2022'!Y$2)/'2012-2022'!Y$3</f>
        <v>-0.88015180730313358</v>
      </c>
      <c r="M49" s="22">
        <f>('2012-2022'!M50-'2012-2022'!Z$2)/'2012-2022'!Z$3</f>
        <v>0.30984002002520078</v>
      </c>
      <c r="N49" s="22">
        <f>('2012-2022'!N50-'2012-2022'!AA$2)/'2012-2022'!AA$3</f>
        <v>-1.2587388447372694</v>
      </c>
      <c r="O49" s="22">
        <f>('2012-2022'!P50-'2012-2022'!AC$2)/'2012-2022'!AC$3</f>
        <v>-0.81318463535365704</v>
      </c>
    </row>
    <row r="50" spans="1:15">
      <c r="A50" s="10" t="s">
        <v>4</v>
      </c>
      <c r="B50" s="11">
        <v>2017</v>
      </c>
      <c r="C50" s="14" t="s">
        <v>55</v>
      </c>
      <c r="D50" s="14" t="s">
        <v>54</v>
      </c>
      <c r="E50" s="22">
        <f>('2012-2022'!E51-'2012-2022'!R$2)/'2012-2022'!R$3</f>
        <v>-0.24577061245589013</v>
      </c>
      <c r="F50" s="22">
        <f>('2012-2022'!F51-'2012-2022'!S$2)/'2012-2022'!S$3</f>
        <v>0.26720161388236829</v>
      </c>
      <c r="G50" s="22">
        <f>('2012-2022'!G51-'2012-2022'!T$2)/'2012-2022'!T$3</f>
        <v>1.4639687420665255E-2</v>
      </c>
      <c r="H50" s="22">
        <f>('2012-2022'!H51-'2012-2022'!U$2)/'2012-2022'!U$3</f>
        <v>-8.7878224272876657E-2</v>
      </c>
      <c r="I50" s="22">
        <f>('2012-2022'!I51-'2012-2022'!V$2)/'2012-2022'!V$3</f>
        <v>-0.33646615358528387</v>
      </c>
      <c r="J50" s="22">
        <f>('2012-2022'!J51-'2012-2022'!W$2)/'2012-2022'!W$3</f>
        <v>-4.8277002853257686E-2</v>
      </c>
      <c r="K50" s="22">
        <f>('2012-2022'!K51-'2012-2022'!X$2)/'2012-2022'!X$3</f>
        <v>4.1663167017719174E-2</v>
      </c>
      <c r="L50" s="22">
        <f>('2012-2022'!L51-'2012-2022'!Y$2)/'2012-2022'!Y$3</f>
        <v>-0.75005972797608245</v>
      </c>
      <c r="M50" s="22">
        <f>('2012-2022'!M51-'2012-2022'!Z$2)/'2012-2022'!Z$3</f>
        <v>-0.60421721729387035</v>
      </c>
      <c r="N50" s="22">
        <f>('2012-2022'!N51-'2012-2022'!AA$2)/'2012-2022'!AA$3</f>
        <v>-0.69702701920839938</v>
      </c>
      <c r="O50" s="22">
        <f>('2012-2022'!P51-'2012-2022'!AC$2)/'2012-2022'!AC$3</f>
        <v>-0.66823110374609906</v>
      </c>
    </row>
    <row r="51" spans="1:15">
      <c r="A51" s="10" t="s">
        <v>4</v>
      </c>
      <c r="B51" s="11">
        <v>2018</v>
      </c>
      <c r="C51" s="14" t="s">
        <v>55</v>
      </c>
      <c r="D51" s="14" t="s">
        <v>54</v>
      </c>
      <c r="E51" s="22">
        <f>('2012-2022'!E52-'2012-2022'!R$2)/'2012-2022'!R$3</f>
        <v>0.34197445986247554</v>
      </c>
      <c r="F51" s="22">
        <f>('2012-2022'!F52-'2012-2022'!S$2)/'2012-2022'!S$3</f>
        <v>0.21992009938130211</v>
      </c>
      <c r="G51" s="22">
        <f>('2012-2022'!G52-'2012-2022'!T$2)/'2012-2022'!T$3</f>
        <v>1.7534579709503977</v>
      </c>
      <c r="H51" s="22">
        <f>('2012-2022'!H52-'2012-2022'!U$2)/'2012-2022'!U$3</f>
        <v>4.3020846025716694E-2</v>
      </c>
      <c r="I51" s="22">
        <f>('2012-2022'!I52-'2012-2022'!V$2)/'2012-2022'!V$3</f>
        <v>0.47193367359915739</v>
      </c>
      <c r="J51" s="22">
        <f>('2012-2022'!J52-'2012-2022'!W$2)/'2012-2022'!W$3</f>
        <v>7.9971249117391396E-2</v>
      </c>
      <c r="K51" s="22">
        <f>('2012-2022'!K52-'2012-2022'!X$2)/'2012-2022'!X$3</f>
        <v>7.9253401589420604E-3</v>
      </c>
      <c r="L51" s="22">
        <f>('2012-2022'!L52-'2012-2022'!Y$2)/'2012-2022'!Y$3</f>
        <v>-0.56675046633862969</v>
      </c>
      <c r="M51" s="22">
        <f>('2012-2022'!M52-'2012-2022'!Z$2)/'2012-2022'!Z$3</f>
        <v>-0.35170580502762644</v>
      </c>
      <c r="N51" s="22">
        <f>('2012-2022'!N52-'2012-2022'!AA$2)/'2012-2022'!AA$3</f>
        <v>-0.72530022511231174</v>
      </c>
      <c r="O51" s="22">
        <f>('2012-2022'!P52-'2012-2022'!AC$2)/'2012-2022'!AC$3</f>
        <v>-0.54257063921021598</v>
      </c>
    </row>
    <row r="52" spans="1:15">
      <c r="A52" s="10" t="s">
        <v>4</v>
      </c>
      <c r="B52" s="11">
        <v>2019</v>
      </c>
      <c r="C52" s="14" t="s">
        <v>55</v>
      </c>
      <c r="D52" s="14" t="s">
        <v>54</v>
      </c>
      <c r="E52" s="22">
        <f>('2012-2022'!E53-'2012-2022'!R$2)/'2012-2022'!R$3</f>
        <v>0.3509978101852787</v>
      </c>
      <c r="F52" s="22">
        <f>('2012-2022'!F53-'2012-2022'!S$2)/'2012-2022'!S$3</f>
        <v>0.41057762157106792</v>
      </c>
      <c r="G52" s="22">
        <f>('2012-2022'!G53-'2012-2022'!T$2)/'2012-2022'!T$3</f>
        <v>0.94478364367636969</v>
      </c>
      <c r="H52" s="22">
        <f>('2012-2022'!H53-'2012-2022'!U$2)/'2012-2022'!U$3</f>
        <v>0.28900003520083162</v>
      </c>
      <c r="I52" s="22">
        <f>('2012-2022'!I53-'2012-2022'!V$2)/'2012-2022'!V$3</f>
        <v>0.34824167371585851</v>
      </c>
      <c r="J52" s="22">
        <f>('2012-2022'!J53-'2012-2022'!W$2)/'2012-2022'!W$3</f>
        <v>1.7184205007595437</v>
      </c>
      <c r="K52" s="22">
        <f>('2012-2022'!K53-'2012-2022'!X$2)/'2012-2022'!X$3</f>
        <v>0.25378004878436955</v>
      </c>
      <c r="L52" s="22">
        <f>('2012-2022'!L53-'2012-2022'!Y$2)/'2012-2022'!Y$3</f>
        <v>1.9519522784567116</v>
      </c>
      <c r="M52" s="22">
        <f>('2012-2022'!M53-'2012-2022'!Z$2)/'2012-2022'!Z$3</f>
        <v>0.8317248080730818</v>
      </c>
      <c r="N52" s="22">
        <f>('2012-2022'!N53-'2012-2022'!AA$2)/'2012-2022'!AA$3</f>
        <v>0.67490286130395927</v>
      </c>
      <c r="O52" s="22">
        <f>('2012-2022'!P53-'2012-2022'!AC$2)/'2012-2022'!AC$3</f>
        <v>-0.55616501057668699</v>
      </c>
    </row>
    <row r="53" spans="1:15">
      <c r="A53" s="10" t="s">
        <v>4</v>
      </c>
      <c r="B53" s="11">
        <v>2020</v>
      </c>
      <c r="C53" s="14" t="s">
        <v>55</v>
      </c>
      <c r="D53" s="14" t="s">
        <v>54</v>
      </c>
      <c r="E53" s="22">
        <f>('2012-2022'!E54-'2012-2022'!R$2)/'2012-2022'!R$3</f>
        <v>0.7354700125740351</v>
      </c>
      <c r="F53" s="22">
        <f>('2012-2022'!F54-'2012-2022'!S$2)/'2012-2022'!S$3</f>
        <v>5.5604219666385638E-2</v>
      </c>
      <c r="G53" s="22">
        <f>('2012-2022'!G54-'2012-2022'!T$2)/'2012-2022'!T$3</f>
        <v>1.0166993644112921</v>
      </c>
      <c r="H53" s="22">
        <f>('2012-2022'!H54-'2012-2022'!U$2)/'2012-2022'!U$3</f>
        <v>0.38848399581751164</v>
      </c>
      <c r="I53" s="22">
        <f>('2012-2022'!I54-'2012-2022'!V$2)/'2012-2022'!V$3</f>
        <v>0.87374188461365265</v>
      </c>
      <c r="J53" s="22">
        <f>('2012-2022'!J54-'2012-2022'!W$2)/'2012-2022'!W$3</f>
        <v>2.0482951777557048</v>
      </c>
      <c r="K53" s="22">
        <f>('2012-2022'!K54-'2012-2022'!X$2)/'2012-2022'!X$3</f>
        <v>0.62135694467543223</v>
      </c>
      <c r="L53" s="22">
        <f>('2012-2022'!L54-'2012-2022'!Y$2)/'2012-2022'!Y$3</f>
        <v>2.0751746193830938</v>
      </c>
      <c r="M53" s="22">
        <f>('2012-2022'!M54-'2012-2022'!Z$2)/'2012-2022'!Z$3</f>
        <v>1.2814127552954926</v>
      </c>
      <c r="N53" s="22">
        <f>('2012-2022'!N54-'2012-2022'!AA$2)/'2012-2022'!AA$3</f>
        <v>0.14619022105921584</v>
      </c>
      <c r="O53" s="22">
        <f>('2012-2022'!P54-'2012-2022'!AC$2)/'2012-2022'!AC$3</f>
        <v>-0.78623677465767161</v>
      </c>
    </row>
    <row r="54" spans="1:15">
      <c r="A54" s="10" t="s">
        <v>4</v>
      </c>
      <c r="B54" s="11">
        <v>2021</v>
      </c>
      <c r="C54" s="14" t="s">
        <v>55</v>
      </c>
      <c r="D54" s="14" t="s">
        <v>54</v>
      </c>
      <c r="E54" s="22">
        <f>('2012-2022'!E55-'2012-2022'!R$2)/'2012-2022'!R$3</f>
        <v>0.60959223372764471</v>
      </c>
      <c r="F54" s="22">
        <f>('2012-2022'!F55-'2012-2022'!S$2)/'2012-2022'!S$3</f>
        <v>-0.16262093870626376</v>
      </c>
      <c r="G54" s="22">
        <f>('2012-2022'!G55-'2012-2022'!T$2)/'2012-2022'!T$3</f>
        <v>1.0255427124495269</v>
      </c>
      <c r="H54" s="22">
        <f>('2012-2022'!H55-'2012-2022'!U$2)/'2012-2022'!U$3</f>
        <v>0.10794269275513919</v>
      </c>
      <c r="I54" s="22">
        <f>('2012-2022'!I55-'2012-2022'!V$2)/'2012-2022'!V$3</f>
        <v>0.87521027556564301</v>
      </c>
      <c r="J54" s="22">
        <f>('2012-2022'!J55-'2012-2022'!W$2)/'2012-2022'!W$3</f>
        <v>1.7075788526143432</v>
      </c>
      <c r="K54" s="22">
        <f>('2012-2022'!K55-'2012-2022'!X$2)/'2012-2022'!X$3</f>
        <v>0.42912625411219196</v>
      </c>
      <c r="L54" s="22">
        <f>('2012-2022'!L55-'2012-2022'!Y$2)/'2012-2022'!Y$3</f>
        <v>2.0908814043260056</v>
      </c>
      <c r="M54" s="22">
        <f>('2012-2022'!M55-'2012-2022'!Z$2)/'2012-2022'!Z$3</f>
        <v>0.7160012976188409</v>
      </c>
      <c r="N54" s="22">
        <f>('2012-2022'!N55-'2012-2022'!AA$2)/'2012-2022'!AA$3</f>
        <v>0.84105823145317093</v>
      </c>
      <c r="O54" s="22">
        <f>('2012-2022'!P55-'2012-2022'!AC$2)/'2012-2022'!AC$3</f>
        <v>-0.62277203682803894</v>
      </c>
    </row>
    <row r="55" spans="1:15">
      <c r="A55" s="10" t="s">
        <v>4</v>
      </c>
      <c r="B55" s="11">
        <v>2022</v>
      </c>
      <c r="C55" s="14" t="s">
        <v>55</v>
      </c>
      <c r="D55" s="14" t="s">
        <v>54</v>
      </c>
      <c r="E55" s="22">
        <f>('2012-2022'!E56-'2012-2022'!R$2)/'2012-2022'!R$3</f>
        <v>1.0532042740100847</v>
      </c>
      <c r="F55" s="22">
        <f>('2012-2022'!F56-'2012-2022'!S$2)/'2012-2022'!S$3</f>
        <v>-0.82725136324385051</v>
      </c>
      <c r="G55" s="22">
        <f>('2012-2022'!G56-'2012-2022'!T$2)/'2012-2022'!T$3</f>
        <v>1.5680292937569107</v>
      </c>
      <c r="H55" s="22">
        <f>('2012-2022'!H56-'2012-2022'!U$2)/'2012-2022'!U$3</f>
        <v>0.21786151460882242</v>
      </c>
      <c r="I55" s="22">
        <f>('2012-2022'!I56-'2012-2022'!V$2)/'2012-2022'!V$3</f>
        <v>1.2657635977941444</v>
      </c>
      <c r="J55" s="22">
        <f>('2012-2022'!J56-'2012-2022'!W$2)/'2012-2022'!W$3</f>
        <v>1.9286116642814499</v>
      </c>
      <c r="K55" s="22">
        <f>('2012-2022'!K56-'2012-2022'!X$2)/'2012-2022'!X$3</f>
        <v>0.3161132831646542</v>
      </c>
      <c r="L55" s="22">
        <f>('2012-2022'!L56-'2012-2022'!Y$2)/'2012-2022'!Y$3</f>
        <v>1.9734908842016288</v>
      </c>
      <c r="M55" s="22">
        <f>('2012-2022'!M56-'2012-2022'!Z$2)/'2012-2022'!Z$3</f>
        <v>0.95397851150169122</v>
      </c>
      <c r="N55" s="22">
        <f>('2012-2022'!N56-'2012-2022'!AA$2)/'2012-2022'!AA$3</f>
        <v>0.94580264141485682</v>
      </c>
      <c r="O55" s="22">
        <f>('2012-2022'!P56-'2012-2022'!AC$2)/'2012-2022'!AC$3</f>
        <v>-0.66359286732154721</v>
      </c>
    </row>
    <row r="56" spans="1:15">
      <c r="A56" s="10" t="s">
        <v>7</v>
      </c>
      <c r="B56" s="11">
        <v>2012</v>
      </c>
      <c r="C56" s="14" t="s">
        <v>55</v>
      </c>
      <c r="D56" s="14" t="s">
        <v>54</v>
      </c>
      <c r="E56" s="22">
        <f>('2012-2022'!E57-'2012-2022'!R$2)/'2012-2022'!R$3</f>
        <v>-1.0450466986242062</v>
      </c>
      <c r="F56" s="22">
        <f>('2012-2022'!F57-'2012-2022'!S$2)/'2012-2022'!S$3</f>
        <v>-0.88994082849662715</v>
      </c>
      <c r="G56" s="22">
        <f>('2012-2022'!G57-'2012-2022'!T$2)/'2012-2022'!T$3</f>
        <v>-0.32266706350945579</v>
      </c>
      <c r="H56" s="22">
        <f>('2012-2022'!H57-'2012-2022'!U$2)/'2012-2022'!U$3</f>
        <v>-1.0518390528913493</v>
      </c>
      <c r="I56" s="22">
        <f>('2012-2022'!I57-'2012-2022'!V$2)/'2012-2022'!V$3</f>
        <v>-0.97322158720394303</v>
      </c>
      <c r="J56" s="22">
        <f>('2012-2022'!J57-'2012-2022'!W$2)/'2012-2022'!W$3</f>
        <v>-1.2424730937337816</v>
      </c>
      <c r="K56" s="22">
        <f>('2012-2022'!K57-'2012-2022'!X$2)/'2012-2022'!X$3</f>
        <v>-1.0194312600085482</v>
      </c>
      <c r="L56" s="22">
        <f>('2012-2022'!L57-'2012-2022'!Y$2)/'2012-2022'!Y$3</f>
        <v>-1.3870341675007354</v>
      </c>
      <c r="M56" s="22">
        <f>('2012-2022'!M57-'2012-2022'!Z$2)/'2012-2022'!Z$3</f>
        <v>0.62562772053438265</v>
      </c>
      <c r="N56" s="22">
        <f>('2012-2022'!N57-'2012-2022'!AA$2)/'2012-2022'!AA$3</f>
        <v>-0.53720553848313102</v>
      </c>
      <c r="O56" s="22">
        <f>('2012-2022'!P57-'2012-2022'!AC$2)/'2012-2022'!AC$3</f>
        <v>0.85015046089828206</v>
      </c>
    </row>
    <row r="57" spans="1:15">
      <c r="A57" s="10" t="s">
        <v>7</v>
      </c>
      <c r="B57" s="11">
        <v>2013</v>
      </c>
      <c r="C57" s="14" t="s">
        <v>55</v>
      </c>
      <c r="D57" s="14" t="s">
        <v>54</v>
      </c>
      <c r="E57" s="22">
        <f>('2012-2022'!E58-'2012-2022'!R$2)/'2012-2022'!R$3</f>
        <v>-1.1770798176268795</v>
      </c>
      <c r="F57" s="22">
        <f>('2012-2022'!F58-'2012-2022'!S$2)/'2012-2022'!S$3</f>
        <v>-1.0951968432879642</v>
      </c>
      <c r="G57" s="22">
        <f>('2012-2022'!G58-'2012-2022'!T$2)/'2012-2022'!T$3</f>
        <v>-0.63140265514717886</v>
      </c>
      <c r="H57" s="22">
        <f>('2012-2022'!H58-'2012-2022'!U$2)/'2012-2022'!U$3</f>
        <v>-1.1555101153202172</v>
      </c>
      <c r="I57" s="22">
        <f>('2012-2022'!I58-'2012-2022'!V$2)/'2012-2022'!V$3</f>
        <v>-1.1142556998338455</v>
      </c>
      <c r="J57" s="22">
        <f>('2012-2022'!J58-'2012-2022'!W$2)/'2012-2022'!W$3</f>
        <v>-1.1875565851583196</v>
      </c>
      <c r="K57" s="22">
        <f>('2012-2022'!K58-'2012-2022'!X$2)/'2012-2022'!X$3</f>
        <v>-1.0183026101809232</v>
      </c>
      <c r="L57" s="22">
        <f>('2012-2022'!L58-'2012-2022'!Y$2)/'2012-2022'!Y$3</f>
        <v>-1.3332041036336133</v>
      </c>
      <c r="M57" s="22">
        <f>('2012-2022'!M58-'2012-2022'!Z$2)/'2012-2022'!Z$3</f>
        <v>0.53473173846588751</v>
      </c>
      <c r="N57" s="22">
        <f>('2012-2022'!N58-'2012-2022'!AA$2)/'2012-2022'!AA$3</f>
        <v>-0.83919096172772023</v>
      </c>
      <c r="O57" s="22">
        <f>('2012-2022'!P58-'2012-2022'!AC$2)/'2012-2022'!AC$3</f>
        <v>0.81776867358364336</v>
      </c>
    </row>
    <row r="58" spans="1:15">
      <c r="A58" s="10" t="s">
        <v>7</v>
      </c>
      <c r="B58" s="11">
        <v>2014</v>
      </c>
      <c r="C58" s="14" t="s">
        <v>55</v>
      </c>
      <c r="D58" s="14" t="s">
        <v>54</v>
      </c>
      <c r="E58" s="22">
        <f>('2012-2022'!E59-'2012-2022'!R$2)/'2012-2022'!R$3</f>
        <v>-0.78330008987071464</v>
      </c>
      <c r="F58" s="22">
        <f>('2012-2022'!F59-'2012-2022'!S$2)/'2012-2022'!S$3</f>
        <v>0.38916001449861781</v>
      </c>
      <c r="G58" s="22">
        <f>('2012-2022'!G59-'2012-2022'!T$2)/'2012-2022'!T$3</f>
        <v>0.29528142280338876</v>
      </c>
      <c r="H58" s="22">
        <f>('2012-2022'!H59-'2012-2022'!U$2)/'2012-2022'!U$3</f>
        <v>-0.61662300190337915</v>
      </c>
      <c r="I58" s="22">
        <f>('2012-2022'!I59-'2012-2022'!V$2)/'2012-2022'!V$3</f>
        <v>-0.83767616695310942</v>
      </c>
      <c r="J58" s="22">
        <f>('2012-2022'!J59-'2012-2022'!W$2)/'2012-2022'!W$3</f>
        <v>-1.3020959299563686</v>
      </c>
      <c r="K58" s="22">
        <f>('2012-2022'!K59-'2012-2022'!X$2)/'2012-2022'!X$3</f>
        <v>-1.0659864387333686</v>
      </c>
      <c r="L58" s="22">
        <f>('2012-2022'!L59-'2012-2022'!Y$2)/'2012-2022'!Y$3</f>
        <v>-1.4156498773786643</v>
      </c>
      <c r="M58" s="22">
        <f>('2012-2022'!M59-'2012-2022'!Z$2)/'2012-2022'!Z$3</f>
        <v>0.35078674030750356</v>
      </c>
      <c r="N58" s="22">
        <f>('2012-2022'!N59-'2012-2022'!AA$2)/'2012-2022'!AA$3</f>
        <v>-0.44799865783031667</v>
      </c>
      <c r="O58" s="22">
        <f>('2012-2022'!P59-'2012-2022'!AC$2)/'2012-2022'!AC$3</f>
        <v>0.91735152035663814</v>
      </c>
    </row>
    <row r="59" spans="1:15">
      <c r="A59" s="10" t="s">
        <v>7</v>
      </c>
      <c r="B59" s="11">
        <v>2015</v>
      </c>
      <c r="C59" s="14" t="s">
        <v>55</v>
      </c>
      <c r="D59" s="14" t="s">
        <v>54</v>
      </c>
      <c r="E59" s="22">
        <f>('2012-2022'!E60-'2012-2022'!R$2)/'2012-2022'!R$3</f>
        <v>-1.1316762569021528</v>
      </c>
      <c r="F59" s="22">
        <f>('2012-2022'!F60-'2012-2022'!S$2)/'2012-2022'!S$3</f>
        <v>-0.30914809724606102</v>
      </c>
      <c r="G59" s="22">
        <f>('2012-2022'!G60-'2012-2022'!T$2)/'2012-2022'!T$3</f>
        <v>-0.74269040828819188</v>
      </c>
      <c r="H59" s="22">
        <f>('2012-2022'!H60-'2012-2022'!U$2)/'2012-2022'!U$3</f>
        <v>-0.93765785042786043</v>
      </c>
      <c r="I59" s="22">
        <f>('2012-2022'!I60-'2012-2022'!V$2)/'2012-2022'!V$3</f>
        <v>-1.1797321377688395</v>
      </c>
      <c r="J59" s="22">
        <f>('2012-2022'!J60-'2012-2022'!W$2)/'2012-2022'!W$3</f>
        <v>-1.3202076491489767</v>
      </c>
      <c r="K59" s="22">
        <f>('2012-2022'!K60-'2012-2022'!X$2)/'2012-2022'!X$3</f>
        <v>-0.99912319584134823</v>
      </c>
      <c r="L59" s="22">
        <f>('2012-2022'!L60-'2012-2022'!Y$2)/'2012-2022'!Y$3</f>
        <v>-1.4435899127632243</v>
      </c>
      <c r="M59" s="22">
        <f>('2012-2022'!M60-'2012-2022'!Z$2)/'2012-2022'!Z$3</f>
        <v>0.39043854563748071</v>
      </c>
      <c r="N59" s="22">
        <f>('2012-2022'!N60-'2012-2022'!AA$2)/'2012-2022'!AA$3</f>
        <v>-0.40614562316452513</v>
      </c>
      <c r="O59" s="22">
        <f>('2012-2022'!P60-'2012-2022'!AC$2)/'2012-2022'!AC$3</f>
        <v>1.0234461025702224</v>
      </c>
    </row>
    <row r="60" spans="1:15">
      <c r="A60" s="10" t="s">
        <v>7</v>
      </c>
      <c r="B60" s="11">
        <v>2016</v>
      </c>
      <c r="C60" s="14" t="s">
        <v>55</v>
      </c>
      <c r="D60" s="14" t="s">
        <v>54</v>
      </c>
      <c r="E60" s="22">
        <f>('2012-2022'!E61-'2012-2022'!R$2)/'2012-2022'!R$3</f>
        <v>-1.2572285201428659</v>
      </c>
      <c r="F60" s="22">
        <f>('2012-2022'!F61-'2012-2022'!S$2)/'2012-2022'!S$3</f>
        <v>-0.65563876409061095</v>
      </c>
      <c r="G60" s="22">
        <f>('2012-2022'!G61-'2012-2022'!T$2)/'2012-2022'!T$3</f>
        <v>-1.368108894505887</v>
      </c>
      <c r="H60" s="22">
        <f>('2012-2022'!H61-'2012-2022'!U$2)/'2012-2022'!U$3</f>
        <v>-0.98853658585014426</v>
      </c>
      <c r="I60" s="22">
        <f>('2012-2022'!I61-'2012-2022'!V$2)/'2012-2022'!V$3</f>
        <v>-1.3508935929935662</v>
      </c>
      <c r="J60" s="22">
        <f>('2012-2022'!J61-'2012-2022'!W$2)/'2012-2022'!W$3</f>
        <v>-1.2147258340585685</v>
      </c>
      <c r="K60" s="22">
        <f>('2012-2022'!K61-'2012-2022'!X$2)/'2012-2022'!X$3</f>
        <v>-1.0766826296575076</v>
      </c>
      <c r="L60" s="22">
        <f>('2012-2022'!L61-'2012-2022'!Y$2)/'2012-2022'!Y$3</f>
        <v>-1.5389448845446663</v>
      </c>
      <c r="M60" s="22">
        <f>('2012-2022'!M61-'2012-2022'!Z$2)/'2012-2022'!Z$3</f>
        <v>0.14157375798048585</v>
      </c>
      <c r="N60" s="22">
        <f>('2012-2022'!N61-'2012-2022'!AA$2)/'2012-2022'!AA$3</f>
        <v>-0.45004761944270838</v>
      </c>
      <c r="O60" s="22">
        <f>('2012-2022'!P61-'2012-2022'!AC$2)/'2012-2022'!AC$3</f>
        <v>1.0841581821457602</v>
      </c>
    </row>
    <row r="61" spans="1:15">
      <c r="A61" s="10" t="s">
        <v>7</v>
      </c>
      <c r="B61" s="11">
        <v>2017</v>
      </c>
      <c r="C61" s="14" t="s">
        <v>55</v>
      </c>
      <c r="D61" s="14" t="s">
        <v>54</v>
      </c>
      <c r="E61" s="22">
        <f>('2012-2022'!E62-'2012-2022'!R$2)/'2012-2022'!R$3</f>
        <v>-1.0539276866066376</v>
      </c>
      <c r="F61" s="22">
        <f>('2012-2022'!F62-'2012-2022'!S$2)/'2012-2022'!S$3</f>
        <v>-1.1531393337017004</v>
      </c>
      <c r="G61" s="22">
        <f>('2012-2022'!G62-'2012-2022'!T$2)/'2012-2022'!T$3</f>
        <v>-8.9639725528605385E-2</v>
      </c>
      <c r="H61" s="22">
        <f>('2012-2022'!H62-'2012-2022'!U$2)/'2012-2022'!U$3</f>
        <v>-1.1030913396527073</v>
      </c>
      <c r="I61" s="22">
        <f>('2012-2022'!I62-'2012-2022'!V$2)/'2012-2022'!V$3</f>
        <v>-0.99142043383324974</v>
      </c>
      <c r="J61" s="22">
        <f>('2012-2022'!J62-'2012-2022'!W$2)/'2012-2022'!W$3</f>
        <v>-1.2110407077323861</v>
      </c>
      <c r="K61" s="22">
        <f>('2012-2022'!K62-'2012-2022'!X$2)/'2012-2022'!X$3</f>
        <v>-1.022224104932008</v>
      </c>
      <c r="L61" s="22">
        <f>('2012-2022'!L62-'2012-2022'!Y$2)/'2012-2022'!Y$3</f>
        <v>-1.4053006153114291</v>
      </c>
      <c r="M61" s="22">
        <f>('2012-2022'!M62-'2012-2022'!Z$2)/'2012-2022'!Z$3</f>
        <v>-0.10407881854906512</v>
      </c>
      <c r="N61" s="22">
        <f>('2012-2022'!N62-'2012-2022'!AA$2)/'2012-2022'!AA$3</f>
        <v>-0.17657937199363855</v>
      </c>
      <c r="O61" s="22">
        <f>('2012-2022'!P62-'2012-2022'!AC$2)/'2012-2022'!AC$3</f>
        <v>1.090641630290778</v>
      </c>
    </row>
    <row r="62" spans="1:15">
      <c r="A62" s="10" t="s">
        <v>7</v>
      </c>
      <c r="B62" s="11">
        <v>2018</v>
      </c>
      <c r="C62" s="14" t="s">
        <v>55</v>
      </c>
      <c r="D62" s="14" t="s">
        <v>54</v>
      </c>
      <c r="E62" s="22">
        <f>('2012-2022'!E63-'2012-2022'!R$2)/'2012-2022'!R$3</f>
        <v>-1.0181855058535323</v>
      </c>
      <c r="F62" s="22">
        <f>('2012-2022'!F63-'2012-2022'!S$2)/'2012-2022'!S$3</f>
        <v>-9.9536858091122157E-2</v>
      </c>
      <c r="G62" s="22">
        <f>('2012-2022'!G63-'2012-2022'!T$2)/'2012-2022'!T$3</f>
        <v>-0.45826151073054466</v>
      </c>
      <c r="H62" s="22">
        <f>('2012-2022'!H63-'2012-2022'!U$2)/'2012-2022'!U$3</f>
        <v>-0.74259016789825372</v>
      </c>
      <c r="I62" s="22">
        <f>('2012-2022'!I63-'2012-2022'!V$2)/'2012-2022'!V$3</f>
        <v>-1.1320425138748944</v>
      </c>
      <c r="J62" s="22">
        <f>('2012-2022'!J63-'2012-2022'!W$2)/'2012-2022'!W$3</f>
        <v>-1.1365730423981113</v>
      </c>
      <c r="K62" s="22">
        <f>('2012-2022'!K63-'2012-2022'!X$2)/'2012-2022'!X$3</f>
        <v>-1.114071500609034</v>
      </c>
      <c r="L62" s="22">
        <f>('2012-2022'!L63-'2012-2022'!Y$2)/'2012-2022'!Y$3</f>
        <v>-1.4384300845086997</v>
      </c>
      <c r="M62" s="22">
        <f>('2012-2022'!M63-'2012-2022'!Z$2)/'2012-2022'!Z$3</f>
        <v>-0.43736359537082292</v>
      </c>
      <c r="N62" s="22">
        <f>('2012-2022'!N63-'2012-2022'!AA$2)/'2012-2022'!AA$3</f>
        <v>-0.16702127612943321</v>
      </c>
      <c r="O62" s="22">
        <f>('2012-2022'!P63-'2012-2022'!AC$2)/'2012-2022'!AC$3</f>
        <v>1.0716387280110111</v>
      </c>
    </row>
    <row r="63" spans="1:15">
      <c r="A63" s="10" t="s">
        <v>7</v>
      </c>
      <c r="B63" s="11">
        <v>2019</v>
      </c>
      <c r="C63" s="14" t="s">
        <v>55</v>
      </c>
      <c r="D63" s="14" t="s">
        <v>54</v>
      </c>
      <c r="E63" s="22">
        <f>('2012-2022'!E64-'2012-2022'!R$2)/'2012-2022'!R$3</f>
        <v>-0.35408506702854725</v>
      </c>
      <c r="F63" s="22">
        <f>('2012-2022'!F64-'2012-2022'!S$2)/'2012-2022'!S$3</f>
        <v>0.27836068664741037</v>
      </c>
      <c r="G63" s="22">
        <f>('2012-2022'!G64-'2012-2022'!T$2)/'2012-2022'!T$3</f>
        <v>0.24048504104057655</v>
      </c>
      <c r="H63" s="22">
        <f>('2012-2022'!H64-'2012-2022'!U$2)/'2012-2022'!U$3</f>
        <v>-0.16922449237278731</v>
      </c>
      <c r="I63" s="22">
        <f>('2012-2022'!I64-'2012-2022'!V$2)/'2012-2022'!V$3</f>
        <v>-0.45907330206235347</v>
      </c>
      <c r="J63" s="22">
        <f>('2012-2022'!J64-'2012-2022'!W$2)/'2012-2022'!W$3</f>
        <v>-0.48652070454983842</v>
      </c>
      <c r="K63" s="22">
        <f>('2012-2022'!K64-'2012-2022'!X$2)/'2012-2022'!X$3</f>
        <v>-0.74252104198128932</v>
      </c>
      <c r="L63" s="22">
        <f>('2012-2022'!L64-'2012-2022'!Y$2)/'2012-2022'!Y$3</f>
        <v>0.36971150972676559</v>
      </c>
      <c r="M63" s="22">
        <f>('2012-2022'!M64-'2012-2022'!Z$2)/'2012-2022'!Z$3</f>
        <v>-0.57603654700592799</v>
      </c>
      <c r="N63" s="22">
        <f>('2012-2022'!N64-'2012-2022'!AA$2)/'2012-2022'!AA$3</f>
        <v>0.4586403697811125</v>
      </c>
      <c r="O63" s="22">
        <f>('2012-2022'!P64-'2012-2022'!AC$2)/'2012-2022'!AC$3</f>
        <v>1.0535177607465112</v>
      </c>
    </row>
    <row r="64" spans="1:15">
      <c r="A64" s="10" t="s">
        <v>7</v>
      </c>
      <c r="B64" s="11">
        <v>2020</v>
      </c>
      <c r="C64" s="14" t="s">
        <v>55</v>
      </c>
      <c r="D64" s="14" t="s">
        <v>54</v>
      </c>
      <c r="E64" s="22">
        <f>('2012-2022'!E65-'2012-2022'!R$2)/'2012-2022'!R$3</f>
        <v>-0.98840838487876048</v>
      </c>
      <c r="F64" s="22">
        <f>('2012-2022'!F65-'2012-2022'!S$2)/'2012-2022'!S$3</f>
        <v>0.29380298119607573</v>
      </c>
      <c r="G64" s="22">
        <f>('2012-2022'!G65-'2012-2022'!T$2)/'2012-2022'!T$3</f>
        <v>-0.44368486392408379</v>
      </c>
      <c r="H64" s="22">
        <f>('2012-2022'!H65-'2012-2022'!U$2)/'2012-2022'!U$3</f>
        <v>-0.63155481544789249</v>
      </c>
      <c r="I64" s="22">
        <f>('2012-2022'!I65-'2012-2022'!V$2)/'2012-2022'!V$3</f>
        <v>-1.1473844115988439</v>
      </c>
      <c r="J64" s="22">
        <f>('2012-2022'!J65-'2012-2022'!W$2)/'2012-2022'!W$3</f>
        <v>-0.33132122050166662</v>
      </c>
      <c r="K64" s="22">
        <f>('2012-2022'!K65-'2012-2022'!X$2)/'2012-2022'!X$3</f>
        <v>-0.73284002080692878</v>
      </c>
      <c r="L64" s="22">
        <f>('2012-2022'!L65-'2012-2022'!Y$2)/'2012-2022'!Y$3</f>
        <v>0.21439658016326862</v>
      </c>
      <c r="M64" s="22">
        <f>('2012-2022'!M65-'2012-2022'!Z$2)/'2012-2022'!Z$3</f>
        <v>-0.46973860012955482</v>
      </c>
      <c r="N64" s="22">
        <f>('2012-2022'!N65-'2012-2022'!AA$2)/'2012-2022'!AA$3</f>
        <v>-0.54606547669313954</v>
      </c>
      <c r="O64" s="22">
        <f>('2012-2022'!P65-'2012-2022'!AC$2)/'2012-2022'!AC$3</f>
        <v>0.92412111021152699</v>
      </c>
    </row>
    <row r="65" spans="1:15">
      <c r="A65" s="10" t="s">
        <v>7</v>
      </c>
      <c r="B65" s="11">
        <v>2021</v>
      </c>
      <c r="C65" s="14" t="s">
        <v>55</v>
      </c>
      <c r="D65" s="14" t="s">
        <v>54</v>
      </c>
      <c r="E65" s="22">
        <f>('2012-2022'!E66-'2012-2022'!R$2)/'2012-2022'!R$3</f>
        <v>-0.60159635154393531</v>
      </c>
      <c r="F65" s="22">
        <f>('2012-2022'!F66-'2012-2022'!S$2)/'2012-2022'!S$3</f>
        <v>9.9712080817907917E-3</v>
      </c>
      <c r="G65" s="22">
        <f>('2012-2022'!G66-'2012-2022'!T$2)/'2012-2022'!T$3</f>
        <v>-6.8468025800186794E-2</v>
      </c>
      <c r="H65" s="22">
        <f>('2012-2022'!H66-'2012-2022'!U$2)/'2012-2022'!U$3</f>
        <v>-0.42000544136762064</v>
      </c>
      <c r="I65" s="22">
        <f>('2012-2022'!I66-'2012-2022'!V$2)/'2012-2022'!V$3</f>
        <v>-0.68923234332086214</v>
      </c>
      <c r="J65" s="22">
        <f>('2012-2022'!J66-'2012-2022'!W$2)/'2012-2022'!W$3</f>
        <v>-1.2384615214345756</v>
      </c>
      <c r="K65" s="22">
        <f>('2012-2022'!K66-'2012-2022'!X$2)/'2012-2022'!X$3</f>
        <v>-1.0381123523588485</v>
      </c>
      <c r="L65" s="22">
        <f>('2012-2022'!L66-'2012-2022'!Y$2)/'2012-2022'!Y$3</f>
        <v>-0.14724830694364699</v>
      </c>
      <c r="M65" s="22">
        <f>('2012-2022'!M66-'2012-2022'!Z$2)/'2012-2022'!Z$3</f>
        <v>0.26123818311651581</v>
      </c>
      <c r="N65" s="22">
        <f>('2012-2022'!N66-'2012-2022'!AA$2)/'2012-2022'!AA$3</f>
        <v>0.20960384211700592</v>
      </c>
      <c r="O65" s="22">
        <f>('2012-2022'!P66-'2012-2022'!AC$2)/'2012-2022'!AC$3</f>
        <v>0.98785678738038818</v>
      </c>
    </row>
    <row r="66" spans="1:15">
      <c r="A66" s="10" t="s">
        <v>7</v>
      </c>
      <c r="B66" s="11">
        <v>2022</v>
      </c>
      <c r="C66" s="14" t="s">
        <v>55</v>
      </c>
      <c r="D66" s="14" t="s">
        <v>54</v>
      </c>
      <c r="E66" s="22">
        <f>('2012-2022'!E67-'2012-2022'!R$2)/'2012-2022'!R$3</f>
        <v>1.722459759141938E-2</v>
      </c>
      <c r="F66" s="22">
        <f>('2012-2022'!F67-'2012-2022'!S$2)/'2012-2022'!S$3</f>
        <v>0.82533282547043152</v>
      </c>
      <c r="G66" s="22">
        <f>('2012-2022'!G67-'2012-2022'!T$2)/'2012-2022'!T$3</f>
        <v>-9.6825720090271697E-2</v>
      </c>
      <c r="H66" s="22">
        <f>('2012-2022'!H67-'2012-2022'!U$2)/'2012-2022'!U$3</f>
        <v>0.52228935740109739</v>
      </c>
      <c r="I66" s="22">
        <f>('2012-2022'!I67-'2012-2022'!V$2)/'2012-2022'!V$3</f>
        <v>-0.28580535969383686</v>
      </c>
      <c r="J66" s="22">
        <f>('2012-2022'!J67-'2012-2022'!W$2)/'2012-2022'!W$3</f>
        <v>-1.3210164382654732</v>
      </c>
      <c r="K66" s="22">
        <f>('2012-2022'!K67-'2012-2022'!X$2)/'2012-2022'!X$3</f>
        <v>-0.91137287643061837</v>
      </c>
      <c r="L66" s="22">
        <f>('2012-2022'!L67-'2012-2022'!Y$2)/'2012-2022'!Y$3</f>
        <v>-0.59940177206218115</v>
      </c>
      <c r="M66" s="22">
        <f>('2012-2022'!M67-'2012-2022'!Z$2)/'2012-2022'!Z$3</f>
        <v>0.4576328089956046</v>
      </c>
      <c r="N66" s="22">
        <f>('2012-2022'!N67-'2012-2022'!AA$2)/'2012-2022'!AA$3</f>
        <v>-0.32831486990470032</v>
      </c>
      <c r="O66" s="22">
        <f>('2012-2022'!P67-'2012-2022'!AC$2)/'2012-2022'!AC$3</f>
        <v>0.92588799755358797</v>
      </c>
    </row>
    <row r="67" spans="1:15">
      <c r="A67" s="10" t="s">
        <v>8</v>
      </c>
      <c r="B67" s="11">
        <v>2012</v>
      </c>
      <c r="C67" s="14" t="s">
        <v>55</v>
      </c>
      <c r="D67" s="14" t="s">
        <v>54</v>
      </c>
      <c r="E67" s="22">
        <f>('2012-2022'!E68-'2012-2022'!R$2)/'2012-2022'!R$3</f>
        <v>-0.9319778466589963</v>
      </c>
      <c r="F67" s="22">
        <f>('2012-2022'!F68-'2012-2022'!S$2)/'2012-2022'!S$3</f>
        <v>-1.1411302359899411</v>
      </c>
      <c r="G67" s="22">
        <f>('2012-2022'!G68-'2012-2022'!T$2)/'2012-2022'!T$3</f>
        <v>0.87514216993319116</v>
      </c>
      <c r="H67" s="22">
        <f>('2012-2022'!H68-'2012-2022'!U$2)/'2012-2022'!U$3</f>
        <v>-1.1509529224412645</v>
      </c>
      <c r="I67" s="22">
        <f>('2012-2022'!I68-'2012-2022'!V$2)/'2012-2022'!V$3</f>
        <v>-0.7409064749745421</v>
      </c>
      <c r="J67" s="22">
        <f>('2012-2022'!J68-'2012-2022'!W$2)/'2012-2022'!W$3</f>
        <v>-0.12111491809113475</v>
      </c>
      <c r="K67" s="22">
        <f>('2012-2022'!K68-'2012-2022'!X$2)/'2012-2022'!X$3</f>
        <v>-0.90105916003697739</v>
      </c>
      <c r="L67" s="22">
        <f>('2012-2022'!L68-'2012-2022'!Y$2)/'2012-2022'!Y$3</f>
        <v>-1.1130779913111348</v>
      </c>
      <c r="M67" s="22">
        <f>('2012-2022'!M68-'2012-2022'!Z$2)/'2012-2022'!Z$3</f>
        <v>3.0265870842004778</v>
      </c>
      <c r="N67" s="22">
        <f>('2012-2022'!N68-'2012-2022'!AA$2)/'2012-2022'!AA$3</f>
        <v>-1.9800624509111564</v>
      </c>
      <c r="O67" s="22">
        <f>('2012-2022'!P68-'2012-2022'!AC$2)/'2012-2022'!AC$3</f>
        <v>-0.85809103137690423</v>
      </c>
    </row>
    <row r="68" spans="1:15">
      <c r="A68" s="10" t="s">
        <v>8</v>
      </c>
      <c r="B68" s="11">
        <v>2013</v>
      </c>
      <c r="C68" s="14" t="s">
        <v>55</v>
      </c>
      <c r="D68" s="14" t="s">
        <v>54</v>
      </c>
      <c r="E68" s="22">
        <f>('2012-2022'!E69-'2012-2022'!R$2)/'2012-2022'!R$3</f>
        <v>-0.96992018587794682</v>
      </c>
      <c r="F68" s="22">
        <f>('2012-2022'!F69-'2012-2022'!S$2)/'2012-2022'!S$3</f>
        <v>4.2131953576547206E-2</v>
      </c>
      <c r="G68" s="22">
        <f>('2012-2022'!G69-'2012-2022'!T$2)/'2012-2022'!T$3</f>
        <v>0.6391468908096678</v>
      </c>
      <c r="H68" s="22">
        <f>('2012-2022'!H69-'2012-2022'!U$2)/'2012-2022'!U$3</f>
        <v>-0.87144342917126072</v>
      </c>
      <c r="I68" s="22">
        <f>('2012-2022'!I69-'2012-2022'!V$2)/'2012-2022'!V$3</f>
        <v>-0.97133211509190287</v>
      </c>
      <c r="J68" s="22">
        <f>('2012-2022'!J69-'2012-2022'!W$2)/'2012-2022'!W$3</f>
        <v>-0.46995460130307659</v>
      </c>
      <c r="K68" s="22">
        <f>('2012-2022'!K69-'2012-2022'!X$2)/'2012-2022'!X$3</f>
        <v>-1.0156840219149892</v>
      </c>
      <c r="L68" s="22">
        <f>('2012-2022'!L69-'2012-2022'!Y$2)/'2012-2022'!Y$3</f>
        <v>-1.3376892718144393</v>
      </c>
      <c r="M68" s="22">
        <f>('2012-2022'!M69-'2012-2022'!Z$2)/'2012-2022'!Z$3</f>
        <v>2.6879726423207138</v>
      </c>
      <c r="N68" s="22">
        <f>('2012-2022'!N69-'2012-2022'!AA$2)/'2012-2022'!AA$3</f>
        <v>-1.9429173209105246</v>
      </c>
      <c r="O68" s="22">
        <f>('2012-2022'!P69-'2012-2022'!AC$2)/'2012-2022'!AC$3</f>
        <v>-0.69450912128294817</v>
      </c>
    </row>
    <row r="69" spans="1:15">
      <c r="A69" s="10" t="s">
        <v>8</v>
      </c>
      <c r="B69" s="11">
        <v>2014</v>
      </c>
      <c r="C69" s="14" t="s">
        <v>55</v>
      </c>
      <c r="D69" s="14" t="s">
        <v>54</v>
      </c>
      <c r="E69" s="22">
        <f>('2012-2022'!E70-'2012-2022'!R$2)/'2012-2022'!R$3</f>
        <v>-0.42993199563706802</v>
      </c>
      <c r="F69" s="22">
        <f>('2012-2022'!F70-'2012-2022'!S$2)/'2012-2022'!S$3</f>
        <v>1.1706788668611321</v>
      </c>
      <c r="G69" s="22">
        <f>('2012-2022'!G70-'2012-2022'!T$2)/'2012-2022'!T$3</f>
        <v>0.43186420539295983</v>
      </c>
      <c r="H69" s="22">
        <f>('2012-2022'!H70-'2012-2022'!U$2)/'2012-2022'!U$3</f>
        <v>-0.10831405557831061</v>
      </c>
      <c r="I69" s="22">
        <f>('2012-2022'!I70-'2012-2022'!V$2)/'2012-2022'!V$3</f>
        <v>-0.605223841731516</v>
      </c>
      <c r="J69" s="22">
        <f>('2012-2022'!J70-'2012-2022'!W$2)/'2012-2022'!W$3</f>
        <v>-0.50861928213064078</v>
      </c>
      <c r="K69" s="22">
        <f>('2012-2022'!K70-'2012-2022'!X$2)/'2012-2022'!X$3</f>
        <v>-0.90206133475476102</v>
      </c>
      <c r="L69" s="22">
        <f>('2012-2022'!L70-'2012-2022'!Y$2)/'2012-2022'!Y$3</f>
        <v>-1.2626470237481244</v>
      </c>
      <c r="M69" s="22">
        <f>('2012-2022'!M70-'2012-2022'!Z$2)/'2012-2022'!Z$3</f>
        <v>2.8457974447957421</v>
      </c>
      <c r="N69" s="22">
        <f>('2012-2022'!N70-'2012-2022'!AA$2)/'2012-2022'!AA$3</f>
        <v>-1.5471352465197585</v>
      </c>
      <c r="O69" s="22">
        <f>('2012-2022'!P70-'2012-2022'!AC$2)/'2012-2022'!AC$3</f>
        <v>-0.84668509091716837</v>
      </c>
    </row>
    <row r="70" spans="1:15">
      <c r="A70" s="10" t="s">
        <v>8</v>
      </c>
      <c r="B70" s="11">
        <v>2015</v>
      </c>
      <c r="C70" s="14" t="s">
        <v>55</v>
      </c>
      <c r="D70" s="14" t="s">
        <v>54</v>
      </c>
      <c r="E70" s="22">
        <f>('2012-2022'!E71-'2012-2022'!R$2)/'2012-2022'!R$3</f>
        <v>-1.1382560300283209</v>
      </c>
      <c r="F70" s="22">
        <f>('2012-2022'!F71-'2012-2022'!S$2)/'2012-2022'!S$3</f>
        <v>-1.2322949425605836</v>
      </c>
      <c r="G70" s="22">
        <f>('2012-2022'!G71-'2012-2022'!T$2)/'2012-2022'!T$3</f>
        <v>-0.60115145990831054</v>
      </c>
      <c r="H70" s="22">
        <f>('2012-2022'!H71-'2012-2022'!U$2)/'2012-2022'!U$3</f>
        <v>-1.1677552391106785</v>
      </c>
      <c r="I70" s="22">
        <f>('2012-2022'!I71-'2012-2022'!V$2)/'2012-2022'!V$3</f>
        <v>-1.0508572559142424</v>
      </c>
      <c r="J70" s="22">
        <f>('2012-2022'!J71-'2012-2022'!W$2)/'2012-2022'!W$3</f>
        <v>-0.40074985132250596</v>
      </c>
      <c r="K70" s="22">
        <f>('2012-2022'!K71-'2012-2022'!X$2)/'2012-2022'!X$3</f>
        <v>-0.87910181738268478</v>
      </c>
      <c r="L70" s="22">
        <f>('2012-2022'!L71-'2012-2022'!Y$2)/'2012-2022'!Y$3</f>
        <v>-1.133098645322566</v>
      </c>
      <c r="M70" s="22">
        <f>('2012-2022'!M71-'2012-2022'!Z$2)/'2012-2022'!Z$3</f>
        <v>2.182697205491738</v>
      </c>
      <c r="N70" s="22">
        <f>('2012-2022'!N71-'2012-2022'!AA$2)/'2012-2022'!AA$3</f>
        <v>-1.9029679635708299</v>
      </c>
      <c r="O70" s="22">
        <f>('2012-2022'!P71-'2012-2022'!AC$2)/'2012-2022'!AC$3</f>
        <v>-0.74276196723297605</v>
      </c>
    </row>
    <row r="71" spans="1:15">
      <c r="A71" s="10" t="s">
        <v>8</v>
      </c>
      <c r="B71" s="11">
        <v>2016</v>
      </c>
      <c r="C71" s="14" t="s">
        <v>55</v>
      </c>
      <c r="D71" s="14" t="s">
        <v>54</v>
      </c>
      <c r="E71" s="22">
        <f>('2012-2022'!E72-'2012-2022'!R$2)/'2012-2022'!R$3</f>
        <v>-1.3588065989226004</v>
      </c>
      <c r="F71" s="22">
        <f>('2012-2022'!F72-'2012-2022'!S$2)/'2012-2022'!S$3</f>
        <v>-1.7611742331469407</v>
      </c>
      <c r="G71" s="22">
        <f>('2012-2022'!G72-'2012-2022'!T$2)/'2012-2022'!T$3</f>
        <v>-0.89255739917073296</v>
      </c>
      <c r="H71" s="22">
        <f>('2012-2022'!H72-'2012-2022'!U$2)/'2012-2022'!U$3</f>
        <v>-1.3887285721588907</v>
      </c>
      <c r="I71" s="22">
        <f>('2012-2022'!I72-'2012-2022'!V$2)/'2012-2022'!V$3</f>
        <v>-1.2568740912745096</v>
      </c>
      <c r="J71" s="22">
        <f>('2012-2022'!J72-'2012-2022'!W$2)/'2012-2022'!W$3</f>
        <v>-0.84074386644696109</v>
      </c>
      <c r="K71" s="22">
        <f>('2012-2022'!K72-'2012-2022'!X$2)/'2012-2022'!X$3</f>
        <v>-0.9890253978453597</v>
      </c>
      <c r="L71" s="22">
        <f>('2012-2022'!L72-'2012-2022'!Y$2)/'2012-2022'!Y$3</f>
        <v>-1.5183998846157087</v>
      </c>
      <c r="M71" s="22">
        <f>('2012-2022'!M72-'2012-2022'!Z$2)/'2012-2022'!Z$3</f>
        <v>2.8022757090661821</v>
      </c>
      <c r="N71" s="22">
        <f>('2012-2022'!N72-'2012-2022'!AA$2)/'2012-2022'!AA$3</f>
        <v>-1.9797623241858138</v>
      </c>
      <c r="O71" s="22">
        <f>('2012-2022'!P72-'2012-2022'!AC$2)/'2012-2022'!AC$3</f>
        <v>-0.85074438069235414</v>
      </c>
    </row>
    <row r="72" spans="1:15">
      <c r="A72" s="10" t="s">
        <v>8</v>
      </c>
      <c r="B72" s="11">
        <v>2017</v>
      </c>
      <c r="C72" s="14" t="s">
        <v>55</v>
      </c>
      <c r="D72" s="14" t="s">
        <v>54</v>
      </c>
      <c r="E72" s="22">
        <f>('2012-2022'!E73-'2012-2022'!R$2)/'2012-2022'!R$3</f>
        <v>-1.0752390330122508</v>
      </c>
      <c r="F72" s="22">
        <f>('2012-2022'!F73-'2012-2022'!S$2)/'2012-2022'!S$3</f>
        <v>0.75671781244036063</v>
      </c>
      <c r="G72" s="22">
        <f>('2012-2022'!G73-'2012-2022'!T$2)/'2012-2022'!T$3</f>
        <v>0.13806307302741239</v>
      </c>
      <c r="H72" s="22">
        <f>('2012-2022'!H73-'2012-2022'!U$2)/'2012-2022'!U$3</f>
        <v>-0.77798710428178752</v>
      </c>
      <c r="I72" s="22">
        <f>('2012-2022'!I73-'2012-2022'!V$2)/'2012-2022'!V$3</f>
        <v>-1.1937220900952514</v>
      </c>
      <c r="J72" s="22">
        <f>('2012-2022'!J73-'2012-2022'!W$2)/'2012-2022'!W$3</f>
        <v>-0.69436447921757893</v>
      </c>
      <c r="K72" s="22">
        <f>('2012-2022'!K73-'2012-2022'!X$2)/'2012-2022'!X$3</f>
        <v>-1.1343957902236386</v>
      </c>
      <c r="L72" s="22">
        <f>('2012-2022'!L73-'2012-2022'!Y$2)/'2012-2022'!Y$3</f>
        <v>-1.509150234267145</v>
      </c>
      <c r="M72" s="22">
        <f>('2012-2022'!M73-'2012-2022'!Z$2)/'2012-2022'!Z$3</f>
        <v>2.8039409490241325</v>
      </c>
      <c r="N72" s="22">
        <f>('2012-2022'!N73-'2012-2022'!AA$2)/'2012-2022'!AA$3</f>
        <v>-1.9308578726624519</v>
      </c>
      <c r="O72" s="22">
        <f>('2012-2022'!P73-'2012-2022'!AC$2)/'2012-2022'!AC$3</f>
        <v>-0.84278949029235695</v>
      </c>
    </row>
    <row r="73" spans="1:15">
      <c r="A73" s="10" t="s">
        <v>8</v>
      </c>
      <c r="B73" s="11">
        <v>2018</v>
      </c>
      <c r="C73" s="14" t="s">
        <v>55</v>
      </c>
      <c r="D73" s="14" t="s">
        <v>54</v>
      </c>
      <c r="E73" s="22">
        <f>('2012-2022'!E74-'2012-2022'!R$2)/'2012-2022'!R$3</f>
        <v>-0.686800429657625</v>
      </c>
      <c r="F73" s="22">
        <f>('2012-2022'!F74-'2012-2022'!S$2)/'2012-2022'!S$3</f>
        <v>2.401275423638066</v>
      </c>
      <c r="G73" s="22">
        <f>('2012-2022'!G74-'2012-2022'!T$2)/'2012-2022'!T$3</f>
        <v>-0.50320826014595865</v>
      </c>
      <c r="H73" s="22">
        <f>('2012-2022'!H74-'2012-2022'!U$2)/'2012-2022'!U$3</f>
        <v>2.2406688252253584E-2</v>
      </c>
      <c r="I73" s="22">
        <f>('2012-2022'!I74-'2012-2022'!V$2)/'2012-2022'!V$3</f>
        <v>-1.084845888787163</v>
      </c>
      <c r="J73" s="22">
        <f>('2012-2022'!J74-'2012-2022'!W$2)/'2012-2022'!W$3</f>
        <v>-0.43442579705671408</v>
      </c>
      <c r="K73" s="22">
        <f>('2012-2022'!K74-'2012-2022'!X$2)/'2012-2022'!X$3</f>
        <v>-1.006005011650279</v>
      </c>
      <c r="L73" s="22">
        <f>('2012-2022'!L74-'2012-2022'!Y$2)/'2012-2022'!Y$3</f>
        <v>-1.4508452841170754</v>
      </c>
      <c r="M73" s="22">
        <f>('2012-2022'!M74-'2012-2022'!Z$2)/'2012-2022'!Z$3</f>
        <v>2.5753101670740826</v>
      </c>
      <c r="N73" s="22">
        <f>('2012-2022'!N74-'2012-2022'!AA$2)/'2012-2022'!AA$3</f>
        <v>-1.5903811549895392</v>
      </c>
      <c r="O73" s="22">
        <f>('2012-2022'!P74-'2012-2022'!AC$2)/'2012-2022'!AC$3</f>
        <v>-0.67934977100414096</v>
      </c>
    </row>
    <row r="74" spans="1:15">
      <c r="A74" s="10" t="s">
        <v>8</v>
      </c>
      <c r="B74" s="11">
        <v>2019</v>
      </c>
      <c r="C74" s="14" t="s">
        <v>55</v>
      </c>
      <c r="D74" s="14" t="s">
        <v>54</v>
      </c>
      <c r="E74" s="22">
        <f>('2012-2022'!E75-'2012-2022'!R$2)/'2012-2022'!R$3</f>
        <v>-0.6557575450665224</v>
      </c>
      <c r="F74" s="22">
        <f>('2012-2022'!F75-'2012-2022'!S$2)/'2012-2022'!S$3</f>
        <v>1.8351584415279636</v>
      </c>
      <c r="G74" s="22">
        <f>('2012-2022'!G75-'2012-2022'!T$2)/'2012-2022'!T$3</f>
        <v>-1.7245924190934692</v>
      </c>
      <c r="H74" s="22">
        <f>('2012-2022'!H75-'2012-2022'!U$2)/'2012-2022'!U$3</f>
        <v>0.24696368958506004</v>
      </c>
      <c r="I74" s="22">
        <f>('2012-2022'!I75-'2012-2022'!V$2)/'2012-2022'!V$3</f>
        <v>-1.1753302991021539</v>
      </c>
      <c r="J74" s="22">
        <f>('2012-2022'!J75-'2012-2022'!W$2)/'2012-2022'!W$3</f>
        <v>2.0776388744427863E-2</v>
      </c>
      <c r="K74" s="22">
        <f>('2012-2022'!K75-'2012-2022'!X$2)/'2012-2022'!X$3</f>
        <v>-0.59680779659774452</v>
      </c>
      <c r="L74" s="22">
        <f>('2012-2022'!L75-'2012-2022'!Y$2)/'2012-2022'!Y$3</f>
        <v>-0.92573938039769921</v>
      </c>
      <c r="M74" s="22">
        <f>('2012-2022'!M75-'2012-2022'!Z$2)/'2012-2022'!Z$3</f>
        <v>0.38860667819034977</v>
      </c>
      <c r="N74" s="22">
        <f>('2012-2022'!N75-'2012-2022'!AA$2)/'2012-2022'!AA$3</f>
        <v>0.3142311323706144</v>
      </c>
      <c r="O74" s="22">
        <f>('2012-2022'!P75-'2012-2022'!AC$2)/'2012-2022'!AC$3</f>
        <v>-0.51355365713415124</v>
      </c>
    </row>
    <row r="75" spans="1:15">
      <c r="A75" s="10" t="s">
        <v>8</v>
      </c>
      <c r="B75" s="11">
        <v>2020</v>
      </c>
      <c r="C75" s="14" t="s">
        <v>55</v>
      </c>
      <c r="D75" s="14" t="s">
        <v>54</v>
      </c>
      <c r="E75" s="22">
        <f>('2012-2022'!E76-'2012-2022'!R$2)/'2012-2022'!R$3</f>
        <v>-9.3617865333197089E-2</v>
      </c>
      <c r="F75" s="22">
        <f>('2012-2022'!F76-'2012-2022'!S$2)/'2012-2022'!S$3</f>
        <v>3.107232308284833</v>
      </c>
      <c r="G75" s="22">
        <f>('2012-2022'!G76-'2012-2022'!T$2)/'2012-2022'!T$3</f>
        <v>-0.4062362818296007</v>
      </c>
      <c r="H75" s="22">
        <f>('2012-2022'!H76-'2012-2022'!U$2)/'2012-2022'!U$3</f>
        <v>0.94355655960044293</v>
      </c>
      <c r="I75" s="22">
        <f>('2012-2022'!I76-'2012-2022'!V$2)/'2012-2022'!V$3</f>
        <v>-0.72752495040728415</v>
      </c>
      <c r="J75" s="22">
        <f>('2012-2022'!J76-'2012-2022'!W$2)/'2012-2022'!W$3</f>
        <v>0.16072666494722437</v>
      </c>
      <c r="K75" s="22">
        <f>('2012-2022'!K76-'2012-2022'!X$2)/'2012-2022'!X$3</f>
        <v>-0.73491831366972116</v>
      </c>
      <c r="L75" s="22">
        <f>('2012-2022'!L76-'2012-2022'!Y$2)/'2012-2022'!Y$3</f>
        <v>-0.73750264783150754</v>
      </c>
      <c r="M75" s="22">
        <f>('2012-2022'!M76-'2012-2022'!Z$2)/'2012-2022'!Z$3</f>
        <v>2.0460439919486388</v>
      </c>
      <c r="N75" s="22">
        <f>('2012-2022'!N76-'2012-2022'!AA$2)/'2012-2022'!AA$3</f>
        <v>-1.0505568529602765</v>
      </c>
      <c r="O75" s="22">
        <f>('2012-2022'!P76-'2012-2022'!AC$2)/'2012-2022'!AC$3</f>
        <v>-0.48414869908415731</v>
      </c>
    </row>
    <row r="76" spans="1:15">
      <c r="A76" s="10" t="s">
        <v>8</v>
      </c>
      <c r="B76" s="11">
        <v>2021</v>
      </c>
      <c r="C76" s="14" t="s">
        <v>55</v>
      </c>
      <c r="D76" s="14" t="s">
        <v>54</v>
      </c>
      <c r="E76" s="22">
        <f>('2012-2022'!E77-'2012-2022'!R$2)/'2012-2022'!R$3</f>
        <v>-0.9687801722598508</v>
      </c>
      <c r="F76" s="22">
        <f>('2012-2022'!F77-'2012-2022'!S$2)/'2012-2022'!S$3</f>
        <v>1.1937565429060415</v>
      </c>
      <c r="G76" s="22">
        <f>('2012-2022'!G77-'2012-2022'!T$2)/'2012-2022'!T$3</f>
        <v>-0.38678275156422715</v>
      </c>
      <c r="H76" s="22">
        <f>('2012-2022'!H77-'2012-2022'!U$2)/'2012-2022'!U$3</f>
        <v>-0.53394774915368182</v>
      </c>
      <c r="I76" s="22">
        <f>('2012-2022'!I77-'2012-2022'!V$2)/'2012-2022'!V$3</f>
        <v>-1.1791232361401363</v>
      </c>
      <c r="J76" s="22">
        <f>('2012-2022'!J77-'2012-2022'!W$2)/'2012-2022'!W$3</f>
        <v>0.14755540057347488</v>
      </c>
      <c r="K76" s="22">
        <f>('2012-2022'!K77-'2012-2022'!X$2)/'2012-2022'!X$3</f>
        <v>-0.86291968384217899</v>
      </c>
      <c r="L76" s="22">
        <f>('2012-2022'!L77-'2012-2022'!Y$2)/'2012-2022'!Y$3</f>
        <v>-0.73047739376025378</v>
      </c>
      <c r="M76" s="22">
        <f>('2012-2022'!M77-'2012-2022'!Z$2)/'2012-2022'!Z$3</f>
        <v>1.327062675747896</v>
      </c>
      <c r="N76" s="22">
        <f>('2012-2022'!N77-'2012-2022'!AA$2)/'2012-2022'!AA$3</f>
        <v>0.23833207399201478</v>
      </c>
      <c r="O76" s="22">
        <f>('2012-2022'!P77-'2012-2022'!AC$2)/'2012-2022'!AC$3</f>
        <v>-0.54169184722779062</v>
      </c>
    </row>
    <row r="77" spans="1:15">
      <c r="A77" s="10" t="s">
        <v>8</v>
      </c>
      <c r="B77" s="11">
        <v>2022</v>
      </c>
      <c r="C77" s="14" t="s">
        <v>55</v>
      </c>
      <c r="D77" s="14" t="s">
        <v>54</v>
      </c>
      <c r="E77" s="22">
        <f>('2012-2022'!E78-'2012-2022'!R$2)/'2012-2022'!R$3</f>
        <v>-1.1941893537190371</v>
      </c>
      <c r="F77" s="22">
        <f>('2012-2022'!F78-'2012-2022'!S$2)/'2012-2022'!S$3</f>
        <v>0.2860335393752631</v>
      </c>
      <c r="G77" s="22">
        <f>('2012-2022'!G78-'2012-2022'!T$2)/'2012-2022'!T$3</f>
        <v>-0.5052303800390805</v>
      </c>
      <c r="H77" s="22">
        <f>('2012-2022'!H78-'2012-2022'!U$2)/'2012-2022'!U$3</f>
        <v>-0.89195103104741535</v>
      </c>
      <c r="I77" s="22">
        <f>('2012-2022'!I78-'2012-2022'!V$2)/'2012-2022'!V$3</f>
        <v>-1.3083130913770051</v>
      </c>
      <c r="J77" s="22">
        <f>('2012-2022'!J78-'2012-2022'!W$2)/'2012-2022'!W$3</f>
        <v>0.20613244026617564</v>
      </c>
      <c r="K77" s="22">
        <f>('2012-2022'!K78-'2012-2022'!X$2)/'2012-2022'!X$3</f>
        <v>-0.97373071516614973</v>
      </c>
      <c r="L77" s="22">
        <f>('2012-2022'!L78-'2012-2022'!Y$2)/'2012-2022'!Y$3</f>
        <v>-1.0548451009891893</v>
      </c>
      <c r="M77" s="22">
        <f>('2012-2022'!M78-'2012-2022'!Z$2)/'2012-2022'!Z$3</f>
        <v>1.8151055842468233</v>
      </c>
      <c r="N77" s="22">
        <f>('2012-2022'!N78-'2012-2022'!AA$2)/'2012-2022'!AA$3</f>
        <v>-0.52553657920636276</v>
      </c>
      <c r="O77" s="22">
        <f>('2012-2022'!P78-'2012-2022'!AC$2)/'2012-2022'!AC$3</f>
        <v>-0.51033104270131746</v>
      </c>
    </row>
    <row r="78" spans="1:15">
      <c r="A78" s="10" t="s">
        <v>9</v>
      </c>
      <c r="B78" s="11">
        <v>2013</v>
      </c>
      <c r="C78" s="14" t="s">
        <v>51</v>
      </c>
      <c r="D78" s="14" t="s">
        <v>52</v>
      </c>
      <c r="E78" s="22">
        <f>('2012-2022'!E80-'2012-2022'!R$2)/'2012-2022'!R$3</f>
        <v>-0.27242671133558066</v>
      </c>
      <c r="F78" s="22">
        <f>('2012-2022'!F80-'2012-2022'!S$2)/'2012-2022'!S$3</f>
        <v>0.69982972108684194</v>
      </c>
      <c r="G78" s="22">
        <f>('2012-2022'!G80-'2012-2022'!T$2)/'2012-2022'!T$3</f>
        <v>0.9972484211670628</v>
      </c>
      <c r="H78" s="22">
        <f>('2012-2022'!H80-'2012-2022'!U$2)/'2012-2022'!U$3</f>
        <v>-0.4588919808991882</v>
      </c>
      <c r="I78" s="22">
        <f>('2012-2022'!I80-'2012-2022'!V$2)/'2012-2022'!V$3</f>
        <v>6.7002219563703563E-3</v>
      </c>
      <c r="J78" s="22">
        <f>('2012-2022'!J80-'2012-2022'!W$2)/'2012-2022'!W$3</f>
        <v>1.306706729169242</v>
      </c>
      <c r="K78" s="22">
        <f>('2012-2022'!K80-'2012-2022'!X$2)/'2012-2022'!X$3</f>
        <v>1.3511227955901806</v>
      </c>
      <c r="L78" s="22">
        <f>('2012-2022'!L80-'2012-2022'!Y$2)/'2012-2022'!Y$3</f>
        <v>-0.74006965410585979</v>
      </c>
      <c r="M78" s="22">
        <f>('2012-2022'!M80-'2012-2022'!Z$2)/'2012-2022'!Z$3</f>
        <v>-0.8938601788349807</v>
      </c>
      <c r="N78" s="22">
        <f>('2012-2022'!N80-'2012-2022'!AA$2)/'2012-2022'!AA$3</f>
        <v>0.86874760298776021</v>
      </c>
      <c r="O78" s="22">
        <f>('2012-2022'!P80-'2012-2022'!AC$2)/'2012-2022'!AC$3</f>
        <v>-1.6756767237427184</v>
      </c>
    </row>
    <row r="79" spans="1:15">
      <c r="A79" s="10" t="s">
        <v>9</v>
      </c>
      <c r="B79" s="11">
        <v>2014</v>
      </c>
      <c r="C79" s="14" t="s">
        <v>51</v>
      </c>
      <c r="D79" s="14" t="s">
        <v>52</v>
      </c>
      <c r="E79" s="22">
        <f>('2012-2022'!E81-'2012-2022'!R$2)/'2012-2022'!R$3</f>
        <v>1.0647240284185266</v>
      </c>
      <c r="F79" s="22">
        <f>('2012-2022'!F81-'2012-2022'!S$2)/'2012-2022'!S$3</f>
        <v>1.628645954670155</v>
      </c>
      <c r="G79" s="22">
        <f>('2012-2022'!G81-'2012-2022'!T$2)/'2012-2022'!T$3</f>
        <v>0.94367382020035284</v>
      </c>
      <c r="H79" s="22">
        <f>('2012-2022'!H81-'2012-2022'!U$2)/'2012-2022'!U$3</f>
        <v>0.86430693608230935</v>
      </c>
      <c r="I79" s="22">
        <f>('2012-2022'!I81-'2012-2022'!V$2)/'2012-2022'!V$3</f>
        <v>1.2560867760671672</v>
      </c>
      <c r="J79" s="22">
        <f>('2012-2022'!J81-'2012-2022'!W$2)/'2012-2022'!W$3</f>
        <v>1.1086282903946856</v>
      </c>
      <c r="K79" s="22">
        <f>('2012-2022'!K81-'2012-2022'!X$2)/'2012-2022'!X$3</f>
        <v>1.4921877166004085</v>
      </c>
      <c r="L79" s="22">
        <f>('2012-2022'!L81-'2012-2022'!Y$2)/'2012-2022'!Y$3</f>
        <v>-1.1943097383146652</v>
      </c>
      <c r="M79" s="22">
        <f>('2012-2022'!M81-'2012-2022'!Z$2)/'2012-2022'!Z$3</f>
        <v>-0.60337224162251468</v>
      </c>
      <c r="N79" s="22">
        <f>('2012-2022'!N81-'2012-2022'!AA$2)/'2012-2022'!AA$3</f>
        <v>3.5878795409814306E-2</v>
      </c>
      <c r="O79" s="22">
        <f>('2012-2022'!P81-'2012-2022'!AC$2)/'2012-2022'!AC$3</f>
        <v>-1.6343493620765075</v>
      </c>
    </row>
    <row r="80" spans="1:15">
      <c r="A80" s="10" t="s">
        <v>9</v>
      </c>
      <c r="B80" s="11">
        <v>2015</v>
      </c>
      <c r="C80" s="14" t="s">
        <v>51</v>
      </c>
      <c r="D80" s="14" t="s">
        <v>52</v>
      </c>
      <c r="E80" s="22">
        <f>('2012-2022'!E82-'2012-2022'!R$2)/'2012-2022'!R$3</f>
        <v>0.69922142054768543</v>
      </c>
      <c r="F80" s="22">
        <f>('2012-2022'!F82-'2012-2022'!S$2)/'2012-2022'!S$3</f>
        <v>1.8928074004320907</v>
      </c>
      <c r="G80" s="22">
        <f>('2012-2022'!G82-'2012-2022'!T$2)/'2012-2022'!T$3</f>
        <v>0.77659936375405647</v>
      </c>
      <c r="H80" s="22">
        <f>('2012-2022'!H82-'2012-2022'!U$2)/'2012-2022'!U$3</f>
        <v>0.69089191097424318</v>
      </c>
      <c r="I80" s="22">
        <f>('2012-2022'!I82-'2012-2022'!V$2)/'2012-2022'!V$3</f>
        <v>0.743623222339164</v>
      </c>
      <c r="J80" s="22">
        <f>('2012-2022'!J82-'2012-2022'!W$2)/'2012-2022'!W$3</f>
        <v>0.74520439501396618</v>
      </c>
      <c r="K80" s="22">
        <f>('2012-2022'!K82-'2012-2022'!X$2)/'2012-2022'!X$3</f>
        <v>1.3984782306353853</v>
      </c>
      <c r="L80" s="22">
        <f>('2012-2022'!L82-'2012-2022'!Y$2)/'2012-2022'!Y$3</f>
        <v>-0.85386357450742123</v>
      </c>
      <c r="M80" s="22">
        <f>('2012-2022'!M82-'2012-2022'!Z$2)/'2012-2022'!Z$3</f>
        <v>-0.85986882863991621</v>
      </c>
      <c r="N80" s="22">
        <f>('2012-2022'!N82-'2012-2022'!AA$2)/'2012-2022'!AA$3</f>
        <v>0.19180734162048457</v>
      </c>
      <c r="O80" s="22">
        <f>('2012-2022'!P82-'2012-2022'!AC$2)/'2012-2022'!AC$3</f>
        <v>-1.5487025972004889</v>
      </c>
    </row>
    <row r="81" spans="1:15">
      <c r="A81" s="10" t="s">
        <v>9</v>
      </c>
      <c r="B81" s="11">
        <v>2016</v>
      </c>
      <c r="C81" s="14" t="s">
        <v>51</v>
      </c>
      <c r="D81" s="14" t="s">
        <v>52</v>
      </c>
      <c r="E81" s="22">
        <f>('2012-2022'!E83-'2012-2022'!R$2)/'2012-2022'!R$3</f>
        <v>0.95774024704699301</v>
      </c>
      <c r="F81" s="22">
        <f>('2012-2022'!F83-'2012-2022'!S$2)/'2012-2022'!S$3</f>
        <v>2.0239497105624378</v>
      </c>
      <c r="G81" s="22">
        <f>('2012-2022'!G83-'2012-2022'!T$2)/'2012-2022'!T$3</f>
        <v>0.355473336382778</v>
      </c>
      <c r="H81" s="22">
        <f>('2012-2022'!H83-'2012-2022'!U$2)/'2012-2022'!U$3</f>
        <v>1.0859484344354164</v>
      </c>
      <c r="I81" s="22">
        <f>('2012-2022'!I83-'2012-2022'!V$2)/'2012-2022'!V$3</f>
        <v>0.86331824806953217</v>
      </c>
      <c r="J81" s="22">
        <f>('2012-2022'!J83-'2012-2022'!W$2)/'2012-2022'!W$3</f>
        <v>0.88265155123612182</v>
      </c>
      <c r="K81" s="22">
        <f>('2012-2022'!K83-'2012-2022'!X$2)/'2012-2022'!X$3</f>
        <v>1.2891289032083526</v>
      </c>
      <c r="L81" s="22">
        <f>('2012-2022'!L83-'2012-2022'!Y$2)/'2012-2022'!Y$3</f>
        <v>-0.60282831310709029</v>
      </c>
      <c r="M81" s="22">
        <f>('2012-2022'!M83-'2012-2022'!Z$2)/'2012-2022'!Z$3</f>
        <v>-0.76718749428542454</v>
      </c>
      <c r="N81" s="22">
        <f>('2012-2022'!N83-'2012-2022'!AA$2)/'2012-2022'!AA$3</f>
        <v>0.21339258326124819</v>
      </c>
      <c r="O81" s="22">
        <f>('2012-2022'!P83-'2012-2022'!AC$2)/'2012-2022'!AC$3</f>
        <v>-1.4877321603253966</v>
      </c>
    </row>
    <row r="82" spans="1:15">
      <c r="A82" s="10" t="s">
        <v>9</v>
      </c>
      <c r="B82" s="11">
        <v>2017</v>
      </c>
      <c r="C82" s="14" t="s">
        <v>51</v>
      </c>
      <c r="D82" s="14" t="s">
        <v>52</v>
      </c>
      <c r="E82" s="22">
        <f>('2012-2022'!E84-'2012-2022'!R$2)/'2012-2022'!R$3</f>
        <v>1.640109994228083</v>
      </c>
      <c r="F82" s="22">
        <f>('2012-2022'!F84-'2012-2022'!S$2)/'2012-2022'!S$3</f>
        <v>2.0651667760423735</v>
      </c>
      <c r="G82" s="22">
        <f>('2012-2022'!G84-'2012-2022'!T$2)/'2012-2022'!T$3</f>
        <v>0.33027238278454413</v>
      </c>
      <c r="H82" s="22">
        <f>('2012-2022'!H84-'2012-2022'!U$2)/'2012-2022'!U$3</f>
        <v>1.7520789928885436</v>
      </c>
      <c r="I82" s="22">
        <f>('2012-2022'!I84-'2012-2022'!V$2)/'2012-2022'!V$3</f>
        <v>1.5141184250931738</v>
      </c>
      <c r="J82" s="22">
        <f>('2012-2022'!J84-'2012-2022'!W$2)/'2012-2022'!W$3</f>
        <v>1.1369529871911288</v>
      </c>
      <c r="K82" s="22">
        <f>('2012-2022'!K84-'2012-2022'!X$2)/'2012-2022'!X$3</f>
        <v>1.8082184290380114</v>
      </c>
      <c r="L82" s="22">
        <f>('2012-2022'!L84-'2012-2022'!Y$2)/'2012-2022'!Y$3</f>
        <v>0.1339040771834884</v>
      </c>
      <c r="M82" s="22">
        <f>('2012-2022'!M84-'2012-2022'!Z$2)/'2012-2022'!Z$3</f>
        <v>-0.80152440049169871</v>
      </c>
      <c r="N82" s="22">
        <f>('2012-2022'!N84-'2012-2022'!AA$2)/'2012-2022'!AA$3</f>
        <v>0.5286778432018624</v>
      </c>
      <c r="O82" s="22">
        <f>('2012-2022'!P84-'2012-2022'!AC$2)/'2012-2022'!AC$3</f>
        <v>-1.6076423834174787</v>
      </c>
    </row>
    <row r="83" spans="1:15">
      <c r="A83" s="10" t="s">
        <v>9</v>
      </c>
      <c r="B83" s="11">
        <v>2018</v>
      </c>
      <c r="C83" s="14" t="s">
        <v>51</v>
      </c>
      <c r="D83" s="14" t="s">
        <v>52</v>
      </c>
      <c r="E83" s="22">
        <f>('2012-2022'!E85-'2012-2022'!R$2)/'2012-2022'!R$3</f>
        <v>2.0793530320739175</v>
      </c>
      <c r="F83" s="22">
        <f>('2012-2022'!F85-'2012-2022'!S$2)/'2012-2022'!S$3</f>
        <v>2.1428982525799674</v>
      </c>
      <c r="G83" s="22">
        <f>('2012-2022'!G85-'2012-2022'!T$2)/'2012-2022'!T$3</f>
        <v>0.33439853223992066</v>
      </c>
      <c r="H83" s="22">
        <f>('2012-2022'!H85-'2012-2022'!U$2)/'2012-2022'!U$3</f>
        <v>2.2094758856596437</v>
      </c>
      <c r="I83" s="22">
        <f>('2012-2022'!I85-'2012-2022'!V$2)/'2012-2022'!V$3</f>
        <v>1.9073958627365426</v>
      </c>
      <c r="J83" s="22">
        <f>('2012-2022'!J85-'2012-2022'!W$2)/'2012-2022'!W$3</f>
        <v>1.1947114718845107</v>
      </c>
      <c r="K83" s="22">
        <f>('2012-2022'!K85-'2012-2022'!X$2)/'2012-2022'!X$3</f>
        <v>2.0499670517012003</v>
      </c>
      <c r="L83" s="22">
        <f>('2012-2022'!L85-'2012-2022'!Y$2)/'2012-2022'!Y$3</f>
        <v>8.6453632480916837E-2</v>
      </c>
      <c r="M83" s="22">
        <f>('2012-2022'!M85-'2012-2022'!Z$2)/'2012-2022'!Z$3</f>
        <v>-0.93374015460660809</v>
      </c>
      <c r="N83" s="22">
        <f>('2012-2022'!N85-'2012-2022'!AA$2)/'2012-2022'!AA$3</f>
        <v>0.61100858550651149</v>
      </c>
      <c r="O83" s="22">
        <f>('2012-2022'!P85-'2012-2022'!AC$2)/'2012-2022'!AC$3</f>
        <v>-1.5311482558966167</v>
      </c>
    </row>
    <row r="84" spans="1:15">
      <c r="A84" s="10" t="s">
        <v>9</v>
      </c>
      <c r="B84" s="11">
        <v>2019</v>
      </c>
      <c r="C84" s="14" t="s">
        <v>51</v>
      </c>
      <c r="D84" s="14" t="s">
        <v>52</v>
      </c>
      <c r="E84" s="22">
        <f>('2012-2022'!E86-'2012-2022'!R$2)/'2012-2022'!R$3</f>
        <v>1.9399991223574464</v>
      </c>
      <c r="F84" s="22">
        <f>('2012-2022'!F86-'2012-2022'!S$2)/'2012-2022'!S$3</f>
        <v>1.6384624775688907</v>
      </c>
      <c r="G84" s="22">
        <f>('2012-2022'!G86-'2012-2022'!T$2)/'2012-2022'!T$3</f>
        <v>1.2947242296085055</v>
      </c>
      <c r="H84" s="22">
        <f>('2012-2022'!H86-'2012-2022'!U$2)/'2012-2022'!U$3</f>
        <v>1.5120594062995316</v>
      </c>
      <c r="I84" s="22">
        <f>('2012-2022'!I86-'2012-2022'!V$2)/'2012-2022'!V$3</f>
        <v>2.2574325407007385</v>
      </c>
      <c r="J84" s="22">
        <f>('2012-2022'!J86-'2012-2022'!W$2)/'2012-2022'!W$3</f>
        <v>2.2593391263929141</v>
      </c>
      <c r="K84" s="22">
        <f>('2012-2022'!K86-'2012-2022'!X$2)/'2012-2022'!X$3</f>
        <v>2.2337697660694906</v>
      </c>
      <c r="L84" s="22">
        <f>('2012-2022'!L86-'2012-2022'!Y$2)/'2012-2022'!Y$3</f>
        <v>2.12877032407616</v>
      </c>
      <c r="M84" s="22">
        <f>('2012-2022'!M86-'2012-2022'!Z$2)/'2012-2022'!Z$3</f>
        <v>-0.30860187289507107</v>
      </c>
      <c r="N84" s="22">
        <f>('2012-2022'!N86-'2012-2022'!AA$2)/'2012-2022'!AA$3</f>
        <v>1.3954923107352755</v>
      </c>
      <c r="O84" s="22">
        <f>('2012-2022'!P86-'2012-2022'!AC$2)/'2012-2022'!AC$3</f>
        <v>-1.5719024540938897</v>
      </c>
    </row>
    <row r="85" spans="1:15">
      <c r="A85" s="10" t="s">
        <v>9</v>
      </c>
      <c r="B85" s="11">
        <v>2020</v>
      </c>
      <c r="C85" s="14" t="s">
        <v>51</v>
      </c>
      <c r="D85" s="14" t="s">
        <v>52</v>
      </c>
      <c r="E85" s="22">
        <f>('2012-2022'!E87-'2012-2022'!R$2)/'2012-2022'!R$3</f>
        <v>2.546032436408165</v>
      </c>
      <c r="F85" s="22">
        <f>('2012-2022'!F87-'2012-2022'!S$2)/'2012-2022'!S$3</f>
        <v>2.5764484080389263</v>
      </c>
      <c r="G85" s="22">
        <f>('2012-2022'!G87-'2012-2022'!T$2)/'2012-2022'!T$3</f>
        <v>0.46892984468791754</v>
      </c>
      <c r="H85" s="22">
        <f>('2012-2022'!H87-'2012-2022'!U$2)/'2012-2022'!U$3</f>
        <v>2.977657539846807</v>
      </c>
      <c r="I85" s="22">
        <f>('2012-2022'!I87-'2012-2022'!V$2)/'2012-2022'!V$3</f>
        <v>2.0879084527053289</v>
      </c>
      <c r="J85" s="22">
        <f>('2012-2022'!J87-'2012-2022'!W$2)/'2012-2022'!W$3</f>
        <v>1.9985877090517559</v>
      </c>
      <c r="K85" s="22">
        <f>('2012-2022'!K87-'2012-2022'!X$2)/'2012-2022'!X$3</f>
        <v>2.1090681894423162</v>
      </c>
      <c r="L85" s="22">
        <f>('2012-2022'!L87-'2012-2022'!Y$2)/'2012-2022'!Y$3</f>
        <v>2.3631017767026923</v>
      </c>
      <c r="M85" s="22">
        <f>('2012-2022'!M87-'2012-2022'!Z$2)/'2012-2022'!Z$3</f>
        <v>-0.20643393553342146</v>
      </c>
      <c r="N85" s="22">
        <f>('2012-2022'!N87-'2012-2022'!AA$2)/'2012-2022'!AA$3</f>
        <v>1.10944817627019</v>
      </c>
      <c r="O85" s="22">
        <f>('2012-2022'!P87-'2012-2022'!AC$2)/'2012-2022'!AC$3</f>
        <v>-1.5139811362387923</v>
      </c>
    </row>
    <row r="86" spans="1:15">
      <c r="A86" s="10" t="s">
        <v>9</v>
      </c>
      <c r="B86" s="11">
        <v>2021</v>
      </c>
      <c r="C86" s="14" t="s">
        <v>51</v>
      </c>
      <c r="D86" s="14" t="s">
        <v>52</v>
      </c>
      <c r="E86" s="22">
        <f>('2012-2022'!E88-'2012-2022'!R$2)/'2012-2022'!R$3</f>
        <v>2.4182580861148146</v>
      </c>
      <c r="F86" s="22">
        <f>('2012-2022'!F88-'2012-2022'!S$2)/'2012-2022'!S$3</f>
        <v>1.8849839222509417</v>
      </c>
      <c r="G86" s="22">
        <f>('2012-2022'!G88-'2012-2022'!T$2)/'2012-2022'!T$3</f>
        <v>0.7332458082120582</v>
      </c>
      <c r="H86" s="22">
        <f>('2012-2022'!H88-'2012-2022'!U$2)/'2012-2022'!U$3</f>
        <v>2.3663102210095004</v>
      </c>
      <c r="I86" s="22">
        <f>('2012-2022'!I88-'2012-2022'!V$2)/'2012-2022'!V$3</f>
        <v>2.361361004537144</v>
      </c>
      <c r="J86" s="22">
        <f>('2012-2022'!J88-'2012-2022'!W$2)/'2012-2022'!W$3</f>
        <v>2.1643903469000443</v>
      </c>
      <c r="K86" s="22">
        <f>('2012-2022'!K88-'2012-2022'!X$2)/'2012-2022'!X$3</f>
        <v>1.829890401415434</v>
      </c>
      <c r="L86" s="22">
        <f>('2012-2022'!L88-'2012-2022'!Y$2)/'2012-2022'!Y$3</f>
        <v>2.3426590713583315</v>
      </c>
      <c r="M86" s="22">
        <f>('2012-2022'!M88-'2012-2022'!Z$2)/'2012-2022'!Z$3</f>
        <v>-0.27894865243675715</v>
      </c>
      <c r="N86" s="22">
        <f>('2012-2022'!N88-'2012-2022'!AA$2)/'2012-2022'!AA$3</f>
        <v>1.5111770754336149</v>
      </c>
      <c r="O86" s="22">
        <f>('2012-2022'!P88-'2012-2022'!AC$2)/'2012-2022'!AC$3</f>
        <v>-1.5251907000066043</v>
      </c>
    </row>
    <row r="87" spans="1:15">
      <c r="A87" s="10" t="s">
        <v>9</v>
      </c>
      <c r="B87" s="11">
        <v>2022</v>
      </c>
      <c r="C87" s="14" t="s">
        <v>51</v>
      </c>
      <c r="D87" s="14" t="s">
        <v>52</v>
      </c>
      <c r="E87" s="22">
        <f>('2012-2022'!E89-'2012-2022'!R$2)/'2012-2022'!R$3</f>
        <v>2.9718736198345477</v>
      </c>
      <c r="F87" s="22">
        <f>('2012-2022'!F89-'2012-2022'!S$2)/'2012-2022'!S$3</f>
        <v>2.2780698518788389</v>
      </c>
      <c r="G87" s="22">
        <f>('2012-2022'!G89-'2012-2022'!T$2)/'2012-2022'!T$3</f>
        <v>1.08475458170212</v>
      </c>
      <c r="H87" s="22">
        <f>('2012-2022'!H89-'2012-2022'!U$2)/'2012-2022'!U$3</f>
        <v>3.0152463778379106</v>
      </c>
      <c r="I87" s="22">
        <f>('2012-2022'!I89-'2012-2022'!V$2)/'2012-2022'!V$3</f>
        <v>2.7936322537187079</v>
      </c>
      <c r="J87" s="22">
        <f>('2012-2022'!J89-'2012-2022'!W$2)/'2012-2022'!W$3</f>
        <v>2.2685874812037965</v>
      </c>
      <c r="K87" s="22">
        <f>('2012-2022'!K89-'2012-2022'!X$2)/'2012-2022'!X$3</f>
        <v>1.9028479381793844</v>
      </c>
      <c r="L87" s="22">
        <f>('2012-2022'!L89-'2012-2022'!Y$2)/'2012-2022'!Y$3</f>
        <v>2.373948212315836</v>
      </c>
      <c r="M87" s="22">
        <f>('2012-2022'!M89-'2012-2022'!Z$2)/'2012-2022'!Z$3</f>
        <v>-7.3715709583896727E-2</v>
      </c>
      <c r="N87" s="22">
        <f>('2012-2022'!N89-'2012-2022'!AA$2)/'2012-2022'!AA$3</f>
        <v>1.4586730461701094</v>
      </c>
      <c r="O87" s="22">
        <f>('2012-2022'!P89-'2012-2022'!AC$2)/'2012-2022'!AC$3</f>
        <v>-1.5197959984378102</v>
      </c>
    </row>
    <row r="88" spans="1:15">
      <c r="A88" s="10" t="s">
        <v>10</v>
      </c>
      <c r="B88" s="11">
        <v>2013</v>
      </c>
      <c r="C88" s="14" t="s">
        <v>58</v>
      </c>
      <c r="D88" s="14" t="s">
        <v>57</v>
      </c>
      <c r="E88" s="22">
        <f>('2012-2022'!E91-'2012-2022'!R$2)/'2012-2022'!R$3</f>
        <v>-0.42217527390470289</v>
      </c>
      <c r="F88" s="22">
        <f>('2012-2022'!F91-'2012-2022'!S$2)/'2012-2022'!S$3</f>
        <v>0.42646191834586866</v>
      </c>
      <c r="G88" s="22">
        <f>('2012-2022'!G91-'2012-2022'!T$2)/'2012-2022'!T$3</f>
        <v>1.2189589168719017</v>
      </c>
      <c r="H88" s="22">
        <f>('2012-2022'!H91-'2012-2022'!U$2)/'2012-2022'!U$3</f>
        <v>-0.57917919411404106</v>
      </c>
      <c r="I88" s="22">
        <f>('2012-2022'!I91-'2012-2022'!V$2)/'2012-2022'!V$3</f>
        <v>-0.21644114263738096</v>
      </c>
      <c r="J88" s="22">
        <f>('2012-2022'!J91-'2012-2022'!W$2)/'2012-2022'!W$3</f>
        <v>0.38035107839388943</v>
      </c>
      <c r="K88" s="22">
        <f>('2012-2022'!K91-'2012-2022'!X$2)/'2012-2022'!X$3</f>
        <v>0.24289868265517039</v>
      </c>
      <c r="L88" s="22">
        <f>('2012-2022'!L91-'2012-2022'!Y$2)/'2012-2022'!Y$3</f>
        <v>-0.25242665584883267</v>
      </c>
      <c r="M88" s="22">
        <f>('2012-2022'!M91-'2012-2022'!Z$2)/'2012-2022'!Z$3</f>
        <v>-0.75640193947039025</v>
      </c>
      <c r="N88" s="22">
        <f>('2012-2022'!N91-'2012-2022'!AA$2)/'2012-2022'!AA$3</f>
        <v>-0.20921928753605373</v>
      </c>
      <c r="O88" s="22">
        <f>('2012-2022'!P91-'2012-2022'!AC$2)/'2012-2022'!AC$3</f>
        <v>-1.5079036422155558</v>
      </c>
    </row>
    <row r="89" spans="1:15">
      <c r="A89" s="10" t="s">
        <v>10</v>
      </c>
      <c r="B89" s="11">
        <v>2014</v>
      </c>
      <c r="C89" s="14" t="s">
        <v>58</v>
      </c>
      <c r="D89" s="14" t="s">
        <v>57</v>
      </c>
      <c r="E89" s="22">
        <f>('2012-2022'!E92-'2012-2022'!R$2)/'2012-2022'!R$3</f>
        <v>-0.90294781185803608</v>
      </c>
      <c r="F89" s="22">
        <f>('2012-2022'!F92-'2012-2022'!S$2)/'2012-2022'!S$3</f>
        <v>0.88919965081270791</v>
      </c>
      <c r="G89" s="22">
        <f>('2012-2022'!G92-'2012-2022'!T$2)/'2012-2022'!T$3</f>
        <v>0.90031458243253937</v>
      </c>
      <c r="H89" s="22">
        <f>('2012-2022'!H92-'2012-2022'!U$2)/'2012-2022'!U$3</f>
        <v>-0.79814490442426422</v>
      </c>
      <c r="I89" s="22">
        <f>('2012-2022'!I92-'2012-2022'!V$2)/'2012-2022'!V$3</f>
        <v>-0.87354448498887627</v>
      </c>
      <c r="J89" s="22">
        <f>('2012-2022'!J92-'2012-2022'!W$2)/'2012-2022'!W$3</f>
        <v>-1.2763849939456178</v>
      </c>
      <c r="K89" s="22">
        <f>('2012-2022'!K92-'2012-2022'!X$2)/'2012-2022'!X$3</f>
        <v>-0.96538891620251632</v>
      </c>
      <c r="L89" s="22">
        <f>('2012-2022'!L92-'2012-2022'!Y$2)/'2012-2022'!Y$3</f>
        <v>-1.4885146041532833</v>
      </c>
      <c r="M89" s="22">
        <f>('2012-2022'!M92-'2012-2022'!Z$2)/'2012-2022'!Z$3</f>
        <v>-0.74998351640841365</v>
      </c>
      <c r="N89" s="22">
        <f>('2012-2022'!N92-'2012-2022'!AA$2)/'2012-2022'!AA$3</f>
        <v>-0.36632698279396708</v>
      </c>
      <c r="O89" s="22">
        <f>('2012-2022'!P92-'2012-2022'!AC$2)/'2012-2022'!AC$3</f>
        <v>-1.5187903536499101</v>
      </c>
    </row>
    <row r="90" spans="1:15">
      <c r="A90" s="10" t="s">
        <v>10</v>
      </c>
      <c r="B90" s="11">
        <v>2015</v>
      </c>
      <c r="C90" s="14" t="s">
        <v>58</v>
      </c>
      <c r="D90" s="14" t="s">
        <v>57</v>
      </c>
      <c r="E90" s="22">
        <f>('2012-2022'!E93-'2012-2022'!R$2)/'2012-2022'!R$3</f>
        <v>-0.49125889483977747</v>
      </c>
      <c r="F90" s="22">
        <f>('2012-2022'!F93-'2012-2022'!S$2)/'2012-2022'!S$3</f>
        <v>0.72396312112992389</v>
      </c>
      <c r="G90" s="22">
        <f>('2012-2022'!G93-'2012-2022'!T$2)/'2012-2022'!T$3</f>
        <v>-0.12982531400576047</v>
      </c>
      <c r="H90" s="22">
        <f>('2012-2022'!H93-'2012-2022'!U$2)/'2012-2022'!U$3</f>
        <v>-0.36776838743436979</v>
      </c>
      <c r="I90" s="22">
        <f>('2012-2022'!I93-'2012-2022'!V$2)/'2012-2022'!V$3</f>
        <v>-0.50371389834245106</v>
      </c>
      <c r="J90" s="22">
        <f>('2012-2022'!J93-'2012-2022'!W$2)/'2012-2022'!W$3</f>
        <v>-1.1771021263581676</v>
      </c>
      <c r="K90" s="22">
        <f>('2012-2022'!K93-'2012-2022'!X$2)/'2012-2022'!X$3</f>
        <v>-0.67687865207436138</v>
      </c>
      <c r="L90" s="22">
        <f>('2012-2022'!L93-'2012-2022'!Y$2)/'2012-2022'!Y$3</f>
        <v>-0.32926519145137423</v>
      </c>
      <c r="M90" s="22">
        <f>('2012-2022'!M93-'2012-2022'!Z$2)/'2012-2022'!Z$3</f>
        <v>-1.2500079425108568</v>
      </c>
      <c r="N90" s="22">
        <f>('2012-2022'!N93-'2012-2022'!AA$2)/'2012-2022'!AA$3</f>
        <v>-0.43572433170965869</v>
      </c>
      <c r="O90" s="22">
        <f>('2012-2022'!P93-'2012-2022'!AC$2)/'2012-2022'!AC$3</f>
        <v>-1.4551974958933576</v>
      </c>
    </row>
    <row r="91" spans="1:15">
      <c r="A91" s="10" t="s">
        <v>10</v>
      </c>
      <c r="B91" s="11">
        <v>2016</v>
      </c>
      <c r="C91" s="14" t="s">
        <v>58</v>
      </c>
      <c r="D91" s="14" t="s">
        <v>57</v>
      </c>
      <c r="E91" s="22">
        <f>('2012-2022'!E94-'2012-2022'!R$2)/'2012-2022'!R$3</f>
        <v>-0.44566983675063748</v>
      </c>
      <c r="F91" s="22">
        <f>('2012-2022'!F94-'2012-2022'!S$2)/'2012-2022'!S$3</f>
        <v>1.2219631525185894</v>
      </c>
      <c r="G91" s="22">
        <f>('2012-2022'!G94-'2012-2022'!T$2)/'2012-2022'!T$3</f>
        <v>-0.18881362157578452</v>
      </c>
      <c r="H91" s="22">
        <f>('2012-2022'!H94-'2012-2022'!U$2)/'2012-2022'!U$3</f>
        <v>-0.20234646809306889</v>
      </c>
      <c r="I91" s="22">
        <f>('2012-2022'!I94-'2012-2022'!V$2)/'2012-2022'!V$3</f>
        <v>-0.55639159499360347</v>
      </c>
      <c r="J91" s="22">
        <f>('2012-2022'!J94-'2012-2022'!W$2)/'2012-2022'!W$3</f>
        <v>-0.64320140755822575</v>
      </c>
      <c r="K91" s="22">
        <f>('2012-2022'!K94-'2012-2022'!X$2)/'2012-2022'!X$3</f>
        <v>-0.19617981882810107</v>
      </c>
      <c r="L91" s="22">
        <f>('2012-2022'!L94-'2012-2022'!Y$2)/'2012-2022'!Y$3</f>
        <v>-0.66928243884553196</v>
      </c>
      <c r="M91" s="22">
        <f>('2012-2022'!M94-'2012-2022'!Z$2)/'2012-2022'!Z$3</f>
        <v>-0.84959794405186062</v>
      </c>
      <c r="N91" s="22">
        <f>('2012-2022'!N94-'2012-2022'!AA$2)/'2012-2022'!AA$3</f>
        <v>-2.8513638593260556E-2</v>
      </c>
      <c r="O91" s="22">
        <f>('2012-2022'!P94-'2012-2022'!AC$2)/'2012-2022'!AC$3</f>
        <v>-1.3587127994526813</v>
      </c>
    </row>
    <row r="92" spans="1:15">
      <c r="A92" s="10" t="s">
        <v>10</v>
      </c>
      <c r="B92" s="11">
        <v>2017</v>
      </c>
      <c r="C92" s="14" t="s">
        <v>58</v>
      </c>
      <c r="D92" s="14" t="s">
        <v>57</v>
      </c>
      <c r="E92" s="22">
        <f>('2012-2022'!E95-'2012-2022'!R$2)/'2012-2022'!R$3</f>
        <v>-0.6855151241232097</v>
      </c>
      <c r="F92" s="22">
        <f>('2012-2022'!F95-'2012-2022'!S$2)/'2012-2022'!S$3</f>
        <v>1.4360395050667507</v>
      </c>
      <c r="G92" s="22">
        <f>('2012-2022'!G95-'2012-2022'!T$2)/'2012-2022'!T$3</f>
        <v>-0.7272116230340494</v>
      </c>
      <c r="H92" s="22">
        <f>('2012-2022'!H95-'2012-2022'!U$2)/'2012-2022'!U$3</f>
        <v>-0.30213691443047441</v>
      </c>
      <c r="I92" s="22">
        <f>('2012-2022'!I95-'2012-2022'!V$2)/'2012-2022'!V$3</f>
        <v>-0.89158113446943066</v>
      </c>
      <c r="J92" s="22">
        <f>('2012-2022'!J95-'2012-2022'!W$2)/'2012-2022'!W$3</f>
        <v>-0.81143844851770841</v>
      </c>
      <c r="K92" s="22">
        <f>('2012-2022'!K95-'2012-2022'!X$2)/'2012-2022'!X$3</f>
        <v>-0.62637410643610136</v>
      </c>
      <c r="L92" s="22">
        <f>('2012-2022'!L95-'2012-2022'!Y$2)/'2012-2022'!Y$3</f>
        <v>-0.86997064388473888</v>
      </c>
      <c r="M92" s="22">
        <f>('2012-2022'!M95-'2012-2022'!Z$2)/'2012-2022'!Z$3</f>
        <v>-0.86907430252553353</v>
      </c>
      <c r="N92" s="22">
        <f>('2012-2022'!N95-'2012-2022'!AA$2)/'2012-2022'!AA$3</f>
        <v>7.4879494235566531E-3</v>
      </c>
      <c r="O92" s="22">
        <f>('2012-2022'!P95-'2012-2022'!AC$2)/'2012-2022'!AC$3</f>
        <v>-1.3112556436967548</v>
      </c>
    </row>
    <row r="93" spans="1:15">
      <c r="A93" s="10" t="s">
        <v>10</v>
      </c>
      <c r="B93" s="11">
        <v>2018</v>
      </c>
      <c r="C93" s="14" t="s">
        <v>58</v>
      </c>
      <c r="D93" s="14" t="s">
        <v>57</v>
      </c>
      <c r="E93" s="22">
        <f>('2012-2022'!E96-'2012-2022'!R$2)/'2012-2022'!R$3</f>
        <v>-0.12970618926726518</v>
      </c>
      <c r="F93" s="22">
        <f>('2012-2022'!F96-'2012-2022'!S$2)/'2012-2022'!S$3</f>
        <v>1.7600485242595687</v>
      </c>
      <c r="G93" s="22">
        <f>('2012-2022'!G96-'2012-2022'!T$2)/'2012-2022'!T$3</f>
        <v>0.29927498671894698</v>
      </c>
      <c r="H93" s="22">
        <f>('2012-2022'!H96-'2012-2022'!U$2)/'2012-2022'!U$3</f>
        <v>0.12288099431012724</v>
      </c>
      <c r="I93" s="22">
        <f>('2012-2022'!I96-'2012-2022'!V$2)/'2012-2022'!V$3</f>
        <v>-0.26839558213527387</v>
      </c>
      <c r="J93" s="22">
        <f>('2012-2022'!J96-'2012-2022'!W$2)/'2012-2022'!W$3</f>
        <v>7.0989794901109918E-2</v>
      </c>
      <c r="K93" s="22">
        <f>('2012-2022'!K96-'2012-2022'!X$2)/'2012-2022'!X$3</f>
        <v>0.19342589988622477</v>
      </c>
      <c r="L93" s="22">
        <f>('2012-2022'!L96-'2012-2022'!Y$2)/'2012-2022'!Y$3</f>
        <v>-0.81575938257024305</v>
      </c>
      <c r="M93" s="22">
        <f>('2012-2022'!M96-'2012-2022'!Z$2)/'2012-2022'!Z$3</f>
        <v>-0.29479037769432925</v>
      </c>
      <c r="N93" s="22">
        <f>('2012-2022'!N96-'2012-2022'!AA$2)/'2012-2022'!AA$3</f>
        <v>0.31253707436986811</v>
      </c>
      <c r="O93" s="22">
        <f>('2012-2022'!P96-'2012-2022'!AC$2)/'2012-2022'!AC$3</f>
        <v>-1.2354906997950728</v>
      </c>
    </row>
    <row r="94" spans="1:15">
      <c r="A94" s="10" t="s">
        <v>10</v>
      </c>
      <c r="B94" s="11">
        <v>2019</v>
      </c>
      <c r="C94" s="14" t="s">
        <v>58</v>
      </c>
      <c r="D94" s="14" t="s">
        <v>57</v>
      </c>
      <c r="E94" s="22">
        <f>('2012-2022'!E97-'2012-2022'!R$2)/'2012-2022'!R$3</f>
        <v>0.291235495783084</v>
      </c>
      <c r="F94" s="22">
        <f>('2012-2022'!F97-'2012-2022'!S$2)/'2012-2022'!S$3</f>
        <v>1.3769370172921032</v>
      </c>
      <c r="G94" s="22">
        <f>('2012-2022'!G97-'2012-2022'!T$2)/'2012-2022'!T$3</f>
        <v>0.16145471836460404</v>
      </c>
      <c r="H94" s="22">
        <f>('2012-2022'!H97-'2012-2022'!U$2)/'2012-2022'!U$3</f>
        <v>0.44340870809487798</v>
      </c>
      <c r="I94" s="22">
        <f>('2012-2022'!I97-'2012-2022'!V$2)/'2012-2022'!V$3</f>
        <v>0.20465025662356962</v>
      </c>
      <c r="J94" s="22">
        <f>('2012-2022'!J97-'2012-2022'!W$2)/'2012-2022'!W$3</f>
        <v>2.9301328127964932</v>
      </c>
      <c r="K94" s="22">
        <f>('2012-2022'!K97-'2012-2022'!X$2)/'2012-2022'!X$3</f>
        <v>0.96084692846251907</v>
      </c>
      <c r="L94" s="22">
        <f>('2012-2022'!L97-'2012-2022'!Y$2)/'2012-2022'!Y$3</f>
        <v>1.8094630097712279</v>
      </c>
      <c r="M94" s="22">
        <f>('2012-2022'!M97-'2012-2022'!Z$2)/'2012-2022'!Z$3</f>
        <v>1.3363238076078034</v>
      </c>
      <c r="N94" s="22">
        <f>('2012-2022'!N97-'2012-2022'!AA$2)/'2012-2022'!AA$3</f>
        <v>2.3835335054010351</v>
      </c>
      <c r="O94" s="22">
        <f>('2012-2022'!P97-'2012-2022'!AC$2)/'2012-2022'!AC$3</f>
        <v>-1.1632738628072687</v>
      </c>
    </row>
    <row r="95" spans="1:15">
      <c r="A95" s="10" t="s">
        <v>10</v>
      </c>
      <c r="B95" s="11">
        <v>2020</v>
      </c>
      <c r="C95" s="14" t="s">
        <v>58</v>
      </c>
      <c r="D95" s="14" t="s">
        <v>57</v>
      </c>
      <c r="E95" s="22">
        <f>('2012-2022'!E98-'2012-2022'!R$2)/'2012-2022'!R$3</f>
        <v>-1.1414839091409057</v>
      </c>
      <c r="F95" s="22">
        <f>('2012-2022'!F98-'2012-2022'!S$2)/'2012-2022'!S$3</f>
        <v>0.67957468618940742</v>
      </c>
      <c r="G95" s="22">
        <f>('2012-2022'!G98-'2012-2022'!T$2)/'2012-2022'!T$3</f>
        <v>0.61265023098417315</v>
      </c>
      <c r="H95" s="22">
        <f>('2012-2022'!H98-'2012-2022'!U$2)/'2012-2022'!U$3</f>
        <v>-0.98610018309280145</v>
      </c>
      <c r="I95" s="22">
        <f>('2012-2022'!I98-'2012-2022'!V$2)/'2012-2022'!V$3</f>
        <v>-1.136507913430707</v>
      </c>
      <c r="J95" s="22">
        <f>('2012-2022'!J98-'2012-2022'!W$2)/'2012-2022'!W$3</f>
        <v>2.6266072640688836</v>
      </c>
      <c r="K95" s="22">
        <f>('2012-2022'!K98-'2012-2022'!X$2)/'2012-2022'!X$3</f>
        <v>1.0166744018469568E-2</v>
      </c>
      <c r="L95" s="22">
        <f>('2012-2022'!L98-'2012-2022'!Y$2)/'2012-2022'!Y$3</f>
        <v>1.6063566326522676</v>
      </c>
      <c r="M95" s="22">
        <f>('2012-2022'!M98-'2012-2022'!Z$2)/'2012-2022'!Z$3</f>
        <v>0.60350202339920089</v>
      </c>
      <c r="N95" s="22">
        <f>('2012-2022'!N98-'2012-2022'!AA$2)/'2012-2022'!AA$3</f>
        <v>2.3403879189952614</v>
      </c>
      <c r="O95" s="22">
        <f>('2012-2022'!P98-'2012-2022'!AC$2)/'2012-2022'!AC$3</f>
        <v>-1.2268044885135638</v>
      </c>
    </row>
    <row r="96" spans="1:15">
      <c r="A96" s="10" t="s">
        <v>10</v>
      </c>
      <c r="B96" s="11">
        <v>2021</v>
      </c>
      <c r="C96" s="14" t="s">
        <v>58</v>
      </c>
      <c r="D96" s="14" t="s">
        <v>57</v>
      </c>
      <c r="E96" s="22">
        <f>('2012-2022'!E99-'2012-2022'!R$2)/'2012-2022'!R$3</f>
        <v>6.5735711820726295E-2</v>
      </c>
      <c r="F96" s="22">
        <f>('2012-2022'!F99-'2012-2022'!S$2)/'2012-2022'!S$3</f>
        <v>1.0460047617467991</v>
      </c>
      <c r="G96" s="22">
        <f>('2012-2022'!G99-'2012-2022'!T$2)/'2012-2022'!T$3</f>
        <v>-6.306098926984581E-2</v>
      </c>
      <c r="H96" s="22">
        <f>('2012-2022'!H99-'2012-2022'!U$2)/'2012-2022'!U$3</f>
        <v>0.19290822403307678</v>
      </c>
      <c r="I96" s="22">
        <f>('2012-2022'!I99-'2012-2022'!V$2)/'2012-2022'!V$3</f>
        <v>1.3588452991634206E-2</v>
      </c>
      <c r="J96" s="22">
        <f>('2012-2022'!J99-'2012-2022'!W$2)/'2012-2022'!W$3</f>
        <v>3.0030532131391494</v>
      </c>
      <c r="K96" s="22">
        <f>('2012-2022'!K99-'2012-2022'!X$2)/'2012-2022'!X$3</f>
        <v>0.37471409961012236</v>
      </c>
      <c r="L96" s="22">
        <f>('2012-2022'!L99-'2012-2022'!Y$2)/'2012-2022'!Y$3</f>
        <v>1.7055486519643519</v>
      </c>
      <c r="M96" s="22">
        <f>('2012-2022'!M99-'2012-2022'!Z$2)/'2012-2022'!Z$3</f>
        <v>0.54177675250459623</v>
      </c>
      <c r="N96" s="22">
        <f>('2012-2022'!N99-'2012-2022'!AA$2)/'2012-2022'!AA$3</f>
        <v>2.4003240650029039</v>
      </c>
      <c r="O96" s="22">
        <f>('2012-2022'!P99-'2012-2022'!AC$2)/'2012-2022'!AC$3</f>
        <v>-1.253534725615618</v>
      </c>
    </row>
    <row r="97" spans="1:15">
      <c r="A97" s="10" t="s">
        <v>10</v>
      </c>
      <c r="B97" s="11">
        <v>2022</v>
      </c>
      <c r="C97" s="14" t="s">
        <v>58</v>
      </c>
      <c r="D97" s="14" t="s">
        <v>57</v>
      </c>
      <c r="E97" s="22">
        <f>('2012-2022'!E100-'2012-2022'!R$2)/'2012-2022'!R$3</f>
        <v>-0.54375042843916388</v>
      </c>
      <c r="F97" s="22">
        <f>('2012-2022'!F100-'2012-2022'!S$2)/'2012-2022'!S$3</f>
        <v>1.029086814015044</v>
      </c>
      <c r="G97" s="22">
        <f>('2012-2022'!G100-'2012-2022'!T$2)/'2012-2022'!T$3</f>
        <v>-1.1085007998116785</v>
      </c>
      <c r="H97" s="22">
        <f>('2012-2022'!H100-'2012-2022'!U$2)/'2012-2022'!U$3</f>
        <v>-0.15382240976793615</v>
      </c>
      <c r="I97" s="22">
        <f>('2012-2022'!I100-'2012-2022'!V$2)/'2012-2022'!V$3</f>
        <v>-0.76391843355186118</v>
      </c>
      <c r="J97" s="22">
        <f>('2012-2022'!J100-'2012-2022'!W$2)/'2012-2022'!W$3</f>
        <v>2.3161834342629444</v>
      </c>
      <c r="K97" s="22">
        <f>('2012-2022'!K100-'2012-2022'!X$2)/'2012-2022'!X$3</f>
        <v>-4.0408833059966945E-3</v>
      </c>
      <c r="L97" s="22">
        <f>('2012-2022'!L100-'2012-2022'!Y$2)/'2012-2022'!Y$3</f>
        <v>0.4528722022964784</v>
      </c>
      <c r="M97" s="22">
        <f>('2012-2022'!M100-'2012-2022'!Z$2)/'2012-2022'!Z$3</f>
        <v>0.84477883298073209</v>
      </c>
      <c r="N97" s="22">
        <f>('2012-2022'!N100-'2012-2022'!AA$2)/'2012-2022'!AA$3</f>
        <v>1.9053607821145531</v>
      </c>
      <c r="O97" s="22">
        <f>('2012-2022'!P100-'2012-2022'!AC$2)/'2012-2022'!AC$3</f>
        <v>-1.1501202703664606</v>
      </c>
    </row>
    <row r="98" spans="1:15">
      <c r="A98" s="10" t="s">
        <v>11</v>
      </c>
      <c r="B98" s="11">
        <v>2012</v>
      </c>
      <c r="C98" s="14" t="s">
        <v>56</v>
      </c>
      <c r="D98" s="14" t="s">
        <v>52</v>
      </c>
      <c r="E98" s="22">
        <f>('2012-2022'!E101-'2012-2022'!R$2)/'2012-2022'!R$3</f>
        <v>-0.14367878053359318</v>
      </c>
      <c r="F98" s="22">
        <f>('2012-2022'!F101-'2012-2022'!S$2)/'2012-2022'!S$3</f>
        <v>2.2199470676446262</v>
      </c>
      <c r="G98" s="22">
        <f>('2012-2022'!G101-'2012-2022'!T$2)/'2012-2022'!T$3</f>
        <v>1.3930726665303435</v>
      </c>
      <c r="H98" s="22">
        <f>('2012-2022'!H101-'2012-2022'!U$2)/'2012-2022'!U$3</f>
        <v>-0.10722921243979398</v>
      </c>
      <c r="I98" s="22">
        <f>('2012-2022'!I101-'2012-2022'!V$2)/'2012-2022'!V$3</f>
        <v>-7.0810015542049853E-2</v>
      </c>
      <c r="J98" s="22">
        <f>('2012-2022'!J101-'2012-2022'!W$2)/'2012-2022'!W$3</f>
        <v>0.23918239684817047</v>
      </c>
      <c r="K98" s="22">
        <f>('2012-2022'!K101-'2012-2022'!X$2)/'2012-2022'!X$3</f>
        <v>-7.3146654553389449E-4</v>
      </c>
      <c r="L98" s="22">
        <f>('2012-2022'!L101-'2012-2022'!Y$2)/'2012-2022'!Y$3</f>
        <v>-0.1419432552897783</v>
      </c>
      <c r="M98" s="22">
        <f>('2012-2022'!M101-'2012-2022'!Z$2)/'2012-2022'!Z$3</f>
        <v>-0.31945503350849941</v>
      </c>
      <c r="N98" s="22">
        <f>('2012-2022'!N101-'2012-2022'!AA$2)/'2012-2022'!AA$3</f>
        <v>-0.35008716727316197</v>
      </c>
      <c r="O98" s="22">
        <f>('2012-2022'!P101-'2012-2022'!AC$2)/'2012-2022'!AC$3</f>
        <v>-2.6098466818479591</v>
      </c>
    </row>
    <row r="99" spans="1:15">
      <c r="A99" s="10" t="s">
        <v>11</v>
      </c>
      <c r="B99" s="11">
        <v>2013</v>
      </c>
      <c r="C99" s="14" t="s">
        <v>56</v>
      </c>
      <c r="D99" s="14" t="s">
        <v>52</v>
      </c>
      <c r="E99" s="22">
        <f>('2012-2022'!E102-'2012-2022'!R$2)/'2012-2022'!R$3</f>
        <v>-3.2103791652230776E-2</v>
      </c>
      <c r="F99" s="22">
        <f>('2012-2022'!F102-'2012-2022'!S$2)/'2012-2022'!S$3</f>
        <v>0.18461750626984197</v>
      </c>
      <c r="G99" s="22">
        <f>('2012-2022'!G102-'2012-2022'!T$2)/'2012-2022'!T$3</f>
        <v>1.9604938844239836</v>
      </c>
      <c r="H99" s="22">
        <f>('2012-2022'!H102-'2012-2022'!U$2)/'2012-2022'!U$3</f>
        <v>-0.35638624824973347</v>
      </c>
      <c r="I99" s="22">
        <f>('2012-2022'!I102-'2012-2022'!V$2)/'2012-2022'!V$3</f>
        <v>0.18121404965358096</v>
      </c>
      <c r="J99" s="22">
        <f>('2012-2022'!J102-'2012-2022'!W$2)/'2012-2022'!W$3</f>
        <v>0.44425334821844648</v>
      </c>
      <c r="K99" s="22">
        <f>('2012-2022'!K102-'2012-2022'!X$2)/'2012-2022'!X$3</f>
        <v>0.82600774431393731</v>
      </c>
      <c r="L99" s="22">
        <f>('2012-2022'!L102-'2012-2022'!Y$2)/'2012-2022'!Y$3</f>
        <v>7.9790192236911237E-2</v>
      </c>
      <c r="M99" s="22">
        <f>('2012-2022'!M102-'2012-2022'!Z$2)/'2012-2022'!Z$3</f>
        <v>-0.70795043225911214</v>
      </c>
      <c r="N99" s="22">
        <f>('2012-2022'!N102-'2012-2022'!AA$2)/'2012-2022'!AA$3</f>
        <v>-0.48553132756667539</v>
      </c>
      <c r="O99" s="22">
        <f>('2012-2022'!P102-'2012-2022'!AC$2)/'2012-2022'!AC$3</f>
        <v>-2.7680762584558218</v>
      </c>
    </row>
    <row r="100" spans="1:15">
      <c r="A100" s="10" t="s">
        <v>11</v>
      </c>
      <c r="B100" s="11">
        <v>2014</v>
      </c>
      <c r="C100" s="14" t="s">
        <v>56</v>
      </c>
      <c r="D100" s="14" t="s">
        <v>52</v>
      </c>
      <c r="E100" s="22">
        <f>('2012-2022'!E103-'2012-2022'!R$2)/'2012-2022'!R$3</f>
        <v>0.67346318103564506</v>
      </c>
      <c r="F100" s="22">
        <f>('2012-2022'!F103-'2012-2022'!S$2)/'2012-2022'!S$3</f>
        <v>2.1974594661150912</v>
      </c>
      <c r="G100" s="22">
        <f>('2012-2022'!G103-'2012-2022'!T$2)/'2012-2022'!T$3</f>
        <v>1.2733112966629241</v>
      </c>
      <c r="H100" s="22">
        <f>('2012-2022'!H103-'2012-2022'!U$2)/'2012-2022'!U$3</f>
        <v>0.58984880527431982</v>
      </c>
      <c r="I100" s="22">
        <f>('2012-2022'!I103-'2012-2022'!V$2)/'2012-2022'!V$3</f>
        <v>0.8035076442283432</v>
      </c>
      <c r="J100" s="22">
        <f>('2012-2022'!J103-'2012-2022'!W$2)/'2012-2022'!W$3</f>
        <v>0.69913967724325088</v>
      </c>
      <c r="K100" s="22">
        <f>('2012-2022'!K103-'2012-2022'!X$2)/'2012-2022'!X$3</f>
        <v>0.3967430858601344</v>
      </c>
      <c r="L100" s="22">
        <f>('2012-2022'!L103-'2012-2022'!Y$2)/'2012-2022'!Y$3</f>
        <v>-0.52369840639118925</v>
      </c>
      <c r="M100" s="22">
        <f>('2012-2022'!M103-'2012-2022'!Z$2)/'2012-2022'!Z$3</f>
        <v>-0.80510484226020573</v>
      </c>
      <c r="N100" s="22">
        <f>('2012-2022'!N103-'2012-2022'!AA$2)/'2012-2022'!AA$3</f>
        <v>-1.0640253134189266</v>
      </c>
      <c r="O100" s="22">
        <f>('2012-2022'!P103-'2012-2022'!AC$2)/'2012-2022'!AC$3</f>
        <v>-2.6767242603662895</v>
      </c>
    </row>
    <row r="101" spans="1:15">
      <c r="A101" s="10" t="s">
        <v>11</v>
      </c>
      <c r="B101" s="11">
        <v>2015</v>
      </c>
      <c r="C101" s="14" t="s">
        <v>56</v>
      </c>
      <c r="D101" s="14" t="s">
        <v>52</v>
      </c>
      <c r="E101" s="22">
        <f>('2012-2022'!E104-'2012-2022'!R$2)/'2012-2022'!R$3</f>
        <v>6.2522791836035874E-2</v>
      </c>
      <c r="F101" s="22">
        <f>('2012-2022'!F104-'2012-2022'!S$2)/'2012-2022'!S$3</f>
        <v>2.0789270072928829</v>
      </c>
      <c r="G101" s="22">
        <f>('2012-2022'!G104-'2012-2022'!T$2)/'2012-2022'!T$3</f>
        <v>0.88341690612388157</v>
      </c>
      <c r="H101" s="22">
        <f>('2012-2022'!H104-'2012-2022'!U$2)/'2012-2022'!U$3</f>
        <v>0.10540756995945245</v>
      </c>
      <c r="I101" s="22">
        <f>('2012-2022'!I104-'2012-2022'!V$2)/'2012-2022'!V$3</f>
        <v>0.12050754088525828</v>
      </c>
      <c r="J101" s="22">
        <f>('2012-2022'!J104-'2012-2022'!W$2)/'2012-2022'!W$3</f>
        <v>0.91969339523413562</v>
      </c>
      <c r="K101" s="22">
        <f>('2012-2022'!K104-'2012-2022'!X$2)/'2012-2022'!X$3</f>
        <v>1.1803023387897214</v>
      </c>
      <c r="L101" s="22">
        <f>('2012-2022'!L104-'2012-2022'!Y$2)/'2012-2022'!Y$3</f>
        <v>0.33518041627394513</v>
      </c>
      <c r="M101" s="22">
        <f>('2012-2022'!M104-'2012-2022'!Z$2)/'2012-2022'!Z$3</f>
        <v>-0.26456722185038251</v>
      </c>
      <c r="N101" s="22">
        <f>('2012-2022'!N104-'2012-2022'!AA$2)/'2012-2022'!AA$3</f>
        <v>-0.27911641164074991</v>
      </c>
      <c r="O101" s="22">
        <f>('2012-2022'!P104-'2012-2022'!AC$2)/'2012-2022'!AC$3</f>
        <v>-2.4112520145085754</v>
      </c>
    </row>
    <row r="102" spans="1:15">
      <c r="A102" s="10" t="s">
        <v>11</v>
      </c>
      <c r="B102" s="11">
        <v>2016</v>
      </c>
      <c r="C102" s="14" t="s">
        <v>56</v>
      </c>
      <c r="D102" s="14" t="s">
        <v>52</v>
      </c>
      <c r="E102" s="22">
        <f>('2012-2022'!E105-'2012-2022'!R$2)/'2012-2022'!R$3</f>
        <v>0.14631122208232605</v>
      </c>
      <c r="F102" s="22">
        <f>('2012-2022'!F105-'2012-2022'!S$2)/'2012-2022'!S$3</f>
        <v>1.8223794280102608</v>
      </c>
      <c r="G102" s="22">
        <f>('2012-2022'!G105-'2012-2022'!T$2)/'2012-2022'!T$3</f>
        <v>1.6258424462748722</v>
      </c>
      <c r="H102" s="22">
        <f>('2012-2022'!H105-'2012-2022'!U$2)/'2012-2022'!U$3</f>
        <v>-9.8476326973733156E-3</v>
      </c>
      <c r="I102" s="22">
        <f>('2012-2022'!I105-'2012-2022'!V$2)/'2012-2022'!V$3</f>
        <v>0.38748121430353544</v>
      </c>
      <c r="J102" s="22">
        <f>('2012-2022'!J105-'2012-2022'!W$2)/'2012-2022'!W$3</f>
        <v>0.68515260560189262</v>
      </c>
      <c r="K102" s="22">
        <f>('2012-2022'!K105-'2012-2022'!X$2)/'2012-2022'!X$3</f>
        <v>1.8680094646939518</v>
      </c>
      <c r="L102" s="22">
        <f>('2012-2022'!L105-'2012-2022'!Y$2)/'2012-2022'!Y$3</f>
        <v>0.70715448823742411</v>
      </c>
      <c r="M102" s="22">
        <f>('2012-2022'!M105-'2012-2022'!Z$2)/'2012-2022'!Z$3</f>
        <v>0.33447128792528991</v>
      </c>
      <c r="N102" s="22">
        <f>('2012-2022'!N105-'2012-2022'!AA$2)/'2012-2022'!AA$3</f>
        <v>-0.64429096562691712</v>
      </c>
      <c r="O102" s="22">
        <f>('2012-2022'!P105-'2012-2022'!AC$2)/'2012-2022'!AC$3</f>
        <v>-2.3673720072899807</v>
      </c>
    </row>
    <row r="103" spans="1:15">
      <c r="A103" s="10" t="s">
        <v>11</v>
      </c>
      <c r="B103" s="11">
        <v>2017</v>
      </c>
      <c r="C103" s="14" t="s">
        <v>56</v>
      </c>
      <c r="D103" s="14" t="s">
        <v>52</v>
      </c>
      <c r="E103" s="22">
        <f>('2012-2022'!E106-'2012-2022'!R$2)/'2012-2022'!R$3</f>
        <v>0.16907855907494934</v>
      </c>
      <c r="F103" s="22">
        <f>('2012-2022'!F106-'2012-2022'!S$2)/'2012-2022'!S$3</f>
        <v>2.326296750743122</v>
      </c>
      <c r="G103" s="22">
        <f>('2012-2022'!G106-'2012-2022'!T$2)/'2012-2022'!T$3</f>
        <v>0.83408368955061607</v>
      </c>
      <c r="H103" s="22">
        <f>('2012-2022'!H106-'2012-2022'!U$2)/'2012-2022'!U$3</f>
        <v>0.27681855029006719</v>
      </c>
      <c r="I103" s="22">
        <f>('2012-2022'!I106-'2012-2022'!V$2)/'2012-2022'!V$3</f>
        <v>0.15507409502104844</v>
      </c>
      <c r="J103" s="22">
        <f>('2012-2022'!J106-'2012-2022'!W$2)/'2012-2022'!W$3</f>
        <v>0.16918822625745722</v>
      </c>
      <c r="K103" s="22">
        <f>('2012-2022'!K106-'2012-2022'!X$2)/'2012-2022'!X$3</f>
        <v>1.525757897180408</v>
      </c>
      <c r="L103" s="22">
        <f>('2012-2022'!L106-'2012-2022'!Y$2)/'2012-2022'!Y$3</f>
        <v>0.5907171113216072</v>
      </c>
      <c r="M103" s="22">
        <f>('2012-2022'!M106-'2012-2022'!Z$2)/'2012-2022'!Z$3</f>
        <v>9.8022638158603834E-2</v>
      </c>
      <c r="N103" s="22">
        <f>('2012-2022'!N106-'2012-2022'!AA$2)/'2012-2022'!AA$3</f>
        <v>-0.69518199722376572</v>
      </c>
      <c r="O103" s="22">
        <f>('2012-2022'!P106-'2012-2022'!AC$2)/'2012-2022'!AC$3</f>
        <v>-2.4013097215823724</v>
      </c>
    </row>
    <row r="104" spans="1:15">
      <c r="A104" s="10" t="s">
        <v>11</v>
      </c>
      <c r="B104" s="11">
        <v>2018</v>
      </c>
      <c r="C104" s="14" t="s">
        <v>56</v>
      </c>
      <c r="D104" s="14" t="s">
        <v>52</v>
      </c>
      <c r="E104" s="22">
        <f>('2012-2022'!E107-'2012-2022'!R$2)/'2012-2022'!R$3</f>
        <v>-0.16177708459324885</v>
      </c>
      <c r="F104" s="22">
        <f>('2012-2022'!F107-'2012-2022'!S$2)/'2012-2022'!S$3</f>
        <v>-0.46396817567621584</v>
      </c>
      <c r="G104" s="22">
        <f>('2012-2022'!G107-'2012-2022'!T$2)/'2012-2022'!T$3</f>
        <v>2.93660688213108</v>
      </c>
      <c r="H104" s="22">
        <f>('2012-2022'!H107-'2012-2022'!U$2)/'2012-2022'!U$3</f>
        <v>-0.57289544992867225</v>
      </c>
      <c r="I104" s="22">
        <f>('2012-2022'!I107-'2012-2022'!V$2)/'2012-2022'!V$3</f>
        <v>-1.911819388094857E-2</v>
      </c>
      <c r="J104" s="22">
        <f>('2012-2022'!J107-'2012-2022'!W$2)/'2012-2022'!W$3</f>
        <v>0.14889454750875886</v>
      </c>
      <c r="K104" s="22">
        <f>('2012-2022'!K107-'2012-2022'!X$2)/'2012-2022'!X$3</f>
        <v>1.1487653496348122</v>
      </c>
      <c r="L104" s="22">
        <f>('2012-2022'!L107-'2012-2022'!Y$2)/'2012-2022'!Y$3</f>
        <v>0.22057949837469157</v>
      </c>
      <c r="M104" s="22">
        <f>('2012-2022'!M107-'2012-2022'!Z$2)/'2012-2022'!Z$3</f>
        <v>-0.37828434614295214</v>
      </c>
      <c r="N104" s="22">
        <f>('2012-2022'!N107-'2012-2022'!AA$2)/'2012-2022'!AA$3</f>
        <v>-1.3976819464868366</v>
      </c>
      <c r="O104" s="22">
        <f>('2012-2022'!P107-'2012-2022'!AC$2)/'2012-2022'!AC$3</f>
        <v>-2.6654865350242196</v>
      </c>
    </row>
    <row r="105" spans="1:15">
      <c r="A105" s="10" t="s">
        <v>11</v>
      </c>
      <c r="B105" s="11">
        <v>2019</v>
      </c>
      <c r="C105" s="14" t="s">
        <v>56</v>
      </c>
      <c r="D105" s="14" t="s">
        <v>52</v>
      </c>
      <c r="E105" s="22">
        <f>('2012-2022'!E108-'2012-2022'!R$2)/'2012-2022'!R$3</f>
        <v>-3.7117402805681363E-2</v>
      </c>
      <c r="F105" s="22">
        <f>('2012-2022'!F108-'2012-2022'!S$2)/'2012-2022'!S$3</f>
        <v>-7.7024932920076561E-2</v>
      </c>
      <c r="G105" s="22">
        <f>('2012-2022'!G108-'2012-2022'!T$2)/'2012-2022'!T$3</f>
        <v>2.299053636465489</v>
      </c>
      <c r="H105" s="22">
        <f>('2012-2022'!H108-'2012-2022'!U$2)/'2012-2022'!U$3</f>
        <v>-0.24795203167290325</v>
      </c>
      <c r="I105" s="22">
        <f>('2012-2022'!I108-'2012-2022'!V$2)/'2012-2022'!V$3</f>
        <v>7.0632015558497428E-3</v>
      </c>
      <c r="J105" s="22">
        <f>('2012-2022'!J108-'2012-2022'!W$2)/'2012-2022'!W$3</f>
        <v>1.5177792909580594</v>
      </c>
      <c r="K105" s="22">
        <f>('2012-2022'!K108-'2012-2022'!X$2)/'2012-2022'!X$3</f>
        <v>1.5261183399251159</v>
      </c>
      <c r="L105" s="22">
        <f>('2012-2022'!L108-'2012-2022'!Y$2)/'2012-2022'!Y$3</f>
        <v>1.0666017957802085</v>
      </c>
      <c r="M105" s="22">
        <f>('2012-2022'!M108-'2012-2022'!Z$2)/'2012-2022'!Z$3</f>
        <v>-0.57518946857215192</v>
      </c>
      <c r="N105" s="22">
        <f>('2012-2022'!N108-'2012-2022'!AA$2)/'2012-2022'!AA$3</f>
        <v>0.17896709545837683</v>
      </c>
      <c r="O105" s="22">
        <f>('2012-2022'!P108-'2012-2022'!AC$2)/'2012-2022'!AC$3</f>
        <v>-2.7504315235274346</v>
      </c>
    </row>
    <row r="106" spans="1:15">
      <c r="A106" s="10" t="s">
        <v>11</v>
      </c>
      <c r="B106" s="11">
        <v>2020</v>
      </c>
      <c r="C106" s="14" t="s">
        <v>56</v>
      </c>
      <c r="D106" s="14" t="s">
        <v>52</v>
      </c>
      <c r="E106" s="22">
        <f>('2012-2022'!E109-'2012-2022'!R$2)/'2012-2022'!R$3</f>
        <v>-0.38666747546942953</v>
      </c>
      <c r="F106" s="22">
        <f>('2012-2022'!F109-'2012-2022'!S$2)/'2012-2022'!S$3</f>
        <v>0.63173325787264778</v>
      </c>
      <c r="G106" s="22">
        <f>('2012-2022'!G109-'2012-2022'!T$2)/'2012-2022'!T$3</f>
        <v>2.4583854416060462</v>
      </c>
      <c r="H106" s="22">
        <f>('2012-2022'!H109-'2012-2022'!U$2)/'2012-2022'!U$3</f>
        <v>-0.27261622873580232</v>
      </c>
      <c r="I106" s="22">
        <f>('2012-2022'!I109-'2012-2022'!V$2)/'2012-2022'!V$3</f>
        <v>-0.47084418383703108</v>
      </c>
      <c r="J106" s="22">
        <f>('2012-2022'!J109-'2012-2022'!W$2)/'2012-2022'!W$3</f>
        <v>1.1691292214401754</v>
      </c>
      <c r="K106" s="22">
        <f>('2012-2022'!K109-'2012-2022'!X$2)/'2012-2022'!X$3</f>
        <v>0.17085650887980638</v>
      </c>
      <c r="L106" s="22">
        <f>('2012-2022'!L109-'2012-2022'!Y$2)/'2012-2022'!Y$3</f>
        <v>-0.63340562865850292</v>
      </c>
      <c r="M106" s="22">
        <f>('2012-2022'!M109-'2012-2022'!Z$2)/'2012-2022'!Z$3</f>
        <v>-0.31988586641512112</v>
      </c>
      <c r="N106" s="22">
        <f>('2012-2022'!N109-'2012-2022'!AA$2)/'2012-2022'!AA$3</f>
        <v>-1.9568861871823733</v>
      </c>
      <c r="O106" s="22">
        <f>('2012-2022'!P109-'2012-2022'!AC$2)/'2012-2022'!AC$3</f>
        <v>-2.7911614575111727</v>
      </c>
    </row>
    <row r="107" spans="1:15">
      <c r="A107" s="10" t="s">
        <v>11</v>
      </c>
      <c r="B107" s="11">
        <v>2021</v>
      </c>
      <c r="C107" s="14" t="s">
        <v>56</v>
      </c>
      <c r="D107" s="14" t="s">
        <v>52</v>
      </c>
      <c r="E107" s="22">
        <f>('2012-2022'!E110-'2012-2022'!R$2)/'2012-2022'!R$3</f>
        <v>-0.63660477185369901</v>
      </c>
      <c r="F107" s="22">
        <f>('2012-2022'!F110-'2012-2022'!S$2)/'2012-2022'!S$3</f>
        <v>0.40817056094610227</v>
      </c>
      <c r="G107" s="22">
        <f>('2012-2022'!G110-'2012-2022'!T$2)/'2012-2022'!T$3</f>
        <v>0.3695379412038754</v>
      </c>
      <c r="H107" s="22">
        <f>('2012-2022'!H110-'2012-2022'!U$2)/'2012-2022'!U$3</f>
        <v>-0.25505403467542259</v>
      </c>
      <c r="I107" s="22">
        <f>('2012-2022'!I110-'2012-2022'!V$2)/'2012-2022'!V$3</f>
        <v>-0.82750074501572168</v>
      </c>
      <c r="J107" s="22">
        <f>('2012-2022'!J110-'2012-2022'!W$2)/'2012-2022'!W$3</f>
        <v>1.3056652497758119</v>
      </c>
      <c r="K107" s="22">
        <f>('2012-2022'!K110-'2012-2022'!X$2)/'2012-2022'!X$3</f>
        <v>0.40060842210147762</v>
      </c>
      <c r="L107" s="22">
        <f>('2012-2022'!L110-'2012-2022'!Y$2)/'2012-2022'!Y$3</f>
        <v>1.1414281590489539E-2</v>
      </c>
      <c r="M107" s="22">
        <f>('2012-2022'!M110-'2012-2022'!Z$2)/'2012-2022'!Z$3</f>
        <v>-0.31303769412314658</v>
      </c>
      <c r="N107" s="22">
        <f>('2012-2022'!N110-'2012-2022'!AA$2)/'2012-2022'!AA$3</f>
        <v>-1.6741918187309681</v>
      </c>
      <c r="O107" s="22">
        <f>('2012-2022'!P110-'2012-2022'!AC$2)/'2012-2022'!AC$3</f>
        <v>-2.7919933554436054</v>
      </c>
    </row>
    <row r="108" spans="1:15">
      <c r="A108" s="10" t="s">
        <v>11</v>
      </c>
      <c r="B108" s="11">
        <v>2022</v>
      </c>
      <c r="C108" s="14" t="s">
        <v>56</v>
      </c>
      <c r="D108" s="14" t="s">
        <v>52</v>
      </c>
      <c r="E108" s="22">
        <f>('2012-2022'!E111-'2012-2022'!R$2)/'2012-2022'!R$3</f>
        <v>0.85584246730437397</v>
      </c>
      <c r="F108" s="22">
        <f>('2012-2022'!F111-'2012-2022'!S$2)/'2012-2022'!S$3</f>
        <v>-0.54490129489892758</v>
      </c>
      <c r="G108" s="22">
        <f>('2012-2022'!G111-'2012-2022'!T$2)/'2012-2022'!T$3</f>
        <v>2.4078119614214777</v>
      </c>
      <c r="H108" s="22">
        <f>('2012-2022'!H111-'2012-2022'!U$2)/'2012-2022'!U$3</f>
        <v>4.9449090903737614E-2</v>
      </c>
      <c r="I108" s="22">
        <f>('2012-2022'!I111-'2012-2022'!V$2)/'2012-2022'!V$3</f>
        <v>1.1137652781760539</v>
      </c>
      <c r="J108" s="22">
        <f>('2012-2022'!J111-'2012-2022'!W$2)/'2012-2022'!W$3</f>
        <v>0.2455561615362489</v>
      </c>
      <c r="K108" s="22">
        <f>('2012-2022'!K111-'2012-2022'!X$2)/'2012-2022'!X$3</f>
        <v>0.82752666786723339</v>
      </c>
      <c r="L108" s="22">
        <f>('2012-2022'!L111-'2012-2022'!Y$2)/'2012-2022'!Y$3</f>
        <v>1.78516866116099</v>
      </c>
      <c r="M108" s="22">
        <f>('2012-2022'!M111-'2012-2022'!Z$2)/'2012-2022'!Z$3</f>
        <v>-0.15556096956526949</v>
      </c>
      <c r="N108" s="22">
        <f>('2012-2022'!N111-'2012-2022'!AA$2)/'2012-2022'!AA$3</f>
        <v>0.40333698071027918</v>
      </c>
      <c r="O108" s="22">
        <f>('2012-2022'!P111-'2012-2022'!AC$2)/'2012-2022'!AC$3</f>
        <v>-2.7970286197766696</v>
      </c>
    </row>
    <row r="109" spans="1:15">
      <c r="A109" s="10" t="s">
        <v>12</v>
      </c>
      <c r="B109" s="11">
        <v>2012</v>
      </c>
      <c r="C109" s="14" t="s">
        <v>56</v>
      </c>
      <c r="D109" s="14" t="s">
        <v>54</v>
      </c>
      <c r="E109" s="22">
        <f>('2012-2022'!E112-'2012-2022'!R$2)/'2012-2022'!R$3</f>
        <v>-0.87030670434647461</v>
      </c>
      <c r="F109" s="22">
        <f>('2012-2022'!F112-'2012-2022'!S$2)/'2012-2022'!S$3</f>
        <v>0.19451197685941013</v>
      </c>
      <c r="G109" s="22">
        <f>('2012-2022'!G112-'2012-2022'!T$2)/'2012-2022'!T$3</f>
        <v>0.63888701343064103</v>
      </c>
      <c r="H109" s="22">
        <f>('2012-2022'!H112-'2012-2022'!U$2)/'2012-2022'!U$3</f>
        <v>-0.80918499614112971</v>
      </c>
      <c r="I109" s="22">
        <f>('2012-2022'!I112-'2012-2022'!V$2)/'2012-2022'!V$3</f>
        <v>-0.83738499517608</v>
      </c>
      <c r="J109" s="22">
        <f>('2012-2022'!J112-'2012-2022'!W$2)/'2012-2022'!W$3</f>
        <v>-1.9180395755229971</v>
      </c>
      <c r="K109" s="22">
        <f>('2012-2022'!K112-'2012-2022'!X$2)/'2012-2022'!X$3</f>
        <v>-0.59284543700104031</v>
      </c>
      <c r="L109" s="22">
        <f>('2012-2022'!L112-'2012-2022'!Y$2)/'2012-2022'!Y$3</f>
        <v>-1.0501237359317712</v>
      </c>
      <c r="M109" s="22">
        <f>('2012-2022'!M112-'2012-2022'!Z$2)/'2012-2022'!Z$3</f>
        <v>-0.1301514640984314</v>
      </c>
      <c r="N109" s="22">
        <f>('2012-2022'!N112-'2012-2022'!AA$2)/'2012-2022'!AA$3</f>
        <v>-0.8817583763553839</v>
      </c>
      <c r="O109" s="22">
        <f>('2012-2022'!P112-'2012-2022'!AC$2)/'2012-2022'!AC$3</f>
        <v>0.35120103773669964</v>
      </c>
    </row>
    <row r="110" spans="1:15">
      <c r="A110" s="10" t="s">
        <v>12</v>
      </c>
      <c r="B110" s="11">
        <v>2013</v>
      </c>
      <c r="C110" s="14" t="s">
        <v>56</v>
      </c>
      <c r="D110" s="14" t="s">
        <v>54</v>
      </c>
      <c r="E110" s="22">
        <f>('2012-2022'!E113-'2012-2022'!R$2)/'2012-2022'!R$3</f>
        <v>-0.41701726676659745</v>
      </c>
      <c r="F110" s="22">
        <f>('2012-2022'!F113-'2012-2022'!S$2)/'2012-2022'!S$3</f>
        <v>0.41625253411248814</v>
      </c>
      <c r="G110" s="22">
        <f>('2012-2022'!G113-'2012-2022'!T$2)/'2012-2022'!T$3</f>
        <v>-4.9230757375317374E-2</v>
      </c>
      <c r="H110" s="22">
        <f>('2012-2022'!H113-'2012-2022'!U$2)/'2012-2022'!U$3</f>
        <v>-0.29873100253912432</v>
      </c>
      <c r="I110" s="22">
        <f>('2012-2022'!I113-'2012-2022'!V$2)/'2012-2022'!V$3</f>
        <v>-0.45300560774476961</v>
      </c>
      <c r="J110" s="22">
        <f>('2012-2022'!J113-'2012-2022'!W$2)/'2012-2022'!W$3</f>
        <v>-1.3218619287280251</v>
      </c>
      <c r="K110" s="22">
        <f>('2012-2022'!K113-'2012-2022'!X$2)/'2012-2022'!X$3</f>
        <v>0.33673302036572611</v>
      </c>
      <c r="L110" s="22">
        <f>('2012-2022'!L113-'2012-2022'!Y$2)/'2012-2022'!Y$3</f>
        <v>-8.3937086447473552E-2</v>
      </c>
      <c r="M110" s="22">
        <f>('2012-2022'!M113-'2012-2022'!Z$2)/'2012-2022'!Z$3</f>
        <v>1.0683311270890585</v>
      </c>
      <c r="N110" s="22">
        <f>('2012-2022'!N113-'2012-2022'!AA$2)/'2012-2022'!AA$3</f>
        <v>0.1057776904301214</v>
      </c>
      <c r="O110" s="22">
        <f>('2012-2022'!P113-'2012-2022'!AC$2)/'2012-2022'!AC$3</f>
        <v>0.32364795463679535</v>
      </c>
    </row>
    <row r="111" spans="1:15">
      <c r="A111" s="10" t="s">
        <v>12</v>
      </c>
      <c r="B111" s="11">
        <v>2014</v>
      </c>
      <c r="C111" s="14" t="s">
        <v>56</v>
      </c>
      <c r="D111" s="14" t="s">
        <v>54</v>
      </c>
      <c r="E111" s="22">
        <f>('2012-2022'!E114-'2012-2022'!R$2)/'2012-2022'!R$3</f>
        <v>-0.38458150115404471</v>
      </c>
      <c r="F111" s="22">
        <f>('2012-2022'!F114-'2012-2022'!S$2)/'2012-2022'!S$3</f>
        <v>1.0860603242514935E-2</v>
      </c>
      <c r="G111" s="22">
        <f>('2012-2022'!G114-'2012-2022'!T$2)/'2012-2022'!T$3</f>
        <v>-0.10089436786452258</v>
      </c>
      <c r="H111" s="22">
        <f>('2012-2022'!H114-'2012-2022'!U$2)/'2012-2022'!U$3</f>
        <v>-0.39973002101946303</v>
      </c>
      <c r="I111" s="22">
        <f>('2012-2022'!I114-'2012-2022'!V$2)/'2012-2022'!V$3</f>
        <v>-0.32753415517988643</v>
      </c>
      <c r="J111" s="22">
        <f>('2012-2022'!J114-'2012-2022'!W$2)/'2012-2022'!W$3</f>
        <v>-1.0879427535367527</v>
      </c>
      <c r="K111" s="22">
        <f>('2012-2022'!K114-'2012-2022'!X$2)/'2012-2022'!X$3</f>
        <v>0.32203406694092762</v>
      </c>
      <c r="L111" s="22">
        <f>('2012-2022'!L114-'2012-2022'!Y$2)/'2012-2022'!Y$3</f>
        <v>0.54096206564325278</v>
      </c>
      <c r="M111" s="22">
        <f>('2012-2022'!M114-'2012-2022'!Z$2)/'2012-2022'!Z$3</f>
        <v>1.1048598972879105</v>
      </c>
      <c r="N111" s="22">
        <f>('2012-2022'!N114-'2012-2022'!AA$2)/'2012-2022'!AA$3</f>
        <v>0.38529472781565488</v>
      </c>
      <c r="O111" s="22">
        <f>('2012-2022'!P114-'2012-2022'!AC$2)/'2012-2022'!AC$3</f>
        <v>0.26658418186211563</v>
      </c>
    </row>
    <row r="112" spans="1:15">
      <c r="A112" s="10" t="s">
        <v>12</v>
      </c>
      <c r="B112" s="11">
        <v>2015</v>
      </c>
      <c r="C112" s="14" t="s">
        <v>56</v>
      </c>
      <c r="D112" s="14" t="s">
        <v>54</v>
      </c>
      <c r="E112" s="22">
        <f>('2012-2022'!E115-'2012-2022'!R$2)/'2012-2022'!R$3</f>
        <v>-0.34820223194135536</v>
      </c>
      <c r="F112" s="22">
        <f>('2012-2022'!F115-'2012-2022'!S$2)/'2012-2022'!S$3</f>
        <v>-0.39453132762745829</v>
      </c>
      <c r="G112" s="22">
        <f>('2012-2022'!G115-'2012-2022'!T$2)/'2012-2022'!T$3</f>
        <v>-0.15255797835372778</v>
      </c>
      <c r="H112" s="22">
        <f>('2012-2022'!H115-'2012-2022'!U$2)/'2012-2022'!U$3</f>
        <v>-0.50072903949980208</v>
      </c>
      <c r="I112" s="22">
        <f>('2012-2022'!I115-'2012-2022'!V$2)/'2012-2022'!V$3</f>
        <v>-0.20206270261500334</v>
      </c>
      <c r="J112" s="22">
        <f>('2012-2022'!J115-'2012-2022'!W$2)/'2012-2022'!W$3</f>
        <v>-0.85402357834547959</v>
      </c>
      <c r="K112" s="22">
        <f>('2012-2022'!K115-'2012-2022'!X$2)/'2012-2022'!X$3</f>
        <v>0.30733511351612891</v>
      </c>
      <c r="L112" s="22">
        <f>('2012-2022'!L115-'2012-2022'!Y$2)/'2012-2022'!Y$3</f>
        <v>1.1658612177339791</v>
      </c>
      <c r="M112" s="22">
        <f>('2012-2022'!M115-'2012-2022'!Z$2)/'2012-2022'!Z$3</f>
        <v>1.141388667486763</v>
      </c>
      <c r="N112" s="22">
        <f>('2012-2022'!N115-'2012-2022'!AA$2)/'2012-2022'!AA$3</f>
        <v>0.66481176520118834</v>
      </c>
      <c r="O112" s="22">
        <f>('2012-2022'!P115-'2012-2022'!AC$2)/'2012-2022'!AC$3</f>
        <v>0.34286081151036019</v>
      </c>
    </row>
    <row r="113" spans="1:15">
      <c r="A113" s="10" t="s">
        <v>12</v>
      </c>
      <c r="B113" s="11">
        <v>2016</v>
      </c>
      <c r="C113" s="14" t="s">
        <v>56</v>
      </c>
      <c r="D113" s="14" t="s">
        <v>54</v>
      </c>
      <c r="E113" s="22">
        <f>('2012-2022'!E116-'2012-2022'!R$2)/'2012-2022'!R$3</f>
        <v>-0.62593800920400244</v>
      </c>
      <c r="F113" s="22">
        <f>('2012-2022'!F116-'2012-2022'!S$2)/'2012-2022'!S$3</f>
        <v>-0.38150471728568408</v>
      </c>
      <c r="G113" s="22">
        <f>('2012-2022'!G116-'2012-2022'!T$2)/'2012-2022'!T$3</f>
        <v>-1.0972505118281228</v>
      </c>
      <c r="H113" s="22">
        <f>('2012-2022'!H116-'2012-2022'!U$2)/'2012-2022'!U$3</f>
        <v>-0.51755003371415542</v>
      </c>
      <c r="I113" s="22">
        <f>('2012-2022'!I116-'2012-2022'!V$2)/'2012-2022'!V$3</f>
        <v>-0.6436245284764639</v>
      </c>
      <c r="J113" s="22">
        <f>('2012-2022'!J116-'2012-2022'!W$2)/'2012-2022'!W$3</f>
        <v>-0.89414596122959367</v>
      </c>
      <c r="K113" s="22">
        <f>('2012-2022'!K116-'2012-2022'!X$2)/'2012-2022'!X$3</f>
        <v>0.25245326719886457</v>
      </c>
      <c r="L113" s="22">
        <f>('2012-2022'!L116-'2012-2022'!Y$2)/'2012-2022'!Y$3</f>
        <v>0.70304015303723455</v>
      </c>
      <c r="M113" s="22">
        <f>('2012-2022'!M116-'2012-2022'!Z$2)/'2012-2022'!Z$3</f>
        <v>1.0881659401298622</v>
      </c>
      <c r="N113" s="22">
        <f>('2012-2022'!N116-'2012-2022'!AA$2)/'2012-2022'!AA$3</f>
        <v>0.55245855299434521</v>
      </c>
      <c r="O113" s="22">
        <f>('2012-2022'!P116-'2012-2022'!AC$2)/'2012-2022'!AC$3</f>
        <v>0.52040344487876844</v>
      </c>
    </row>
    <row r="114" spans="1:15">
      <c r="A114" s="10" t="s">
        <v>12</v>
      </c>
      <c r="B114" s="11">
        <v>2017</v>
      </c>
      <c r="C114" s="14" t="s">
        <v>56</v>
      </c>
      <c r="D114" s="14" t="s">
        <v>54</v>
      </c>
      <c r="E114" s="22">
        <f>('2012-2022'!E117-'2012-2022'!R$2)/'2012-2022'!R$3</f>
        <v>-0.29118301679990305</v>
      </c>
      <c r="F114" s="22">
        <f>('2012-2022'!F117-'2012-2022'!S$2)/'2012-2022'!S$3</f>
        <v>-0.60025335908445354</v>
      </c>
      <c r="G114" s="22">
        <f>('2012-2022'!G117-'2012-2022'!T$2)/'2012-2022'!T$3</f>
        <v>-0.32155927025872977</v>
      </c>
      <c r="H114" s="22">
        <f>('2012-2022'!H117-'2012-2022'!U$2)/'2012-2022'!U$3</f>
        <v>-0.53658583370636936</v>
      </c>
      <c r="I114" s="22">
        <f>('2012-2022'!I117-'2012-2022'!V$2)/'2012-2022'!V$3</f>
        <v>-7.139110429911677E-2</v>
      </c>
      <c r="J114" s="22">
        <f>('2012-2022'!J117-'2012-2022'!W$2)/'2012-2022'!W$3</f>
        <v>-0.63010229744826252</v>
      </c>
      <c r="K114" s="22">
        <f>('2012-2022'!K117-'2012-2022'!X$2)/'2012-2022'!X$3</f>
        <v>0.63341211299451494</v>
      </c>
      <c r="L114" s="22">
        <f>('2012-2022'!L117-'2012-2022'!Y$2)/'2012-2022'!Y$3</f>
        <v>1.4699152408540463</v>
      </c>
      <c r="M114" s="22">
        <f>('2012-2022'!M117-'2012-2022'!Z$2)/'2012-2022'!Z$3</f>
        <v>1.2103161897949608</v>
      </c>
      <c r="N114" s="22">
        <f>('2012-2022'!N117-'2012-2022'!AA$2)/'2012-2022'!AA$3</f>
        <v>0.83852525207577322</v>
      </c>
      <c r="O114" s="22">
        <f>('2012-2022'!P117-'2012-2022'!AC$2)/'2012-2022'!AC$3</f>
        <v>0.48787506651241186</v>
      </c>
    </row>
    <row r="115" spans="1:15">
      <c r="A115" s="10" t="s">
        <v>12</v>
      </c>
      <c r="B115" s="11">
        <v>2018</v>
      </c>
      <c r="C115" s="14" t="s">
        <v>56</v>
      </c>
      <c r="D115" s="14" t="s">
        <v>54</v>
      </c>
      <c r="E115" s="22">
        <f>('2012-2022'!E118-'2012-2022'!R$2)/'2012-2022'!R$3</f>
        <v>-0.13854136428896716</v>
      </c>
      <c r="F115" s="22">
        <f>('2012-2022'!F118-'2012-2022'!S$2)/'2012-2022'!S$3</f>
        <v>0.76363548688017058</v>
      </c>
      <c r="G115" s="22">
        <f>('2012-2022'!G118-'2012-2022'!T$2)/'2012-2022'!T$3</f>
        <v>1.9363641333182254E-2</v>
      </c>
      <c r="H115" s="22">
        <f>('2012-2022'!H118-'2012-2022'!U$2)/'2012-2022'!U$3</f>
        <v>4.7080461428398522E-2</v>
      </c>
      <c r="I115" s="22">
        <f>('2012-2022'!I118-'2012-2022'!V$2)/'2012-2022'!V$3</f>
        <v>-0.23972389534148503</v>
      </c>
      <c r="J115" s="22">
        <f>('2012-2022'!J118-'2012-2022'!W$2)/'2012-2022'!W$3</f>
        <v>-0.86089757514763188</v>
      </c>
      <c r="K115" s="22">
        <f>('2012-2022'!K118-'2012-2022'!X$2)/'2012-2022'!X$3</f>
        <v>0.73248485728805579</v>
      </c>
      <c r="L115" s="22">
        <f>('2012-2022'!L118-'2012-2022'!Y$2)/'2012-2022'!Y$3</f>
        <v>1.1437038607772416</v>
      </c>
      <c r="M115" s="22">
        <f>('2012-2022'!M118-'2012-2022'!Z$2)/'2012-2022'!Z$3</f>
        <v>1.0646468108437892</v>
      </c>
      <c r="N115" s="22">
        <f>('2012-2022'!N118-'2012-2022'!AA$2)/'2012-2022'!AA$3</f>
        <v>0.71022548343891212</v>
      </c>
      <c r="O115" s="22">
        <f>('2012-2022'!P118-'2012-2022'!AC$2)/'2012-2022'!AC$3</f>
        <v>0.42290857768290091</v>
      </c>
    </row>
    <row r="116" spans="1:15">
      <c r="A116" s="10" t="s">
        <v>12</v>
      </c>
      <c r="B116" s="11">
        <v>2019</v>
      </c>
      <c r="C116" s="14" t="s">
        <v>56</v>
      </c>
      <c r="D116" s="14" t="s">
        <v>54</v>
      </c>
      <c r="E116" s="22">
        <f>('2012-2022'!E119-'2012-2022'!R$2)/'2012-2022'!R$3</f>
        <v>-6.206309306394997E-2</v>
      </c>
      <c r="F116" s="22">
        <f>('2012-2022'!F119-'2012-2022'!S$2)/'2012-2022'!S$3</f>
        <v>-0.19418724660380315</v>
      </c>
      <c r="G116" s="22">
        <f>('2012-2022'!G119-'2012-2022'!T$2)/'2012-2022'!T$3</f>
        <v>0.19740408999382447</v>
      </c>
      <c r="H116" s="22">
        <f>('2012-2022'!H119-'2012-2022'!U$2)/'2012-2022'!U$3</f>
        <v>-0.28717501606865786</v>
      </c>
      <c r="I116" s="22">
        <f>('2012-2022'!I119-'2012-2022'!V$2)/'2012-2022'!V$3</f>
        <v>0.11559741325153686</v>
      </c>
      <c r="J116" s="22">
        <f>('2012-2022'!J119-'2012-2022'!W$2)/'2012-2022'!W$3</f>
        <v>-0.69939228900024797</v>
      </c>
      <c r="K116" s="22">
        <f>('2012-2022'!K119-'2012-2022'!X$2)/'2012-2022'!X$3</f>
        <v>0.61503176658706982</v>
      </c>
      <c r="L116" s="22">
        <f>('2012-2022'!L119-'2012-2022'!Y$2)/'2012-2022'!Y$3</f>
        <v>2.461576334162626</v>
      </c>
      <c r="M116" s="22">
        <f>('2012-2022'!M119-'2012-2022'!Z$2)/'2012-2022'!Z$3</f>
        <v>1.0864769862777839</v>
      </c>
      <c r="N116" s="22">
        <f>('2012-2022'!N119-'2012-2022'!AA$2)/'2012-2022'!AA$3</f>
        <v>7.4275584848482401E-2</v>
      </c>
      <c r="O116" s="22">
        <f>('2012-2022'!P119-'2012-2022'!AC$2)/'2012-2022'!AC$3</f>
        <v>0.52110760995653149</v>
      </c>
    </row>
    <row r="117" spans="1:15">
      <c r="A117" s="10" t="s">
        <v>12</v>
      </c>
      <c r="B117" s="11">
        <v>2020</v>
      </c>
      <c r="C117" s="14" t="s">
        <v>56</v>
      </c>
      <c r="D117" s="14" t="s">
        <v>54</v>
      </c>
      <c r="E117" s="22">
        <f>('2012-2022'!E120-'2012-2022'!R$2)/'2012-2022'!R$3</f>
        <v>-0.7402588633041346</v>
      </c>
      <c r="F117" s="22">
        <f>('2012-2022'!F120-'2012-2022'!S$2)/'2012-2022'!S$3</f>
        <v>-0.40147466007574767</v>
      </c>
      <c r="G117" s="22">
        <f>('2012-2022'!G120-'2012-2022'!T$2)/'2012-2022'!T$3</f>
        <v>-0.13200894683467654</v>
      </c>
      <c r="H117" s="22">
        <f>('2012-2022'!H120-'2012-2022'!U$2)/'2012-2022'!U$3</f>
        <v>-0.68719372811168256</v>
      </c>
      <c r="I117" s="22">
        <f>('2012-2022'!I120-'2012-2022'!V$2)/'2012-2022'!V$3</f>
        <v>-0.74050432060961291</v>
      </c>
      <c r="J117" s="22">
        <f>('2012-2022'!J120-'2012-2022'!W$2)/'2012-2022'!W$3</f>
        <v>-1.1917849307966206</v>
      </c>
      <c r="K117" s="22">
        <f>('2012-2022'!K120-'2012-2022'!X$2)/'2012-2022'!X$3</f>
        <v>4.4416330904586902E-2</v>
      </c>
      <c r="L117" s="22">
        <f>('2012-2022'!L120-'2012-2022'!Y$2)/'2012-2022'!Y$3</f>
        <v>2.1049678869674255</v>
      </c>
      <c r="M117" s="22">
        <f>('2012-2022'!M120-'2012-2022'!Z$2)/'2012-2022'!Z$3</f>
        <v>1.3532082478470995</v>
      </c>
      <c r="N117" s="22">
        <f>('2012-2022'!N120-'2012-2022'!AA$2)/'2012-2022'!AA$3</f>
        <v>-1.2290142655691143</v>
      </c>
      <c r="O117" s="22">
        <f>('2012-2022'!P120-'2012-2022'!AC$2)/'2012-2022'!AC$3</f>
        <v>0.4084381802029049</v>
      </c>
    </row>
    <row r="118" spans="1:15">
      <c r="A118" s="10" t="s">
        <v>12</v>
      </c>
      <c r="B118" s="11">
        <v>2021</v>
      </c>
      <c r="C118" s="14" t="s">
        <v>56</v>
      </c>
      <c r="D118" s="14" t="s">
        <v>54</v>
      </c>
      <c r="E118" s="22">
        <f>('2012-2022'!E121-'2012-2022'!R$2)/'2012-2022'!R$3</f>
        <v>-0.61152827950478295</v>
      </c>
      <c r="F118" s="22">
        <f>('2012-2022'!F121-'2012-2022'!S$2)/'2012-2022'!S$3</f>
        <v>-0.90579168553798828</v>
      </c>
      <c r="G118" s="22">
        <f>('2012-2022'!G121-'2012-2022'!T$2)/'2012-2022'!T$3</f>
        <v>0.15448817183181096</v>
      </c>
      <c r="H118" s="22">
        <f>('2012-2022'!H121-'2012-2022'!U$2)/'2012-2022'!U$3</f>
        <v>-0.90138296833293419</v>
      </c>
      <c r="I118" s="22">
        <f>('2012-2022'!I121-'2012-2022'!V$2)/'2012-2022'!V$3</f>
        <v>-0.34633326274045112</v>
      </c>
      <c r="J118" s="22">
        <f>('2012-2022'!J121-'2012-2022'!W$2)/'2012-2022'!W$3</f>
        <v>-1.2032118692459626</v>
      </c>
      <c r="K118" s="22">
        <f>('2012-2022'!K121-'2012-2022'!X$2)/'2012-2022'!X$3</f>
        <v>-0.18494409221824987</v>
      </c>
      <c r="L118" s="22">
        <f>('2012-2022'!L121-'2012-2022'!Y$2)/'2012-2022'!Y$3</f>
        <v>1.7338165313296909</v>
      </c>
      <c r="M118" s="22">
        <f>('2012-2022'!M121-'2012-2022'!Z$2)/'2012-2022'!Z$3</f>
        <v>1.1159618819675323</v>
      </c>
      <c r="N118" s="22">
        <f>('2012-2022'!N121-'2012-2022'!AA$2)/'2012-2022'!AA$3</f>
        <v>6.4254056397109779E-2</v>
      </c>
      <c r="O118" s="22">
        <f>('2012-2022'!P121-'2012-2022'!AC$2)/'2012-2022'!AC$3</f>
        <v>0.43774067538227268</v>
      </c>
    </row>
    <row r="119" spans="1:15">
      <c r="A119" s="10" t="s">
        <v>14</v>
      </c>
      <c r="B119" s="11">
        <v>2012</v>
      </c>
      <c r="C119" s="14" t="s">
        <v>55</v>
      </c>
      <c r="D119" s="14" t="s">
        <v>54</v>
      </c>
      <c r="E119" s="22">
        <f>('2012-2022'!E123-'2012-2022'!R$2)/'2012-2022'!R$3</f>
        <v>0.57523666284355923</v>
      </c>
      <c r="F119" s="22">
        <f>('2012-2022'!F123-'2012-2022'!S$2)/'2012-2022'!S$3</f>
        <v>-7.9674750726056717E-2</v>
      </c>
      <c r="G119" s="22">
        <f>('2012-2022'!G123-'2012-2022'!T$2)/'2012-2022'!T$3</f>
        <v>1.0429775629385998</v>
      </c>
      <c r="H119" s="22">
        <f>('2012-2022'!H123-'2012-2022'!U$2)/'2012-2022'!U$3</f>
        <v>6.454115891887563E-2</v>
      </c>
      <c r="I119" s="22">
        <f>('2012-2022'!I123-'2012-2022'!V$2)/'2012-2022'!V$3</f>
        <v>0.88187229040969672</v>
      </c>
      <c r="J119" s="22">
        <f>('2012-2022'!J123-'2012-2022'!W$2)/'2012-2022'!W$3</f>
        <v>-0.6803789740642554</v>
      </c>
      <c r="K119" s="22">
        <f>('2012-2022'!K123-'2012-2022'!X$2)/'2012-2022'!X$3</f>
        <v>0.34838230157026773</v>
      </c>
      <c r="L119" s="22">
        <f>('2012-2022'!L123-'2012-2022'!Y$2)/'2012-2022'!Y$3</f>
        <v>-0.7481603080016731</v>
      </c>
      <c r="M119" s="22">
        <f>('2012-2022'!M123-'2012-2022'!Z$2)/'2012-2022'!Z$3</f>
        <v>-0.50355831665574879</v>
      </c>
      <c r="N119" s="22">
        <f>('2012-2022'!N123-'2012-2022'!AA$2)/'2012-2022'!AA$3</f>
        <v>-0.7303231501854206</v>
      </c>
      <c r="O119" s="22">
        <f>('2012-2022'!P123-'2012-2022'!AC$2)/'2012-2022'!AC$3</f>
        <v>0.12922660630407939</v>
      </c>
    </row>
    <row r="120" spans="1:15">
      <c r="A120" s="10" t="s">
        <v>14</v>
      </c>
      <c r="B120" s="11">
        <v>2013</v>
      </c>
      <c r="C120" s="14" t="s">
        <v>55</v>
      </c>
      <c r="D120" s="14" t="s">
        <v>54</v>
      </c>
      <c r="E120" s="22">
        <f>('2012-2022'!E124-'2012-2022'!R$2)/'2012-2022'!R$3</f>
        <v>0.82715084121136262</v>
      </c>
      <c r="F120" s="22">
        <f>('2012-2022'!F124-'2012-2022'!S$2)/'2012-2022'!S$3</f>
        <v>0.80812088260107762</v>
      </c>
      <c r="G120" s="22">
        <f>('2012-2022'!G124-'2012-2022'!T$2)/'2012-2022'!T$3</f>
        <v>0.95737515783545135</v>
      </c>
      <c r="H120" s="22">
        <f>('2012-2022'!H124-'2012-2022'!U$2)/'2012-2022'!U$3</f>
        <v>0.85745188032909836</v>
      </c>
      <c r="I120" s="22">
        <f>('2012-2022'!I124-'2012-2022'!V$2)/'2012-2022'!V$3</f>
        <v>0.74350093616941737</v>
      </c>
      <c r="J120" s="22">
        <f>('2012-2022'!J124-'2012-2022'!W$2)/'2012-2022'!W$3</f>
        <v>-0.30826362103343413</v>
      </c>
      <c r="K120" s="22">
        <f>('2012-2022'!K124-'2012-2022'!X$2)/'2012-2022'!X$3</f>
        <v>0.33924327223290646</v>
      </c>
      <c r="L120" s="22">
        <f>('2012-2022'!L124-'2012-2022'!Y$2)/'2012-2022'!Y$3</f>
        <v>-0.85698649542485605</v>
      </c>
      <c r="M120" s="22">
        <f>('2012-2022'!M124-'2012-2022'!Z$2)/'2012-2022'!Z$3</f>
        <v>-4.2591109191766487E-2</v>
      </c>
      <c r="N120" s="22">
        <f>('2012-2022'!N124-'2012-2022'!AA$2)/'2012-2022'!AA$3</f>
        <v>-0.62148940631968652</v>
      </c>
      <c r="O120" s="22">
        <f>('2012-2022'!P124-'2012-2022'!AC$2)/'2012-2022'!AC$3</f>
        <v>0.15411930068580043</v>
      </c>
    </row>
    <row r="121" spans="1:15">
      <c r="A121" s="10" t="s">
        <v>14</v>
      </c>
      <c r="B121" s="11">
        <v>2015</v>
      </c>
      <c r="C121" s="14" t="s">
        <v>55</v>
      </c>
      <c r="D121" s="14" t="s">
        <v>54</v>
      </c>
      <c r="E121" s="22">
        <f>('2012-2022'!E126-'2012-2022'!R$2)/'2012-2022'!R$3</f>
        <v>0.86785173194701737</v>
      </c>
      <c r="F121" s="22">
        <f>('2012-2022'!F126-'2012-2022'!S$2)/'2012-2022'!S$3</f>
        <v>0.15371550237355891</v>
      </c>
      <c r="G121" s="22">
        <f>('2012-2022'!G126-'2012-2022'!T$2)/'2012-2022'!T$3</f>
        <v>1.016047077983375</v>
      </c>
      <c r="H121" s="22">
        <f>('2012-2022'!H126-'2012-2022'!U$2)/'2012-2022'!U$3</f>
        <v>0.63479077124303762</v>
      </c>
      <c r="I121" s="22">
        <f>('2012-2022'!I126-'2012-2022'!V$2)/'2012-2022'!V$3</f>
        <v>0.91065827316468395</v>
      </c>
      <c r="J121" s="22">
        <f>('2012-2022'!J126-'2012-2022'!W$2)/'2012-2022'!W$3</f>
        <v>-0.201285221993798</v>
      </c>
      <c r="K121" s="22">
        <f>('2012-2022'!K126-'2012-2022'!X$2)/'2012-2022'!X$3</f>
        <v>9.3109149800571084E-2</v>
      </c>
      <c r="L121" s="22">
        <f>('2012-2022'!L126-'2012-2022'!Y$2)/'2012-2022'!Y$3</f>
        <v>-0.71553001429019536</v>
      </c>
      <c r="M121" s="22">
        <f>('2012-2022'!M126-'2012-2022'!Z$2)/'2012-2022'!Z$3</f>
        <v>-2.0331211786008305E-2</v>
      </c>
      <c r="N121" s="22">
        <f>('2012-2022'!N126-'2012-2022'!AA$2)/'2012-2022'!AA$3</f>
        <v>-0.62569716882211646</v>
      </c>
      <c r="O121" s="22">
        <f>('2012-2022'!P126-'2012-2022'!AC$2)/'2012-2022'!AC$3</f>
        <v>0.22472112167843478</v>
      </c>
    </row>
    <row r="122" spans="1:15">
      <c r="A122" s="10" t="s">
        <v>14</v>
      </c>
      <c r="B122" s="11">
        <v>2016</v>
      </c>
      <c r="C122" s="14" t="s">
        <v>55</v>
      </c>
      <c r="D122" s="14" t="s">
        <v>54</v>
      </c>
      <c r="E122" s="22">
        <f>('2012-2022'!E127-'2012-2022'!R$2)/'2012-2022'!R$3</f>
        <v>0.9427256724144536</v>
      </c>
      <c r="F122" s="22">
        <f>('2012-2022'!F127-'2012-2022'!S$2)/'2012-2022'!S$3</f>
        <v>1.0167097894106221</v>
      </c>
      <c r="G122" s="22">
        <f>('2012-2022'!G127-'2012-2022'!T$2)/'2012-2022'!T$3</f>
        <v>0.11946178726917063</v>
      </c>
      <c r="H122" s="22">
        <f>('2012-2022'!H127-'2012-2022'!U$2)/'2012-2022'!U$3</f>
        <v>1.8506322236913653</v>
      </c>
      <c r="I122" s="22">
        <f>('2012-2022'!I127-'2012-2022'!V$2)/'2012-2022'!V$3</f>
        <v>0.40575172580963059</v>
      </c>
      <c r="J122" s="22">
        <f>('2012-2022'!J127-'2012-2022'!W$2)/'2012-2022'!W$3</f>
        <v>-0.13060612126002738</v>
      </c>
      <c r="K122" s="22">
        <f>('2012-2022'!K127-'2012-2022'!X$2)/'2012-2022'!X$3</f>
        <v>-1.4390347396131538E-3</v>
      </c>
      <c r="L122" s="22">
        <f>('2012-2022'!L127-'2012-2022'!Y$2)/'2012-2022'!Y$3</f>
        <v>-0.48793705420429023</v>
      </c>
      <c r="M122" s="22">
        <f>('2012-2022'!M127-'2012-2022'!Z$2)/'2012-2022'!Z$3</f>
        <v>-3.1601977441684755E-2</v>
      </c>
      <c r="N122" s="22">
        <f>('2012-2022'!N127-'2012-2022'!AA$2)/'2012-2022'!AA$3</f>
        <v>-0.80197683792621921</v>
      </c>
      <c r="O122" s="22">
        <f>('2012-2022'!P127-'2012-2022'!AC$2)/'2012-2022'!AC$3</f>
        <v>0.19949690019261426</v>
      </c>
    </row>
    <row r="123" spans="1:15">
      <c r="A123" s="10" t="s">
        <v>14</v>
      </c>
      <c r="B123" s="11">
        <v>2017</v>
      </c>
      <c r="C123" s="14" t="s">
        <v>55</v>
      </c>
      <c r="D123" s="14" t="s">
        <v>54</v>
      </c>
      <c r="E123" s="22">
        <f>('2012-2022'!E128-'2012-2022'!R$2)/'2012-2022'!R$3</f>
        <v>0.82207493048062952</v>
      </c>
      <c r="F123" s="22">
        <f>('2012-2022'!F128-'2012-2022'!S$2)/'2012-2022'!S$3</f>
        <v>0.14079022711528144</v>
      </c>
      <c r="G123" s="22">
        <f>('2012-2022'!G128-'2012-2022'!T$2)/'2012-2022'!T$3</f>
        <v>0.4504332674434231</v>
      </c>
      <c r="H123" s="22">
        <f>('2012-2022'!H128-'2012-2022'!U$2)/'2012-2022'!U$3</f>
        <v>1.1549032046558276</v>
      </c>
      <c r="I123" s="22">
        <f>('2012-2022'!I128-'2012-2022'!V$2)/'2012-2022'!V$3</f>
        <v>0.56057788532815456</v>
      </c>
      <c r="J123" s="22">
        <f>('2012-2022'!J128-'2012-2022'!W$2)/'2012-2022'!W$3</f>
        <v>-0.20575032032009177</v>
      </c>
      <c r="K123" s="22">
        <f>('2012-2022'!K128-'2012-2022'!X$2)/'2012-2022'!X$3</f>
        <v>-3.4355043590725394E-2</v>
      </c>
      <c r="L123" s="22">
        <f>('2012-2022'!L128-'2012-2022'!Y$2)/'2012-2022'!Y$3</f>
        <v>-0.61244245391310237</v>
      </c>
      <c r="M123" s="22">
        <f>('2012-2022'!M128-'2012-2022'!Z$2)/'2012-2022'!Z$3</f>
        <v>0.32578771238281828</v>
      </c>
      <c r="N123" s="22">
        <f>('2012-2022'!N128-'2012-2022'!AA$2)/'2012-2022'!AA$3</f>
        <v>-0.52975912189218299</v>
      </c>
      <c r="O123" s="22">
        <f>('2012-2022'!P128-'2012-2022'!AC$2)/'2012-2022'!AC$3</f>
        <v>0.21289803790000253</v>
      </c>
    </row>
    <row r="124" spans="1:15">
      <c r="A124" s="10" t="s">
        <v>14</v>
      </c>
      <c r="B124" s="11">
        <v>2019</v>
      </c>
      <c r="C124" s="14" t="s">
        <v>55</v>
      </c>
      <c r="D124" s="14" t="s">
        <v>54</v>
      </c>
      <c r="E124" s="22">
        <f>('2012-2022'!E130-'2012-2022'!R$2)/'2012-2022'!R$3</f>
        <v>1.0668476310346369</v>
      </c>
      <c r="F124" s="22">
        <f>('2012-2022'!F130-'2012-2022'!S$2)/'2012-2022'!S$3</f>
        <v>-0.34152394735110236</v>
      </c>
      <c r="G124" s="22">
        <f>('2012-2022'!G130-'2012-2022'!T$2)/'2012-2022'!T$3</f>
        <v>0.55222956102656062</v>
      </c>
      <c r="H124" s="22">
        <f>('2012-2022'!H130-'2012-2022'!U$2)/'2012-2022'!U$3</f>
        <v>1.0405156602227652</v>
      </c>
      <c r="I124" s="22">
        <f>('2012-2022'!I130-'2012-2022'!V$2)/'2012-2022'!V$3</f>
        <v>0.93614344317652864</v>
      </c>
      <c r="J124" s="22">
        <f>('2012-2022'!J130-'2012-2022'!W$2)/'2012-2022'!W$3</f>
        <v>0.48393523809752853</v>
      </c>
      <c r="K124" s="22">
        <f>('2012-2022'!K130-'2012-2022'!X$2)/'2012-2022'!X$3</f>
        <v>0.43177446300792288</v>
      </c>
      <c r="L124" s="22">
        <f>('2012-2022'!L130-'2012-2022'!Y$2)/'2012-2022'!Y$3</f>
        <v>0.42170994444668369</v>
      </c>
      <c r="M124" s="22">
        <f>('2012-2022'!M130-'2012-2022'!Z$2)/'2012-2022'!Z$3</f>
        <v>0.31200316016303814</v>
      </c>
      <c r="N124" s="22">
        <f>('2012-2022'!N130-'2012-2022'!AA$2)/'2012-2022'!AA$3</f>
        <v>-0.57484528411180513</v>
      </c>
      <c r="O124" s="22">
        <f>('2012-2022'!P130-'2012-2022'!AC$2)/'2012-2022'!AC$3</f>
        <v>0.22107859805800451</v>
      </c>
    </row>
    <row r="125" spans="1:15">
      <c r="A125" s="10" t="s">
        <v>14</v>
      </c>
      <c r="B125" s="11">
        <v>2020</v>
      </c>
      <c r="C125" s="14" t="s">
        <v>55</v>
      </c>
      <c r="D125" s="14" t="s">
        <v>54</v>
      </c>
      <c r="E125" s="22">
        <f>('2012-2022'!E131-'2012-2022'!R$2)/'2012-2022'!R$3</f>
        <v>1.9152589521509018</v>
      </c>
      <c r="F125" s="22">
        <f>('2012-2022'!F131-'2012-2022'!S$2)/'2012-2022'!S$3</f>
        <v>0.28388553395479393</v>
      </c>
      <c r="G125" s="22">
        <f>('2012-2022'!G131-'2012-2022'!T$2)/'2012-2022'!T$3</f>
        <v>1.6377028216299208</v>
      </c>
      <c r="H125" s="22">
        <f>('2012-2022'!H131-'2012-2022'!U$2)/'2012-2022'!U$3</f>
        <v>1.9614159927972838</v>
      </c>
      <c r="I125" s="22">
        <f>('2012-2022'!I131-'2012-2022'!V$2)/'2012-2022'!V$3</f>
        <v>1.7016597894849812</v>
      </c>
      <c r="J125" s="22">
        <f>('2012-2022'!J131-'2012-2022'!W$2)/'2012-2022'!W$3</f>
        <v>0.33963082948604861</v>
      </c>
      <c r="K125" s="22">
        <f>('2012-2022'!K131-'2012-2022'!X$2)/'2012-2022'!X$3</f>
        <v>2.6465463062186369E-2</v>
      </c>
      <c r="L125" s="22">
        <f>('2012-2022'!L131-'2012-2022'!Y$2)/'2012-2022'!Y$3</f>
        <v>-0.39343437512150975</v>
      </c>
      <c r="M125" s="22">
        <f>('2012-2022'!M131-'2012-2022'!Z$2)/'2012-2022'!Z$3</f>
        <v>-0.22361747217417174</v>
      </c>
      <c r="N125" s="22">
        <f>('2012-2022'!N131-'2012-2022'!AA$2)/'2012-2022'!AA$3</f>
        <v>-0.48043479411715145</v>
      </c>
      <c r="O125" s="22">
        <f>('2012-2022'!P131-'2012-2022'!AC$2)/'2012-2022'!AC$3</f>
        <v>0.19293487622656436</v>
      </c>
    </row>
    <row r="126" spans="1:15">
      <c r="A126" s="10" t="s">
        <v>14</v>
      </c>
      <c r="B126" s="11">
        <v>2021</v>
      </c>
      <c r="C126" s="14" t="s">
        <v>55</v>
      </c>
      <c r="D126" s="14" t="s">
        <v>54</v>
      </c>
      <c r="E126" s="22">
        <f>('2012-2022'!E132-'2012-2022'!R$2)/'2012-2022'!R$3</f>
        <v>1.1419325586461893</v>
      </c>
      <c r="F126" s="22">
        <f>('2012-2022'!F132-'2012-2022'!S$2)/'2012-2022'!S$3</f>
        <v>0.38140261856955004</v>
      </c>
      <c r="G126" s="22">
        <f>('2012-2022'!G132-'2012-2022'!T$2)/'2012-2022'!T$3</f>
        <v>-0.1525305831759371</v>
      </c>
      <c r="H126" s="22">
        <f>('2012-2022'!H132-'2012-2022'!U$2)/'2012-2022'!U$3</f>
        <v>1.972471808139777</v>
      </c>
      <c r="I126" s="22">
        <f>('2012-2022'!I132-'2012-2022'!V$2)/'2012-2022'!V$3</f>
        <v>0.64786325861564509</v>
      </c>
      <c r="J126" s="22">
        <f>('2012-2022'!J132-'2012-2022'!W$2)/'2012-2022'!W$3</f>
        <v>0.16755602616531895</v>
      </c>
      <c r="K126" s="22">
        <f>('2012-2022'!K132-'2012-2022'!X$2)/'2012-2022'!X$3</f>
        <v>0.17397190537836288</v>
      </c>
      <c r="L126" s="22">
        <f>('2012-2022'!L132-'2012-2022'!Y$2)/'2012-2022'!Y$3</f>
        <v>-4.7150471173983237E-2</v>
      </c>
      <c r="M126" s="22">
        <f>('2012-2022'!M132-'2012-2022'!Z$2)/'2012-2022'!Z$3</f>
        <v>-0.39739661043688201</v>
      </c>
      <c r="N126" s="22">
        <f>('2012-2022'!N132-'2012-2022'!AA$2)/'2012-2022'!AA$3</f>
        <v>-0.32076993848262381</v>
      </c>
      <c r="O126" s="22">
        <f>('2012-2022'!P132-'2012-2022'!AC$2)/'2012-2022'!AC$3</f>
        <v>0.34654142868882709</v>
      </c>
    </row>
    <row r="127" spans="1:15">
      <c r="A127" s="10" t="s">
        <v>14</v>
      </c>
      <c r="B127" s="11">
        <v>2022</v>
      </c>
      <c r="C127" s="14" t="s">
        <v>55</v>
      </c>
      <c r="D127" s="14" t="s">
        <v>54</v>
      </c>
      <c r="E127" s="22">
        <f>('2012-2022'!E133-'2012-2022'!R$2)/'2012-2022'!R$3</f>
        <v>1.0239165706109792</v>
      </c>
      <c r="F127" s="22">
        <f>('2012-2022'!F133-'2012-2022'!S$2)/'2012-2022'!S$3</f>
        <v>-0.5074717906162729</v>
      </c>
      <c r="G127" s="22">
        <f>('2012-2022'!G133-'2012-2022'!T$2)/'2012-2022'!T$3</f>
        <v>0.61361937928094934</v>
      </c>
      <c r="H127" s="22">
        <f>('2012-2022'!H133-'2012-2022'!U$2)/'2012-2022'!U$3</f>
        <v>0.67830353062951176</v>
      </c>
      <c r="I127" s="22">
        <f>('2012-2022'!I133-'2012-2022'!V$2)/'2012-2022'!V$3</f>
        <v>1.0515630376694494</v>
      </c>
      <c r="J127" s="22">
        <f>('2012-2022'!J133-'2012-2022'!W$2)/'2012-2022'!W$3</f>
        <v>0.21532675257089759</v>
      </c>
      <c r="K127" s="22">
        <f>('2012-2022'!K133-'2012-2022'!X$2)/'2012-2022'!X$3</f>
        <v>9.0937566421406976E-2</v>
      </c>
      <c r="L127" s="22">
        <f>('2012-2022'!L133-'2012-2022'!Y$2)/'2012-2022'!Y$3</f>
        <v>-0.29550082313418569</v>
      </c>
      <c r="M127" s="22">
        <f>('2012-2022'!M133-'2012-2022'!Z$2)/'2012-2022'!Z$3</f>
        <v>-0.62678995728625142</v>
      </c>
      <c r="N127" s="22">
        <f>('2012-2022'!N133-'2012-2022'!AA$2)/'2012-2022'!AA$3</f>
        <v>-0.63627462642245414</v>
      </c>
      <c r="O127" s="22">
        <f>('2012-2022'!P133-'2012-2022'!AC$2)/'2012-2022'!AC$3</f>
        <v>0.16582998960982806</v>
      </c>
    </row>
    <row r="128" spans="1:15">
      <c r="A128" s="10" t="s">
        <v>15</v>
      </c>
      <c r="B128" s="11">
        <v>2013</v>
      </c>
      <c r="C128" s="14" t="s">
        <v>55</v>
      </c>
      <c r="D128" s="14" t="s">
        <v>54</v>
      </c>
      <c r="E128" s="22">
        <f>('2012-2022'!E135-'2012-2022'!R$2)/'2012-2022'!R$3</f>
        <v>-0.66704591252456347</v>
      </c>
      <c r="F128" s="22">
        <f>('2012-2022'!F135-'2012-2022'!S$2)/'2012-2022'!S$3</f>
        <v>-0.73324687594871374</v>
      </c>
      <c r="G128" s="22">
        <f>('2012-2022'!G135-'2012-2022'!T$2)/'2012-2022'!T$3</f>
        <v>-0.60387268805416161</v>
      </c>
      <c r="H128" s="22">
        <f>('2012-2022'!H135-'2012-2022'!U$2)/'2012-2022'!U$3</f>
        <v>-0.65183549642250949</v>
      </c>
      <c r="I128" s="22">
        <f>('2012-2022'!I135-'2012-2022'!V$2)/'2012-2022'!V$3</f>
        <v>-0.65861436357012237</v>
      </c>
      <c r="J128" s="22">
        <f>('2012-2022'!J135-'2012-2022'!W$2)/'2012-2022'!W$3</f>
        <v>-0.70521492650276374</v>
      </c>
      <c r="K128" s="22">
        <f>('2012-2022'!K135-'2012-2022'!X$2)/'2012-2022'!X$3</f>
        <v>-0.23221384319387647</v>
      </c>
      <c r="L128" s="22">
        <f>('2012-2022'!L135-'2012-2022'!Y$2)/'2012-2022'!Y$3</f>
        <v>-0.47020133618652687</v>
      </c>
      <c r="M128" s="22">
        <f>('2012-2022'!M135-'2012-2022'!Z$2)/'2012-2022'!Z$3</f>
        <v>0.68158975400693667</v>
      </c>
      <c r="N128" s="22">
        <f>('2012-2022'!N135-'2012-2022'!AA$2)/'2012-2022'!AA$3</f>
        <v>4.7855439757505766E-2</v>
      </c>
      <c r="O128" s="22">
        <f>('2012-2022'!P135-'2012-2022'!AC$2)/'2012-2022'!AC$3</f>
        <v>1.1914943880529685</v>
      </c>
    </row>
    <row r="129" spans="1:15">
      <c r="A129" s="10" t="s">
        <v>15</v>
      </c>
      <c r="B129" s="11">
        <v>2014</v>
      </c>
      <c r="C129" s="14" t="s">
        <v>55</v>
      </c>
      <c r="D129" s="14" t="s">
        <v>54</v>
      </c>
      <c r="E129" s="22">
        <f>('2012-2022'!E136-'2012-2022'!R$2)/'2012-2022'!R$3</f>
        <v>-0.66728769244525099</v>
      </c>
      <c r="F129" s="22">
        <f>('2012-2022'!F136-'2012-2022'!S$2)/'2012-2022'!S$3</f>
        <v>-0.24136998564245227</v>
      </c>
      <c r="G129" s="22">
        <f>('2012-2022'!G136-'2012-2022'!T$2)/'2012-2022'!T$3</f>
        <v>0.15034532790152563</v>
      </c>
      <c r="H129" s="22">
        <f>('2012-2022'!H136-'2012-2022'!U$2)/'2012-2022'!U$3</f>
        <v>-0.59289437882070917</v>
      </c>
      <c r="I129" s="22">
        <f>('2012-2022'!I136-'2012-2022'!V$2)/'2012-2022'!V$3</f>
        <v>-0.69142984102813443</v>
      </c>
      <c r="J129" s="22">
        <f>('2012-2022'!J136-'2012-2022'!W$2)/'2012-2022'!W$3</f>
        <v>-1.201319237133821</v>
      </c>
      <c r="K129" s="22">
        <f>('2012-2022'!K136-'2012-2022'!X$2)/'2012-2022'!X$3</f>
        <v>-0.44527134791256301</v>
      </c>
      <c r="L129" s="22">
        <f>('2012-2022'!L136-'2012-2022'!Y$2)/'2012-2022'!Y$3</f>
        <v>-0.56637216115034317</v>
      </c>
      <c r="M129" s="22">
        <f>('2012-2022'!M136-'2012-2022'!Z$2)/'2012-2022'!Z$3</f>
        <v>0.79696966445156547</v>
      </c>
      <c r="N129" s="22">
        <f>('2012-2022'!N136-'2012-2022'!AA$2)/'2012-2022'!AA$3</f>
        <v>-0.14077384841392374</v>
      </c>
      <c r="O129" s="22">
        <f>('2012-2022'!P136-'2012-2022'!AC$2)/'2012-2022'!AC$3</f>
        <v>0.95313784084496467</v>
      </c>
    </row>
    <row r="130" spans="1:15">
      <c r="A130" s="10" t="s">
        <v>15</v>
      </c>
      <c r="B130" s="11">
        <v>2015</v>
      </c>
      <c r="C130" s="14" t="s">
        <v>55</v>
      </c>
      <c r="D130" s="14" t="s">
        <v>54</v>
      </c>
      <c r="E130" s="22">
        <f>('2012-2022'!E137-'2012-2022'!R$2)/'2012-2022'!R$3</f>
        <v>-0.38642829981203658</v>
      </c>
      <c r="F130" s="22">
        <f>('2012-2022'!F137-'2012-2022'!S$2)/'2012-2022'!S$3</f>
        <v>-0.48863766571064848</v>
      </c>
      <c r="G130" s="22">
        <f>('2012-2022'!G137-'2012-2022'!T$2)/'2012-2022'!T$3</f>
        <v>-0.54195685402361893</v>
      </c>
      <c r="H130" s="22">
        <f>('2012-2022'!H137-'2012-2022'!U$2)/'2012-2022'!U$3</f>
        <v>-0.3253271468712397</v>
      </c>
      <c r="I130" s="22">
        <f>('2012-2022'!I137-'2012-2022'!V$2)/'2012-2022'!V$3</f>
        <v>-0.4241384819303044</v>
      </c>
      <c r="J130" s="22">
        <f>('2012-2022'!J137-'2012-2022'!W$2)/'2012-2022'!W$3</f>
        <v>-0.64566142584581177</v>
      </c>
      <c r="K130" s="22">
        <f>('2012-2022'!K137-'2012-2022'!X$2)/'2012-2022'!X$3</f>
        <v>-0.24564321799525243</v>
      </c>
      <c r="L130" s="22">
        <f>('2012-2022'!L137-'2012-2022'!Y$2)/'2012-2022'!Y$3</f>
        <v>-0.42202674851194338</v>
      </c>
      <c r="M130" s="22">
        <f>('2012-2022'!M137-'2012-2022'!Z$2)/'2012-2022'!Z$3</f>
        <v>0.47649961708635719</v>
      </c>
      <c r="N130" s="22">
        <f>('2012-2022'!N137-'2012-2022'!AA$2)/'2012-2022'!AA$3</f>
        <v>0.20989554256097673</v>
      </c>
      <c r="O130" s="22">
        <f>('2012-2022'!P137-'2012-2022'!AC$2)/'2012-2022'!AC$3</f>
        <v>1.0619418430890564</v>
      </c>
    </row>
    <row r="131" spans="1:15">
      <c r="A131" s="10" t="s">
        <v>15</v>
      </c>
      <c r="B131" s="11">
        <v>2016</v>
      </c>
      <c r="C131" s="14" t="s">
        <v>55</v>
      </c>
      <c r="D131" s="14" t="s">
        <v>54</v>
      </c>
      <c r="E131" s="22">
        <f>('2012-2022'!E138-'2012-2022'!R$2)/'2012-2022'!R$3</f>
        <v>-0.46337107697411056</v>
      </c>
      <c r="F131" s="22">
        <f>('2012-2022'!F138-'2012-2022'!S$2)/'2012-2022'!S$3</f>
        <v>-1.1569432832616169</v>
      </c>
      <c r="G131" s="22">
        <f>('2012-2022'!G138-'2012-2022'!T$2)/'2012-2022'!T$3</f>
        <v>0.3732363786323617</v>
      </c>
      <c r="H131" s="22">
        <f>('2012-2022'!H138-'2012-2022'!U$2)/'2012-2022'!U$3</f>
        <v>-0.84292056651928904</v>
      </c>
      <c r="I131" s="22">
        <f>('2012-2022'!I138-'2012-2022'!V$2)/'2012-2022'!V$3</f>
        <v>-0.26231790902608226</v>
      </c>
      <c r="J131" s="22">
        <f>('2012-2022'!J138-'2012-2022'!W$2)/'2012-2022'!W$3</f>
        <v>-0.917698171321919</v>
      </c>
      <c r="K131" s="22">
        <f>('2012-2022'!K138-'2012-2022'!X$2)/'2012-2022'!X$3</f>
        <v>-0.30263833125538037</v>
      </c>
      <c r="L131" s="22">
        <f>('2012-2022'!L138-'2012-2022'!Y$2)/'2012-2022'!Y$3</f>
        <v>-0.361063685810531</v>
      </c>
      <c r="M131" s="22">
        <f>('2012-2022'!M138-'2012-2022'!Z$2)/'2012-2022'!Z$3</f>
        <v>0.86939789724869176</v>
      </c>
      <c r="N131" s="22">
        <f>('2012-2022'!N138-'2012-2022'!AA$2)/'2012-2022'!AA$3</f>
        <v>0.31024308073457685</v>
      </c>
      <c r="O131" s="22">
        <f>('2012-2022'!P138-'2012-2022'!AC$2)/'2012-2022'!AC$3</f>
        <v>1.1226701407140551</v>
      </c>
    </row>
    <row r="132" spans="1:15">
      <c r="A132" s="10" t="s">
        <v>15</v>
      </c>
      <c r="B132" s="11">
        <v>2017</v>
      </c>
      <c r="C132" s="14" t="s">
        <v>55</v>
      </c>
      <c r="D132" s="14" t="s">
        <v>54</v>
      </c>
      <c r="E132" s="22">
        <f>('2012-2022'!E139-'2012-2022'!R$2)/'2012-2022'!R$3</f>
        <v>-0.34358886498311464</v>
      </c>
      <c r="F132" s="22">
        <f>('2012-2022'!F139-'2012-2022'!S$2)/'2012-2022'!S$3</f>
        <v>0.3587216316979005</v>
      </c>
      <c r="G132" s="22">
        <f>('2012-2022'!G139-'2012-2022'!T$2)/'2012-2022'!T$3</f>
        <v>-0.40890497046502822</v>
      </c>
      <c r="H132" s="22">
        <f>('2012-2022'!H139-'2012-2022'!U$2)/'2012-2022'!U$3</f>
        <v>4.5892838144017338E-2</v>
      </c>
      <c r="I132" s="22">
        <f>('2012-2022'!I139-'2012-2022'!V$2)/'2012-2022'!V$3</f>
        <v>-0.56141741912982845</v>
      </c>
      <c r="J132" s="22">
        <f>('2012-2022'!J139-'2012-2022'!W$2)/'2012-2022'!W$3</f>
        <v>-0.91472711454326139</v>
      </c>
      <c r="K132" s="22">
        <f>('2012-2022'!K139-'2012-2022'!X$2)/'2012-2022'!X$3</f>
        <v>-0.43949961401230425</v>
      </c>
      <c r="L132" s="22">
        <f>('2012-2022'!L139-'2012-2022'!Y$2)/'2012-2022'!Y$3</f>
        <v>-0.50294258542484227</v>
      </c>
      <c r="M132" s="22">
        <f>('2012-2022'!M139-'2012-2022'!Z$2)/'2012-2022'!Z$3</f>
        <v>0.78512195636195348</v>
      </c>
      <c r="N132" s="22">
        <f>('2012-2022'!N139-'2012-2022'!AA$2)/'2012-2022'!AA$3</f>
        <v>0.61957960016042046</v>
      </c>
      <c r="O132" s="22">
        <f>('2012-2022'!P139-'2012-2022'!AC$2)/'2012-2022'!AC$3</f>
        <v>1.0210089949050842</v>
      </c>
    </row>
    <row r="133" spans="1:15">
      <c r="A133" s="10" t="s">
        <v>15</v>
      </c>
      <c r="B133" s="11">
        <v>2018</v>
      </c>
      <c r="C133" s="14" t="s">
        <v>55</v>
      </c>
      <c r="D133" s="14" t="s">
        <v>54</v>
      </c>
      <c r="E133" s="22">
        <f>('2012-2022'!E140-'2012-2022'!R$2)/'2012-2022'!R$3</f>
        <v>-0.40560407557170408</v>
      </c>
      <c r="F133" s="22">
        <f>('2012-2022'!F140-'2012-2022'!S$2)/'2012-2022'!S$3</f>
        <v>-1.428175245142288</v>
      </c>
      <c r="G133" s="22">
        <f>('2012-2022'!G140-'2012-2022'!T$2)/'2012-2022'!T$3</f>
        <v>-2.1892129489195444E-2</v>
      </c>
      <c r="H133" s="22">
        <f>('2012-2022'!H140-'2012-2022'!U$2)/'2012-2022'!U$3</f>
        <v>-0.91100364723707139</v>
      </c>
      <c r="I133" s="22">
        <f>('2012-2022'!I140-'2012-2022'!V$2)/'2012-2022'!V$3</f>
        <v>-0.1436287928029725</v>
      </c>
      <c r="J133" s="22">
        <f>('2012-2022'!J140-'2012-2022'!W$2)/'2012-2022'!W$3</f>
        <v>-0.65029795877604035</v>
      </c>
      <c r="K133" s="22">
        <f>('2012-2022'!K140-'2012-2022'!X$2)/'2012-2022'!X$3</f>
        <v>-0.1505898126469879</v>
      </c>
      <c r="L133" s="22">
        <f>('2012-2022'!L140-'2012-2022'!Y$2)/'2012-2022'!Y$3</f>
        <v>-0.51301297981540317</v>
      </c>
      <c r="M133" s="22">
        <f>('2012-2022'!M140-'2012-2022'!Z$2)/'2012-2022'!Z$3</f>
        <v>0.80063495118950145</v>
      </c>
      <c r="N133" s="22">
        <f>('2012-2022'!N140-'2012-2022'!AA$2)/'2012-2022'!AA$3</f>
        <v>0.63410847574397233</v>
      </c>
      <c r="O133" s="22">
        <f>('2012-2022'!P140-'2012-2022'!AC$2)/'2012-2022'!AC$3</f>
        <v>1.1406225156969483</v>
      </c>
    </row>
    <row r="134" spans="1:15">
      <c r="A134" s="10" t="s">
        <v>15</v>
      </c>
      <c r="B134" s="11">
        <v>2019</v>
      </c>
      <c r="C134" s="14" t="s">
        <v>55</v>
      </c>
      <c r="D134" s="14" t="s">
        <v>54</v>
      </c>
      <c r="E134" s="22">
        <f>('2012-2022'!E141-'2012-2022'!R$2)/'2012-2022'!R$3</f>
        <v>-0.32901062667889081</v>
      </c>
      <c r="F134" s="22">
        <f>('2012-2022'!F141-'2012-2022'!S$2)/'2012-2022'!S$3</f>
        <v>-0.77925384821155597</v>
      </c>
      <c r="G134" s="22">
        <f>('2012-2022'!G141-'2012-2022'!T$2)/'2012-2022'!T$3</f>
        <v>-2.6244357742187856E-2</v>
      </c>
      <c r="H134" s="22">
        <f>('2012-2022'!H141-'2012-2022'!U$2)/'2012-2022'!U$3</f>
        <v>-0.49989169345107265</v>
      </c>
      <c r="I134" s="22">
        <f>('2012-2022'!I141-'2012-2022'!V$2)/'2012-2022'!V$3</f>
        <v>-0.25467470652492891</v>
      </c>
      <c r="J134" s="22">
        <f>('2012-2022'!J141-'2012-2022'!W$2)/'2012-2022'!W$3</f>
        <v>-0.25210057127248792</v>
      </c>
      <c r="K134" s="22">
        <f>('2012-2022'!K141-'2012-2022'!X$2)/'2012-2022'!X$3</f>
        <v>-0.29606875865632026</v>
      </c>
      <c r="L134" s="22">
        <f>('2012-2022'!L141-'2012-2022'!Y$2)/'2012-2022'!Y$3</f>
        <v>0.37188698637222395</v>
      </c>
      <c r="M134" s="22">
        <f>('2012-2022'!M141-'2012-2022'!Z$2)/'2012-2022'!Z$3</f>
        <v>0.55565173170304527</v>
      </c>
      <c r="N134" s="22">
        <f>('2012-2022'!N141-'2012-2022'!AA$2)/'2012-2022'!AA$3</f>
        <v>0.82114518955307192</v>
      </c>
      <c r="O134" s="22">
        <f>('2012-2022'!P141-'2012-2022'!AC$2)/'2012-2022'!AC$3</f>
        <v>1.1396503127784801</v>
      </c>
    </row>
    <row r="135" spans="1:15">
      <c r="A135" s="10" t="s">
        <v>15</v>
      </c>
      <c r="B135" s="11">
        <v>2020</v>
      </c>
      <c r="C135" s="14" t="s">
        <v>55</v>
      </c>
      <c r="D135" s="14" t="s">
        <v>54</v>
      </c>
      <c r="E135" s="22">
        <f>('2012-2022'!E142-'2012-2022'!R$2)/'2012-2022'!R$3</f>
        <v>-0.61841185201121562</v>
      </c>
      <c r="F135" s="22">
        <f>('2012-2022'!F142-'2012-2022'!S$2)/'2012-2022'!S$3</f>
        <v>-0.21554460468253892</v>
      </c>
      <c r="G135" s="22">
        <f>('2012-2022'!G142-'2012-2022'!T$2)/'2012-2022'!T$3</f>
        <v>-0.24198376966933788</v>
      </c>
      <c r="H135" s="22">
        <f>('2012-2022'!H142-'2012-2022'!U$2)/'2012-2022'!U$3</f>
        <v>-0.42437944731551269</v>
      </c>
      <c r="I135" s="22">
        <f>('2012-2022'!I142-'2012-2022'!V$2)/'2012-2022'!V$3</f>
        <v>-0.71749626724431459</v>
      </c>
      <c r="J135" s="22">
        <f>('2012-2022'!J142-'2012-2022'!W$2)/'2012-2022'!W$3</f>
        <v>-0.49176351347335612</v>
      </c>
      <c r="K135" s="22">
        <f>('2012-2022'!K142-'2012-2022'!X$2)/'2012-2022'!X$3</f>
        <v>-0.59130952661666636</v>
      </c>
      <c r="L135" s="22">
        <f>('2012-2022'!L142-'2012-2022'!Y$2)/'2012-2022'!Y$3</f>
        <v>0.32983372588522347</v>
      </c>
      <c r="M135" s="22">
        <f>('2012-2022'!M142-'2012-2022'!Z$2)/'2012-2022'!Z$3</f>
        <v>0.58935964047378853</v>
      </c>
      <c r="N135" s="22">
        <f>('2012-2022'!N142-'2012-2022'!AA$2)/'2012-2022'!AA$3</f>
        <v>-0.17919894589262814</v>
      </c>
      <c r="O135" s="22">
        <f>('2012-2022'!P142-'2012-2022'!AC$2)/'2012-2022'!AC$3</f>
        <v>1.2240939246828517</v>
      </c>
    </row>
    <row r="136" spans="1:15">
      <c r="A136" s="10" t="s">
        <v>15</v>
      </c>
      <c r="B136" s="11">
        <v>2021</v>
      </c>
      <c r="C136" s="14" t="s">
        <v>55</v>
      </c>
      <c r="D136" s="14" t="s">
        <v>54</v>
      </c>
      <c r="E136" s="22">
        <f>('2012-2022'!E143-'2012-2022'!R$2)/'2012-2022'!R$3</f>
        <v>-0.5664856977800008</v>
      </c>
      <c r="F136" s="22">
        <f>('2012-2022'!F143-'2012-2022'!S$2)/'2012-2022'!S$3</f>
        <v>0.5841871217818676</v>
      </c>
      <c r="G136" s="22">
        <f>('2012-2022'!G143-'2012-2022'!T$2)/'2012-2022'!T$3</f>
        <v>-0.10561384093400079</v>
      </c>
      <c r="H136" s="22">
        <f>('2012-2022'!H143-'2012-2022'!U$2)/'2012-2022'!U$3</f>
        <v>-0.11374389115003962</v>
      </c>
      <c r="I136" s="22">
        <f>('2012-2022'!I143-'2012-2022'!V$2)/'2012-2022'!V$3</f>
        <v>-0.7994655920683662</v>
      </c>
      <c r="J136" s="22">
        <f>('2012-2022'!J143-'2012-2022'!W$2)/'2012-2022'!W$3</f>
        <v>0.13133153762725788</v>
      </c>
      <c r="K136" s="22">
        <f>('2012-2022'!K143-'2012-2022'!X$2)/'2012-2022'!X$3</f>
        <v>-0.34884659080316111</v>
      </c>
      <c r="L136" s="22">
        <f>('2012-2022'!L143-'2012-2022'!Y$2)/'2012-2022'!Y$3</f>
        <v>0.10056323553492474</v>
      </c>
      <c r="M136" s="22">
        <f>('2012-2022'!M143-'2012-2022'!Z$2)/'2012-2022'!Z$3</f>
        <v>0.58135124069980648</v>
      </c>
      <c r="N136" s="22">
        <f>('2012-2022'!N143-'2012-2022'!AA$2)/'2012-2022'!AA$3</f>
        <v>0.5762473744371962</v>
      </c>
      <c r="O136" s="22">
        <f>('2012-2022'!P143-'2012-2022'!AC$2)/'2012-2022'!AC$3</f>
        <v>1.2928448764959062</v>
      </c>
    </row>
    <row r="137" spans="1:15">
      <c r="A137" s="10" t="s">
        <v>15</v>
      </c>
      <c r="B137" s="11">
        <v>2022</v>
      </c>
      <c r="C137" s="14" t="s">
        <v>55</v>
      </c>
      <c r="D137" s="14" t="s">
        <v>54</v>
      </c>
      <c r="E137" s="22">
        <f>('2012-2022'!E144-'2012-2022'!R$2)/'2012-2022'!R$3</f>
        <v>-1.0402094039540508</v>
      </c>
      <c r="F137" s="22">
        <f>('2012-2022'!F144-'2012-2022'!S$2)/'2012-2022'!S$3</f>
        <v>-0.67651479227208633</v>
      </c>
      <c r="G137" s="22">
        <f>('2012-2022'!G144-'2012-2022'!T$2)/'2012-2022'!T$3</f>
        <v>-1.4473851905829331</v>
      </c>
      <c r="H137" s="22">
        <f>('2012-2022'!H144-'2012-2022'!U$2)/'2012-2022'!U$3</f>
        <v>-0.64603451572022841</v>
      </c>
      <c r="I137" s="22">
        <f>('2012-2022'!I144-'2012-2022'!V$2)/'2012-2022'!V$3</f>
        <v>-1.2091241057122144</v>
      </c>
      <c r="J137" s="22">
        <f>('2012-2022'!J144-'2012-2022'!W$2)/'2012-2022'!W$3</f>
        <v>-0.11774143915471254</v>
      </c>
      <c r="K137" s="22">
        <f>('2012-2022'!K144-'2012-2022'!X$2)/'2012-2022'!X$3</f>
        <v>-0.2985152863003479</v>
      </c>
      <c r="L137" s="22">
        <f>('2012-2022'!L144-'2012-2022'!Y$2)/'2012-2022'!Y$3</f>
        <v>-3.7597806857198372E-2</v>
      </c>
      <c r="M137" s="22">
        <f>('2012-2022'!M144-'2012-2022'!Z$2)/'2012-2022'!Z$3</f>
        <v>0.3382629854332081</v>
      </c>
      <c r="N137" s="22">
        <f>('2012-2022'!N144-'2012-2022'!AA$2)/'2012-2022'!AA$3</f>
        <v>0.47137850135774678</v>
      </c>
      <c r="O137" s="22">
        <f>('2012-2022'!P144-'2012-2022'!AC$2)/'2012-2022'!AC$3</f>
        <v>1.3074904037658188</v>
      </c>
    </row>
    <row r="138" spans="1:15">
      <c r="A138" s="10" t="s">
        <v>17</v>
      </c>
      <c r="B138" s="11">
        <v>2012</v>
      </c>
      <c r="C138" s="14" t="s">
        <v>55</v>
      </c>
      <c r="D138" s="14" t="s">
        <v>54</v>
      </c>
      <c r="E138" s="22">
        <f>('2012-2022'!E145-'2012-2022'!R$2)/'2012-2022'!R$3</f>
        <v>-0.52644972538888746</v>
      </c>
      <c r="F138" s="22">
        <f>('2012-2022'!F145-'2012-2022'!S$2)/'2012-2022'!S$3</f>
        <v>-0.77554423059652688</v>
      </c>
      <c r="G138" s="22">
        <f>('2012-2022'!G145-'2012-2022'!T$2)/'2012-2022'!T$3</f>
        <v>-1.2974879195707614</v>
      </c>
      <c r="H138" s="22">
        <f>('2012-2022'!H145-'2012-2022'!U$2)/'2012-2022'!U$3</f>
        <v>-0.54979096494883017</v>
      </c>
      <c r="I138" s="22">
        <f>('2012-2022'!I145-'2012-2022'!V$2)/'2012-2022'!V$3</f>
        <v>-0.46253891669822572</v>
      </c>
      <c r="J138" s="22">
        <f>('2012-2022'!J145-'2012-2022'!W$2)/'2012-2022'!W$3</f>
        <v>-0.78997966130953312</v>
      </c>
      <c r="K138" s="22">
        <f>('2012-2022'!K145-'2012-2022'!X$2)/'2012-2022'!X$3</f>
        <v>-0.927965723289773</v>
      </c>
      <c r="L138" s="22">
        <f>('2012-2022'!L145-'2012-2022'!Y$2)/'2012-2022'!Y$3</f>
        <v>-0.5375490130277466</v>
      </c>
      <c r="M138" s="22">
        <f>('2012-2022'!M145-'2012-2022'!Z$2)/'2012-2022'!Z$3</f>
        <v>-0.39276856239028579</v>
      </c>
      <c r="N138" s="22">
        <f>('2012-2022'!N145-'2012-2022'!AA$2)/'2012-2022'!AA$3</f>
        <v>-0.64677125782193712</v>
      </c>
      <c r="O138" s="22">
        <f>('2012-2022'!P145-'2012-2022'!AC$2)/'2012-2022'!AC$3</f>
        <v>1.1741860833599129</v>
      </c>
    </row>
    <row r="139" spans="1:15">
      <c r="A139" s="10" t="s">
        <v>17</v>
      </c>
      <c r="B139" s="11">
        <v>2013</v>
      </c>
      <c r="C139" s="14" t="s">
        <v>55</v>
      </c>
      <c r="D139" s="14" t="s">
        <v>54</v>
      </c>
      <c r="E139" s="22">
        <f>('2012-2022'!E146-'2012-2022'!R$2)/'2012-2022'!R$3</f>
        <v>-0.40847261592880307</v>
      </c>
      <c r="F139" s="22">
        <f>('2012-2022'!F146-'2012-2022'!S$2)/'2012-2022'!S$3</f>
        <v>-0.55717877801198634</v>
      </c>
      <c r="G139" s="22">
        <f>('2012-2022'!G146-'2012-2022'!T$2)/'2012-2022'!T$3</f>
        <v>-0.5224647994297994</v>
      </c>
      <c r="H139" s="22">
        <f>('2012-2022'!H146-'2012-2022'!U$2)/'2012-2022'!U$3</f>
        <v>-0.52357665237970563</v>
      </c>
      <c r="I139" s="22">
        <f>('2012-2022'!I146-'2012-2022'!V$2)/'2012-2022'!V$3</f>
        <v>-0.2925412428994798</v>
      </c>
      <c r="J139" s="22">
        <f>('2012-2022'!J146-'2012-2022'!W$2)/'2012-2022'!W$3</f>
        <v>-0.7828188928340849</v>
      </c>
      <c r="K139" s="22">
        <f>('2012-2022'!K146-'2012-2022'!X$2)/'2012-2022'!X$3</f>
        <v>-0.91340987683219577</v>
      </c>
      <c r="L139" s="22">
        <f>('2012-2022'!L146-'2012-2022'!Y$2)/'2012-2022'!Y$3</f>
        <v>-0.56493997493425785</v>
      </c>
      <c r="M139" s="22">
        <f>('2012-2022'!M146-'2012-2022'!Z$2)/'2012-2022'!Z$3</f>
        <v>-0.17282568831061293</v>
      </c>
      <c r="N139" s="22">
        <f>('2012-2022'!N146-'2012-2022'!AA$2)/'2012-2022'!AA$3</f>
        <v>-0.75454549487690259</v>
      </c>
      <c r="O139" s="22">
        <f>('2012-2022'!P146-'2012-2022'!AC$2)/'2012-2022'!AC$3</f>
        <v>1.172523167544242</v>
      </c>
    </row>
    <row r="140" spans="1:15">
      <c r="A140" s="10" t="s">
        <v>17</v>
      </c>
      <c r="B140" s="11">
        <v>2014</v>
      </c>
      <c r="C140" s="14" t="s">
        <v>55</v>
      </c>
      <c r="D140" s="14" t="s">
        <v>54</v>
      </c>
      <c r="E140" s="22">
        <f>('2012-2022'!E147-'2012-2022'!R$2)/'2012-2022'!R$3</f>
        <v>-0.27804654857057109</v>
      </c>
      <c r="F140" s="22">
        <f>('2012-2022'!F147-'2012-2022'!S$2)/'2012-2022'!S$3</f>
        <v>0.67711091602741458</v>
      </c>
      <c r="G140" s="22">
        <f>('2012-2022'!G147-'2012-2022'!T$2)/'2012-2022'!T$3</f>
        <v>-1.2676238949416434</v>
      </c>
      <c r="H140" s="22">
        <f>('2012-2022'!H147-'2012-2022'!U$2)/'2012-2022'!U$3</f>
        <v>0.2249349334784756</v>
      </c>
      <c r="I140" s="22">
        <f>('2012-2022'!I147-'2012-2022'!V$2)/'2012-2022'!V$3</f>
        <v>-0.58411192008815804</v>
      </c>
      <c r="J140" s="22">
        <f>('2012-2022'!J147-'2012-2022'!W$2)/'2012-2022'!W$3</f>
        <v>-0.61987715306584912</v>
      </c>
      <c r="K140" s="22">
        <f>('2012-2022'!K147-'2012-2022'!X$2)/'2012-2022'!X$3</f>
        <v>-0.87312798606594988</v>
      </c>
      <c r="L140" s="22">
        <f>('2012-2022'!L147-'2012-2022'!Y$2)/'2012-2022'!Y$3</f>
        <v>-0.65625593654842884</v>
      </c>
      <c r="M140" s="22">
        <f>('2012-2022'!M147-'2012-2022'!Z$2)/'2012-2022'!Z$3</f>
        <v>-0.43702841470119164</v>
      </c>
      <c r="N140" s="22">
        <f>('2012-2022'!N147-'2012-2022'!AA$2)/'2012-2022'!AA$3</f>
        <v>4.6701491422259878E-2</v>
      </c>
      <c r="O140" s="22">
        <f>('2012-2022'!P147-'2012-2022'!AC$2)/'2012-2022'!AC$3</f>
        <v>1.0511291815084427</v>
      </c>
    </row>
    <row r="141" spans="1:15">
      <c r="A141" s="10" t="s">
        <v>17</v>
      </c>
      <c r="B141" s="11">
        <v>2015</v>
      </c>
      <c r="C141" s="14" t="s">
        <v>55</v>
      </c>
      <c r="D141" s="14" t="s">
        <v>54</v>
      </c>
      <c r="E141" s="22">
        <f>('2012-2022'!E148-'2012-2022'!R$2)/'2012-2022'!R$3</f>
        <v>-0.69888373035105966</v>
      </c>
      <c r="F141" s="22">
        <f>('2012-2022'!F148-'2012-2022'!S$2)/'2012-2022'!S$3</f>
        <v>-7.4952867242590412E-2</v>
      </c>
      <c r="G141" s="22">
        <f>('2012-2022'!G148-'2012-2022'!T$2)/'2012-2022'!T$3</f>
        <v>-0.60338948091292266</v>
      </c>
      <c r="H141" s="22">
        <f>('2012-2022'!H148-'2012-2022'!U$2)/'2012-2022'!U$3</f>
        <v>-0.56639688743355032</v>
      </c>
      <c r="I141" s="22">
        <f>('2012-2022'!I148-'2012-2022'!V$2)/'2012-2022'!V$3</f>
        <v>-0.7293448682405318</v>
      </c>
      <c r="J141" s="22">
        <f>('2012-2022'!J148-'2012-2022'!W$2)/'2012-2022'!W$3</f>
        <v>-0.94180888236466676</v>
      </c>
      <c r="K141" s="22">
        <f>('2012-2022'!K148-'2012-2022'!X$2)/'2012-2022'!X$3</f>
        <v>-0.85444071595214321</v>
      </c>
      <c r="L141" s="22">
        <f>('2012-2022'!L148-'2012-2022'!Y$2)/'2012-2022'!Y$3</f>
        <v>-0.74680068724772941</v>
      </c>
      <c r="M141" s="22">
        <f>('2012-2022'!M148-'2012-2022'!Z$2)/'2012-2022'!Z$3</f>
        <v>-0.49368379370597154</v>
      </c>
      <c r="N141" s="22">
        <f>('2012-2022'!N148-'2012-2022'!AA$2)/'2012-2022'!AA$3</f>
        <v>0.22154307967376988</v>
      </c>
      <c r="O141" s="22">
        <f>('2012-2022'!P148-'2012-2022'!AC$2)/'2012-2022'!AC$3</f>
        <v>1.2050822219111297</v>
      </c>
    </row>
    <row r="142" spans="1:15">
      <c r="A142" s="10" t="s">
        <v>17</v>
      </c>
      <c r="B142" s="11">
        <v>2016</v>
      </c>
      <c r="C142" s="14" t="s">
        <v>55</v>
      </c>
      <c r="D142" s="14" t="s">
        <v>54</v>
      </c>
      <c r="E142" s="22">
        <f>('2012-2022'!E149-'2012-2022'!R$2)/'2012-2022'!R$3</f>
        <v>0.25869793617302678</v>
      </c>
      <c r="F142" s="22">
        <f>('2012-2022'!F149-'2012-2022'!S$2)/'2012-2022'!S$3</f>
        <v>1.5289362837127387</v>
      </c>
      <c r="G142" s="22">
        <f>('2012-2022'!G149-'2012-2022'!T$2)/'2012-2022'!T$3</f>
        <v>-0.99638742392930224</v>
      </c>
      <c r="H142" s="22">
        <f>('2012-2022'!H149-'2012-2022'!U$2)/'2012-2022'!U$3</f>
        <v>1.0228253679589903</v>
      </c>
      <c r="I142" s="22">
        <f>('2012-2022'!I149-'2012-2022'!V$2)/'2012-2022'!V$3</f>
        <v>-0.25878125040658412</v>
      </c>
      <c r="J142" s="22">
        <f>('2012-2022'!J149-'2012-2022'!W$2)/'2012-2022'!W$3</f>
        <v>-0.88733584854019898</v>
      </c>
      <c r="K142" s="22">
        <f>('2012-2022'!K149-'2012-2022'!X$2)/'2012-2022'!X$3</f>
        <v>-0.86986474511557965</v>
      </c>
      <c r="L142" s="22">
        <f>('2012-2022'!L149-'2012-2022'!Y$2)/'2012-2022'!Y$3</f>
        <v>-0.56389623947978784</v>
      </c>
      <c r="M142" s="22">
        <f>('2012-2022'!M149-'2012-2022'!Z$2)/'2012-2022'!Z$3</f>
        <v>-0.81339324764762533</v>
      </c>
      <c r="N142" s="22">
        <f>('2012-2022'!N149-'2012-2022'!AA$2)/'2012-2022'!AA$3</f>
        <v>0.58769734201663881</v>
      </c>
      <c r="O142" s="22">
        <f>('2012-2022'!P149-'2012-2022'!AC$2)/'2012-2022'!AC$3</f>
        <v>1.420267450963931</v>
      </c>
    </row>
    <row r="143" spans="1:15">
      <c r="A143" s="10" t="s">
        <v>17</v>
      </c>
      <c r="B143" s="11">
        <v>2017</v>
      </c>
      <c r="C143" s="14" t="s">
        <v>55</v>
      </c>
      <c r="D143" s="14" t="s">
        <v>54</v>
      </c>
      <c r="E143" s="22">
        <f>('2012-2022'!E150-'2012-2022'!R$2)/'2012-2022'!R$3</f>
        <v>-4.0016959070134105E-2</v>
      </c>
      <c r="F143" s="22">
        <f>('2012-2022'!F150-'2012-2022'!S$2)/'2012-2022'!S$3</f>
        <v>0.22577350427136336</v>
      </c>
      <c r="G143" s="22">
        <f>('2012-2022'!G150-'2012-2022'!T$2)/'2012-2022'!T$3</f>
        <v>-8.0558295865253204E-2</v>
      </c>
      <c r="H143" s="22">
        <f>('2012-2022'!H150-'2012-2022'!U$2)/'2012-2022'!U$3</f>
        <v>-1.7825171145862604E-2</v>
      </c>
      <c r="I143" s="22">
        <f>('2012-2022'!I150-'2012-2022'!V$2)/'2012-2022'!V$3</f>
        <v>-4.0108479433579362E-2</v>
      </c>
      <c r="J143" s="22">
        <f>('2012-2022'!J150-'2012-2022'!W$2)/'2012-2022'!W$3</f>
        <v>-0.58922553293602797</v>
      </c>
      <c r="K143" s="22">
        <f>('2012-2022'!K150-'2012-2022'!X$2)/'2012-2022'!X$3</f>
        <v>-0.90409677585994397</v>
      </c>
      <c r="L143" s="22">
        <f>('2012-2022'!L150-'2012-2022'!Y$2)/'2012-2022'!Y$3</f>
        <v>-0.39708111325198064</v>
      </c>
      <c r="M143" s="22">
        <f>('2012-2022'!M150-'2012-2022'!Z$2)/'2012-2022'!Z$3</f>
        <v>-1.0362721459694102</v>
      </c>
      <c r="N143" s="22">
        <f>('2012-2022'!N150-'2012-2022'!AA$2)/'2012-2022'!AA$3</f>
        <v>1.1991253605774073</v>
      </c>
      <c r="O143" s="22">
        <f>('2012-2022'!P150-'2012-2022'!AC$2)/'2012-2022'!AC$3</f>
        <v>1.4348071208877491</v>
      </c>
    </row>
    <row r="144" spans="1:15">
      <c r="A144" s="10" t="s">
        <v>17</v>
      </c>
      <c r="B144" s="11">
        <v>2018</v>
      </c>
      <c r="C144" s="14" t="s">
        <v>55</v>
      </c>
      <c r="D144" s="14" t="s">
        <v>54</v>
      </c>
      <c r="E144" s="22">
        <f>('2012-2022'!E151-'2012-2022'!R$2)/'2012-2022'!R$3</f>
        <v>0.44127243043176911</v>
      </c>
      <c r="F144" s="22">
        <f>('2012-2022'!F151-'2012-2022'!S$2)/'2012-2022'!S$3</f>
        <v>0.60019735511839156</v>
      </c>
      <c r="G144" s="22">
        <f>('2012-2022'!G151-'2012-2022'!T$2)/'2012-2022'!T$3</f>
        <v>-0.28286995049918789</v>
      </c>
      <c r="H144" s="22">
        <f>('2012-2022'!H151-'2012-2022'!U$2)/'2012-2022'!U$3</f>
        <v>0.63041228826342688</v>
      </c>
      <c r="I144" s="22">
        <f>('2012-2022'!I151-'2012-2022'!V$2)/'2012-2022'!V$3</f>
        <v>0.29760061846290231</v>
      </c>
      <c r="J144" s="22">
        <f>('2012-2022'!J151-'2012-2022'!W$2)/'2012-2022'!W$3</f>
        <v>-0.46215641501574006</v>
      </c>
      <c r="K144" s="22">
        <f>('2012-2022'!K151-'2012-2022'!X$2)/'2012-2022'!X$3</f>
        <v>-0.86913289639278379</v>
      </c>
      <c r="L144" s="22">
        <f>('2012-2022'!L151-'2012-2022'!Y$2)/'2012-2022'!Y$3</f>
        <v>-0.45584410617637178</v>
      </c>
      <c r="M144" s="22">
        <f>('2012-2022'!M151-'2012-2022'!Z$2)/'2012-2022'!Z$3</f>
        <v>-0.8379161517993976</v>
      </c>
      <c r="N144" s="22">
        <f>('2012-2022'!N151-'2012-2022'!AA$2)/'2012-2022'!AA$3</f>
        <v>1.3630027953797303</v>
      </c>
      <c r="O144" s="22">
        <f>('2012-2022'!P151-'2012-2022'!AC$2)/'2012-2022'!AC$3</f>
        <v>1.3949273144269236</v>
      </c>
    </row>
    <row r="145" spans="1:15">
      <c r="A145" s="10" t="s">
        <v>17</v>
      </c>
      <c r="B145" s="11">
        <v>2019</v>
      </c>
      <c r="C145" s="14" t="s">
        <v>55</v>
      </c>
      <c r="D145" s="14" t="s">
        <v>54</v>
      </c>
      <c r="E145" s="22">
        <f>('2012-2022'!E152-'2012-2022'!R$2)/'2012-2022'!R$3</f>
        <v>0.17929977376391415</v>
      </c>
      <c r="F145" s="22">
        <f>('2012-2022'!F152-'2012-2022'!S$2)/'2012-2022'!S$3</f>
        <v>0.77635157437945601</v>
      </c>
      <c r="G145" s="22">
        <f>('2012-2022'!G152-'2012-2022'!T$2)/'2012-2022'!T$3</f>
        <v>-2.0008646023345501E-2</v>
      </c>
      <c r="H145" s="22">
        <f>('2012-2022'!H152-'2012-2022'!U$2)/'2012-2022'!U$3</f>
        <v>0.39515601860191518</v>
      </c>
      <c r="I145" s="22">
        <f>('2012-2022'!I152-'2012-2022'!V$2)/'2012-2022'!V$3</f>
        <v>3.4099017516302364E-2</v>
      </c>
      <c r="J145" s="22">
        <f>('2012-2022'!J152-'2012-2022'!W$2)/'2012-2022'!W$3</f>
        <v>-0.82263124369288687</v>
      </c>
      <c r="K145" s="22">
        <f>('2012-2022'!K152-'2012-2022'!X$2)/'2012-2022'!X$3</f>
        <v>-0.76924687732360675</v>
      </c>
      <c r="L145" s="22">
        <f>('2012-2022'!L152-'2012-2022'!Y$2)/'2012-2022'!Y$3</f>
        <v>0.77657957308981607</v>
      </c>
      <c r="M145" s="22">
        <f>('2012-2022'!M152-'2012-2022'!Z$2)/'2012-2022'!Z$3</f>
        <v>-1.6410603186259465</v>
      </c>
      <c r="N145" s="22">
        <f>('2012-2022'!N152-'2012-2022'!AA$2)/'2012-2022'!AA$3</f>
        <v>1.2296109970731066</v>
      </c>
      <c r="O145" s="22">
        <f>('2012-2022'!P152-'2012-2022'!AC$2)/'2012-2022'!AC$3</f>
        <v>1.3021730208049205</v>
      </c>
    </row>
    <row r="146" spans="1:15">
      <c r="A146" s="10" t="s">
        <v>17</v>
      </c>
      <c r="B146" s="11">
        <v>2020</v>
      </c>
      <c r="C146" s="14" t="s">
        <v>55</v>
      </c>
      <c r="D146" s="14" t="s">
        <v>54</v>
      </c>
      <c r="E146" s="22">
        <f>('2012-2022'!E153-'2012-2022'!R$2)/'2012-2022'!R$3</f>
        <v>9.2632154273406639E-2</v>
      </c>
      <c r="F146" s="22">
        <f>('2012-2022'!F153-'2012-2022'!S$2)/'2012-2022'!S$3</f>
        <v>-7.2780152369823672E-2</v>
      </c>
      <c r="G146" s="22">
        <f>('2012-2022'!G153-'2012-2022'!T$2)/'2012-2022'!T$3</f>
        <v>-0.16266267129799308</v>
      </c>
      <c r="H146" s="22">
        <f>('2012-2022'!H153-'2012-2022'!U$2)/'2012-2022'!U$3</f>
        <v>5.4911300413905805E-3</v>
      </c>
      <c r="I146" s="22">
        <f>('2012-2022'!I153-'2012-2022'!V$2)/'2012-2022'!V$3</f>
        <v>0.14984381791700316</v>
      </c>
      <c r="J146" s="22">
        <f>('2012-2022'!J153-'2012-2022'!W$2)/'2012-2022'!W$3</f>
        <v>-0.6790005118025787</v>
      </c>
      <c r="K146" s="22">
        <f>('2012-2022'!K153-'2012-2022'!X$2)/'2012-2022'!X$3</f>
        <v>-0.3964600402909304</v>
      </c>
      <c r="L146" s="22">
        <f>('2012-2022'!L153-'2012-2022'!Y$2)/'2012-2022'!Y$3</f>
        <v>1.5207322237042298</v>
      </c>
      <c r="M146" s="22">
        <f>('2012-2022'!M153-'2012-2022'!Z$2)/'2012-2022'!Z$3</f>
        <v>-0.57481315167357694</v>
      </c>
      <c r="N146" s="22">
        <f>('2012-2022'!N153-'2012-2022'!AA$2)/'2012-2022'!AA$3</f>
        <v>0.24619606691112172</v>
      </c>
      <c r="O146" s="22">
        <f>('2012-2022'!P153-'2012-2022'!AC$2)/'2012-2022'!AC$3</f>
        <v>1.1787332975533809</v>
      </c>
    </row>
    <row r="147" spans="1:15">
      <c r="A147" s="10" t="s">
        <v>17</v>
      </c>
      <c r="B147" s="11">
        <v>2021</v>
      </c>
      <c r="C147" s="14" t="s">
        <v>55</v>
      </c>
      <c r="D147" s="14" t="s">
        <v>54</v>
      </c>
      <c r="E147" s="22">
        <f>('2012-2022'!E154-'2012-2022'!R$2)/'2012-2022'!R$3</f>
        <v>0.25615543079255437</v>
      </c>
      <c r="F147" s="22">
        <f>('2012-2022'!F154-'2012-2022'!S$2)/'2012-2022'!S$3</f>
        <v>-9.9363740019314528E-2</v>
      </c>
      <c r="G147" s="22">
        <f>('2012-2022'!G154-'2012-2022'!T$2)/'2012-2022'!T$3</f>
        <v>-0.88559760878834637</v>
      </c>
      <c r="H147" s="22">
        <f>('2012-2022'!H154-'2012-2022'!U$2)/'2012-2022'!U$3</f>
        <v>0.33684682062769788</v>
      </c>
      <c r="I147" s="22">
        <f>('2012-2022'!I154-'2012-2022'!V$2)/'2012-2022'!V$3</f>
        <v>0.19333360591592871</v>
      </c>
      <c r="J147" s="22">
        <f>('2012-2022'!J154-'2012-2022'!W$2)/'2012-2022'!W$3</f>
        <v>-0.51959078794662761</v>
      </c>
      <c r="K147" s="22">
        <f>('2012-2022'!K154-'2012-2022'!X$2)/'2012-2022'!X$3</f>
        <v>1.4836335304453869E-2</v>
      </c>
      <c r="L147" s="22">
        <f>('2012-2022'!L154-'2012-2022'!Y$2)/'2012-2022'!Y$3</f>
        <v>1.1976996021284509</v>
      </c>
      <c r="M147" s="22">
        <f>('2012-2022'!M154-'2012-2022'!Z$2)/'2012-2022'!Z$3</f>
        <v>-0.78283529133586238</v>
      </c>
      <c r="N147" s="22">
        <f>('2012-2022'!N154-'2012-2022'!AA$2)/'2012-2022'!AA$3</f>
        <v>1.5619630965882578</v>
      </c>
      <c r="O147" s="22">
        <f>('2012-2022'!P154-'2012-2022'!AC$2)/'2012-2022'!AC$3</f>
        <v>1.2536799214245042</v>
      </c>
    </row>
    <row r="148" spans="1:15">
      <c r="A148" s="10" t="s">
        <v>17</v>
      </c>
      <c r="B148" s="11">
        <v>2022</v>
      </c>
      <c r="C148" s="14" t="s">
        <v>55</v>
      </c>
      <c r="D148" s="14" t="s">
        <v>54</v>
      </c>
      <c r="E148" s="22">
        <f>('2012-2022'!E155-'2012-2022'!R$2)/'2012-2022'!R$3</f>
        <v>-1.1941893537190371</v>
      </c>
      <c r="F148" s="22">
        <f>('2012-2022'!F155-'2012-2022'!S$2)/'2012-2022'!S$3</f>
        <v>0.2860335393752631</v>
      </c>
      <c r="G148" s="22">
        <f>('2012-2022'!G155-'2012-2022'!T$2)/'2012-2022'!T$3</f>
        <v>-0.5052303800390805</v>
      </c>
      <c r="H148" s="22">
        <f>('2012-2022'!H155-'2012-2022'!U$2)/'2012-2022'!U$3</f>
        <v>-0.89195103104741535</v>
      </c>
      <c r="I148" s="22">
        <f>('2012-2022'!I155-'2012-2022'!V$2)/'2012-2022'!V$3</f>
        <v>-1.3083130913770051</v>
      </c>
      <c r="J148" s="22">
        <f>('2012-2022'!J155-'2012-2022'!W$2)/'2012-2022'!W$3</f>
        <v>0.20613244026617564</v>
      </c>
      <c r="K148" s="22">
        <f>('2012-2022'!K155-'2012-2022'!X$2)/'2012-2022'!X$3</f>
        <v>-0.97373071516614973</v>
      </c>
      <c r="L148" s="22">
        <f>('2012-2022'!L155-'2012-2022'!Y$2)/'2012-2022'!Y$3</f>
        <v>-1.0548451009891893</v>
      </c>
      <c r="M148" s="22">
        <f>('2012-2022'!M155-'2012-2022'!Z$2)/'2012-2022'!Z$3</f>
        <v>1.8151055842468233</v>
      </c>
      <c r="N148" s="22">
        <f>('2012-2022'!N155-'2012-2022'!AA$2)/'2012-2022'!AA$3</f>
        <v>-0.52553657920636276</v>
      </c>
      <c r="O148" s="22">
        <f>('2012-2022'!P155-'2012-2022'!AC$2)/'2012-2022'!AC$3</f>
        <v>1.1267231444235584</v>
      </c>
    </row>
    <row r="149" spans="1:15">
      <c r="A149" s="10" t="s">
        <v>19</v>
      </c>
      <c r="B149" s="11">
        <v>2012</v>
      </c>
      <c r="C149" s="14" t="s">
        <v>51</v>
      </c>
      <c r="D149" s="14" t="s">
        <v>54</v>
      </c>
      <c r="E149" s="22">
        <f>('2012-2022'!E156-'2012-2022'!R$2)/'2012-2022'!R$3</f>
        <v>-0.71322116844810457</v>
      </c>
      <c r="F149" s="22">
        <f>('2012-2022'!F156-'2012-2022'!S$2)/'2012-2022'!S$3</f>
        <v>-0.3476301745022331</v>
      </c>
      <c r="G149" s="22">
        <f>('2012-2022'!G156-'2012-2022'!T$2)/'2012-2022'!T$3</f>
        <v>-0.12164276704083474</v>
      </c>
      <c r="H149" s="22">
        <f>('2012-2022'!H156-'2012-2022'!U$2)/'2012-2022'!U$3</f>
        <v>-0.74318876998407901</v>
      </c>
      <c r="I149" s="22">
        <f>('2012-2022'!I156-'2012-2022'!V$2)/'2012-2022'!V$3</f>
        <v>-0.62666756441383331</v>
      </c>
      <c r="J149" s="22">
        <f>('2012-2022'!J156-'2012-2022'!W$2)/'2012-2022'!W$3</f>
        <v>-0.69983175921132523</v>
      </c>
      <c r="K149" s="22">
        <f>('2012-2022'!K156-'2012-2022'!X$2)/'2012-2022'!X$3</f>
        <v>-0.45037356648711258</v>
      </c>
      <c r="L149" s="22">
        <f>('2012-2022'!L156-'2012-2022'!Y$2)/'2012-2022'!Y$3</f>
        <v>-0.87133598576007998</v>
      </c>
      <c r="M149" s="22">
        <f>('2012-2022'!M156-'2012-2022'!Z$2)/'2012-2022'!Z$3</f>
        <v>-3.1829966568679984</v>
      </c>
      <c r="N149" s="22">
        <f>('2012-2022'!N156-'2012-2022'!AA$2)/'2012-2022'!AA$3</f>
        <v>-0.39270219611850049</v>
      </c>
      <c r="O149" s="22">
        <f>('2012-2022'!P156-'2012-2022'!AC$2)/'2012-2022'!AC$3</f>
        <v>-0.44606721029380564</v>
      </c>
    </row>
    <row r="150" spans="1:15">
      <c r="A150" s="10" t="s">
        <v>19</v>
      </c>
      <c r="B150" s="11">
        <v>2013</v>
      </c>
      <c r="C150" s="14" t="s">
        <v>51</v>
      </c>
      <c r="D150" s="14" t="s">
        <v>54</v>
      </c>
      <c r="E150" s="22">
        <f>('2012-2022'!E157-'2012-2022'!R$2)/'2012-2022'!R$3</f>
        <v>1.2059226514996033</v>
      </c>
      <c r="F150" s="22">
        <f>('2012-2022'!F157-'2012-2022'!S$2)/'2012-2022'!S$3</f>
        <v>0.72164971151183799</v>
      </c>
      <c r="G150" s="22">
        <f>('2012-2022'!G157-'2012-2022'!T$2)/'2012-2022'!T$3</f>
        <v>-7.701910942909812E-2</v>
      </c>
      <c r="H150" s="22">
        <f>('2012-2022'!H157-'2012-2022'!U$2)/'2012-2022'!U$3</f>
        <v>1.2931303896490849</v>
      </c>
      <c r="I150" s="22">
        <f>('2012-2022'!I157-'2012-2022'!V$2)/'2012-2022'!V$3</f>
        <v>1.0839407641195209</v>
      </c>
      <c r="J150" s="22">
        <f>('2012-2022'!J157-'2012-2022'!W$2)/'2012-2022'!W$3</f>
        <v>1.3018607465937653</v>
      </c>
      <c r="K150" s="22">
        <f>('2012-2022'!K157-'2012-2022'!X$2)/'2012-2022'!X$3</f>
        <v>0.94339765252316277</v>
      </c>
      <c r="L150" s="22">
        <f>('2012-2022'!L157-'2012-2022'!Y$2)/'2012-2022'!Y$3</f>
        <v>1.288194680130313</v>
      </c>
      <c r="M150" s="22">
        <f>('2012-2022'!M157-'2012-2022'!Z$2)/'2012-2022'!Z$3</f>
        <v>-1.5537725428348139</v>
      </c>
      <c r="N150" s="22">
        <f>('2012-2022'!N157-'2012-2022'!AA$2)/'2012-2022'!AA$3</f>
        <v>0.86586664835625893</v>
      </c>
      <c r="O150" s="22">
        <f>('2012-2022'!P157-'2012-2022'!AC$2)/'2012-2022'!AC$3</f>
        <v>-0.51118745628991269</v>
      </c>
    </row>
    <row r="151" spans="1:15">
      <c r="A151" s="10" t="s">
        <v>19</v>
      </c>
      <c r="B151" s="11">
        <v>2014</v>
      </c>
      <c r="C151" s="14" t="s">
        <v>51</v>
      </c>
      <c r="D151" s="14" t="s">
        <v>54</v>
      </c>
      <c r="E151" s="22">
        <f>('2012-2022'!E158-'2012-2022'!R$2)/'2012-2022'!R$3</f>
        <v>0.25927671729217455</v>
      </c>
      <c r="F151" s="22">
        <f>('2012-2022'!F158-'2012-2022'!S$2)/'2012-2022'!S$3</f>
        <v>0.12300939262668623</v>
      </c>
      <c r="G151" s="22">
        <f>('2012-2022'!G158-'2012-2022'!T$2)/'2012-2022'!T$3</f>
        <v>-0.78297185936601799</v>
      </c>
      <c r="H151" s="22">
        <f>('2012-2022'!H158-'2012-2022'!U$2)/'2012-2022'!U$3</f>
        <v>0.37085484818538311</v>
      </c>
      <c r="I151" s="22">
        <f>('2012-2022'!I158-'2012-2022'!V$2)/'2012-2022'!V$3</f>
        <v>0.18232143142626508</v>
      </c>
      <c r="J151" s="22">
        <f>('2012-2022'!J158-'2012-2022'!W$2)/'2012-2022'!W$3</f>
        <v>0.25863606376502535</v>
      </c>
      <c r="K151" s="22">
        <f>('2012-2022'!K158-'2012-2022'!X$2)/'2012-2022'!X$3</f>
        <v>0.37450347707404091</v>
      </c>
      <c r="L151" s="22">
        <f>('2012-2022'!L158-'2012-2022'!Y$2)/'2012-2022'!Y$3</f>
        <v>-0.17841565588392477</v>
      </c>
      <c r="M151" s="22">
        <f>('2012-2022'!M158-'2012-2022'!Z$2)/'2012-2022'!Z$3</f>
        <v>-3.1459145101007868</v>
      </c>
      <c r="N151" s="22">
        <f>('2012-2022'!N158-'2012-2022'!AA$2)/'2012-2022'!AA$3</f>
        <v>-9.5658317568226972E-2</v>
      </c>
      <c r="O151" s="22">
        <f>('2012-2022'!P158-'2012-2022'!AC$2)/'2012-2022'!AC$3</f>
        <v>-0.55477101265091699</v>
      </c>
    </row>
    <row r="152" spans="1:15">
      <c r="A152" s="10" t="s">
        <v>19</v>
      </c>
      <c r="B152" s="11">
        <v>2015</v>
      </c>
      <c r="C152" s="14" t="s">
        <v>51</v>
      </c>
      <c r="D152" s="14" t="s">
        <v>54</v>
      </c>
      <c r="E152" s="22">
        <f>('2012-2022'!E159-'2012-2022'!R$2)/'2012-2022'!R$3</f>
        <v>-0.186229258087833</v>
      </c>
      <c r="F152" s="22">
        <f>('2012-2022'!F159-'2012-2022'!S$2)/'2012-2022'!S$3</f>
        <v>1.4838901486009993E-4</v>
      </c>
      <c r="G152" s="22">
        <f>('2012-2022'!G159-'2012-2022'!T$2)/'2012-2022'!T$3</f>
        <v>-0.34082741103156083</v>
      </c>
      <c r="H152" s="22">
        <f>('2012-2022'!H159-'2012-2022'!U$2)/'2012-2022'!U$3</f>
        <v>-0.19622231277712851</v>
      </c>
      <c r="I152" s="22">
        <f>('2012-2022'!I159-'2012-2022'!V$2)/'2012-2022'!V$3</f>
        <v>-0.14721539745705978</v>
      </c>
      <c r="J152" s="22">
        <f>('2012-2022'!J159-'2012-2022'!W$2)/'2012-2022'!W$3</f>
        <v>-0.17216118817211629</v>
      </c>
      <c r="K152" s="22">
        <f>('2012-2022'!K159-'2012-2022'!X$2)/'2012-2022'!X$3</f>
        <v>-0.41732768523224345</v>
      </c>
      <c r="L152" s="22">
        <f>('2012-2022'!L159-'2012-2022'!Y$2)/'2012-2022'!Y$3</f>
        <v>0.95338274859173655</v>
      </c>
      <c r="M152" s="22">
        <f>('2012-2022'!M159-'2012-2022'!Z$2)/'2012-2022'!Z$3</f>
        <v>-2.9470196501585568</v>
      </c>
      <c r="N152" s="22">
        <f>('2012-2022'!N159-'2012-2022'!AA$2)/'2012-2022'!AA$3</f>
        <v>0.10630854387617152</v>
      </c>
      <c r="O152" s="22">
        <f>('2012-2022'!P159-'2012-2022'!AC$2)/'2012-2022'!AC$3</f>
        <v>-0.51027094791339189</v>
      </c>
    </row>
    <row r="153" spans="1:15">
      <c r="A153" s="10" t="s">
        <v>19</v>
      </c>
      <c r="B153" s="11">
        <v>2016</v>
      </c>
      <c r="C153" s="14" t="s">
        <v>51</v>
      </c>
      <c r="D153" s="14" t="s">
        <v>54</v>
      </c>
      <c r="E153" s="22">
        <f>('2012-2022'!E160-'2012-2022'!R$2)/'2012-2022'!R$3</f>
        <v>-0.107293299971115</v>
      </c>
      <c r="F153" s="22">
        <f>('2012-2022'!F160-'2012-2022'!S$2)/'2012-2022'!S$3</f>
        <v>0.15715226814191247</v>
      </c>
      <c r="G153" s="22">
        <f>('2012-2022'!G160-'2012-2022'!T$2)/'2012-2022'!T$3</f>
        <v>-0.44196650044023134</v>
      </c>
      <c r="H153" s="22">
        <f>('2012-2022'!H160-'2012-2022'!U$2)/'2012-2022'!U$3</f>
        <v>-7.19340888021269E-2</v>
      </c>
      <c r="I153" s="22">
        <f>('2012-2022'!I160-'2012-2022'!V$2)/'2012-2022'!V$3</f>
        <v>-9.9070972835504881E-2</v>
      </c>
      <c r="J153" s="22">
        <f>('2012-2022'!J160-'2012-2022'!W$2)/'2012-2022'!W$3</f>
        <v>-0.29818810410195801</v>
      </c>
      <c r="K153" s="22">
        <f>('2012-2022'!K160-'2012-2022'!X$2)/'2012-2022'!X$3</f>
        <v>-0.68283917886711942</v>
      </c>
      <c r="L153" s="22">
        <f>('2012-2022'!L160-'2012-2022'!Y$2)/'2012-2022'!Y$3</f>
        <v>0.78264917623781238</v>
      </c>
      <c r="M153" s="22">
        <f>('2012-2022'!M160-'2012-2022'!Z$2)/'2012-2022'!Z$3</f>
        <v>-1.7210187889276269</v>
      </c>
      <c r="N153" s="22">
        <f>('2012-2022'!N160-'2012-2022'!AA$2)/'2012-2022'!AA$3</f>
        <v>-0.14672610561256677</v>
      </c>
      <c r="O153" s="22">
        <f>('2012-2022'!P160-'2012-2022'!AC$2)/'2012-2022'!AC$3</f>
        <v>-0.51383791302431769</v>
      </c>
    </row>
    <row r="154" spans="1:15">
      <c r="A154" s="10" t="s">
        <v>19</v>
      </c>
      <c r="B154" s="11">
        <v>2017</v>
      </c>
      <c r="C154" s="14" t="s">
        <v>51</v>
      </c>
      <c r="D154" s="14" t="s">
        <v>54</v>
      </c>
      <c r="E154" s="22">
        <f>('2012-2022'!E161-'2012-2022'!R$2)/'2012-2022'!R$3</f>
        <v>0.60894384972442517</v>
      </c>
      <c r="F154" s="22">
        <f>('2012-2022'!F161-'2012-2022'!S$2)/'2012-2022'!S$3</f>
        <v>0.51935732626728293</v>
      </c>
      <c r="G154" s="22">
        <f>('2012-2022'!G161-'2012-2022'!T$2)/'2012-2022'!T$3</f>
        <v>0.13147655381523918</v>
      </c>
      <c r="H154" s="22">
        <f>('2012-2022'!H161-'2012-2022'!U$2)/'2012-2022'!U$3</f>
        <v>0.59471693224416156</v>
      </c>
      <c r="I154" s="22">
        <f>('2012-2022'!I161-'2012-2022'!V$2)/'2012-2022'!V$3</f>
        <v>0.59290558123100257</v>
      </c>
      <c r="J154" s="22">
        <f>('2012-2022'!J161-'2012-2022'!W$2)/'2012-2022'!W$3</f>
        <v>0.53778831992979304</v>
      </c>
      <c r="K154" s="22">
        <f>('2012-2022'!K161-'2012-2022'!X$2)/'2012-2022'!X$3</f>
        <v>0.10571788266276727</v>
      </c>
      <c r="L154" s="22">
        <f>('2012-2022'!L161-'2012-2022'!Y$2)/'2012-2022'!Y$3</f>
        <v>1.1006149647191443</v>
      </c>
      <c r="M154" s="22">
        <f>('2012-2022'!M161-'2012-2022'!Z$2)/'2012-2022'!Z$3</f>
        <v>-2.0590723128113879</v>
      </c>
      <c r="N154" s="22">
        <f>('2012-2022'!N161-'2012-2022'!AA$2)/'2012-2022'!AA$3</f>
        <v>0.25251367346645542</v>
      </c>
      <c r="O154" s="22">
        <f>('2012-2022'!P161-'2012-2022'!AC$2)/'2012-2022'!AC$3</f>
        <v>-0.61131693933466513</v>
      </c>
    </row>
    <row r="155" spans="1:15">
      <c r="A155" s="10" t="s">
        <v>19</v>
      </c>
      <c r="B155" s="11">
        <v>2018</v>
      </c>
      <c r="C155" s="14" t="s">
        <v>51</v>
      </c>
      <c r="D155" s="14" t="s">
        <v>54</v>
      </c>
      <c r="E155" s="22">
        <f>('2012-2022'!E162-'2012-2022'!R$2)/'2012-2022'!R$3</f>
        <v>-5.8935804134191555E-2</v>
      </c>
      <c r="F155" s="22">
        <f>('2012-2022'!F162-'2012-2022'!S$2)/'2012-2022'!S$3</f>
        <v>0.11610686183660417</v>
      </c>
      <c r="G155" s="22">
        <f>('2012-2022'!G162-'2012-2022'!T$2)/'2012-2022'!T$3</f>
        <v>-0.65731356694663012</v>
      </c>
      <c r="H155" s="22">
        <f>('2012-2022'!H162-'2012-2022'!U$2)/'2012-2022'!U$3</f>
        <v>-2.2486252459119455E-3</v>
      </c>
      <c r="I155" s="22">
        <f>('2012-2022'!I162-'2012-2022'!V$2)/'2012-2022'!V$3</f>
        <v>-6.7299412533243605E-2</v>
      </c>
      <c r="J155" s="22">
        <f>('2012-2022'!J162-'2012-2022'!W$2)/'2012-2022'!W$3</f>
        <v>-0.80429648995402137</v>
      </c>
      <c r="K155" s="22">
        <f>('2012-2022'!K162-'2012-2022'!X$2)/'2012-2022'!X$3</f>
        <v>-0.14280071683031959</v>
      </c>
      <c r="L155" s="22">
        <f>('2012-2022'!L162-'2012-2022'!Y$2)/'2012-2022'!Y$3</f>
        <v>1.1537446115090928</v>
      </c>
      <c r="M155" s="22">
        <f>('2012-2022'!M162-'2012-2022'!Z$2)/'2012-2022'!Z$3</f>
        <v>-2.1984709325196734</v>
      </c>
      <c r="N155" s="22">
        <f>('2012-2022'!N162-'2012-2022'!AA$2)/'2012-2022'!AA$3</f>
        <v>-0.35833670879376689</v>
      </c>
      <c r="O155" s="22">
        <f>('2012-2022'!P162-'2012-2022'!AC$2)/'2012-2022'!AC$3</f>
        <v>-0.64554733284523824</v>
      </c>
    </row>
    <row r="156" spans="1:15">
      <c r="A156" s="10" t="s">
        <v>19</v>
      </c>
      <c r="B156" s="11">
        <v>2019</v>
      </c>
      <c r="C156" s="14" t="s">
        <v>51</v>
      </c>
      <c r="D156" s="14" t="s">
        <v>54</v>
      </c>
      <c r="E156" s="22">
        <f>('2012-2022'!E163-'2012-2022'!R$2)/'2012-2022'!R$3</f>
        <v>1.3231221717618</v>
      </c>
      <c r="F156" s="22">
        <f>('2012-2022'!F163-'2012-2022'!S$2)/'2012-2022'!S$3</f>
        <v>0.66827117266613723</v>
      </c>
      <c r="G156" s="22">
        <f>('2012-2022'!G163-'2012-2022'!T$2)/'2012-2022'!T$3</f>
        <v>-0.70730092577617387</v>
      </c>
      <c r="H156" s="22">
        <f>('2012-2022'!H163-'2012-2022'!U$2)/'2012-2022'!U$3</f>
        <v>1.5598346982366775</v>
      </c>
      <c r="I156" s="22">
        <f>('2012-2022'!I163-'2012-2022'!V$2)/'2012-2022'!V$3</f>
        <v>1.094942138008983</v>
      </c>
      <c r="J156" s="22">
        <f>('2012-2022'!J163-'2012-2022'!W$2)/'2012-2022'!W$3</f>
        <v>1.8664973493407622</v>
      </c>
      <c r="K156" s="22">
        <f>('2012-2022'!K163-'2012-2022'!X$2)/'2012-2022'!X$3</f>
        <v>2.0006776792455221</v>
      </c>
      <c r="L156" s="22">
        <f>('2012-2022'!L163-'2012-2022'!Y$2)/'2012-2022'!Y$3</f>
        <v>0.29310802618002041</v>
      </c>
      <c r="M156" s="22">
        <f>('2012-2022'!M163-'2012-2022'!Z$2)/'2012-2022'!Z$3</f>
        <v>-0.24291880876350544</v>
      </c>
      <c r="N156" s="22">
        <f>('2012-2022'!N163-'2012-2022'!AA$2)/'2012-2022'!AA$3</f>
        <v>0.53287436036126945</v>
      </c>
      <c r="O156" s="22">
        <f>('2012-2022'!P163-'2012-2022'!AC$2)/'2012-2022'!AC$3</f>
        <v>-0.63884236374556624</v>
      </c>
    </row>
    <row r="157" spans="1:15">
      <c r="A157" s="10" t="s">
        <v>19</v>
      </c>
      <c r="B157" s="11">
        <v>2020</v>
      </c>
      <c r="C157" s="14" t="s">
        <v>51</v>
      </c>
      <c r="D157" s="14" t="s">
        <v>54</v>
      </c>
      <c r="E157" s="22">
        <f>('2012-2022'!E164-'2012-2022'!R$2)/'2012-2022'!R$3</f>
        <v>2.8834130310728838</v>
      </c>
      <c r="F157" s="22">
        <f>('2012-2022'!F164-'2012-2022'!S$2)/'2012-2022'!S$3</f>
        <v>0.86907985960727352</v>
      </c>
      <c r="G157" s="22">
        <f>('2012-2022'!G164-'2012-2022'!T$2)/'2012-2022'!T$3</f>
        <v>-0.62930935625274154</v>
      </c>
      <c r="H157" s="22">
        <f>('2012-2022'!H164-'2012-2022'!U$2)/'2012-2022'!U$3</f>
        <v>3.1897238488792206</v>
      </c>
      <c r="I157" s="22">
        <f>('2012-2022'!I164-'2012-2022'!V$2)/'2012-2022'!V$3</f>
        <v>2.5037874942088592</v>
      </c>
      <c r="J157" s="22">
        <f>('2012-2022'!J164-'2012-2022'!W$2)/'2012-2022'!W$3</f>
        <v>1.8469908147964167</v>
      </c>
      <c r="K157" s="22">
        <f>('2012-2022'!K164-'2012-2022'!X$2)/'2012-2022'!X$3</f>
        <v>2.6146845501750895</v>
      </c>
      <c r="L157" s="22">
        <f>('2012-2022'!L164-'2012-2022'!Y$2)/'2012-2022'!Y$3</f>
        <v>0.86291586761795813</v>
      </c>
      <c r="M157" s="22">
        <f>('2012-2022'!M164-'2012-2022'!Z$2)/'2012-2022'!Z$3</f>
        <v>-0.17129605115795954</v>
      </c>
      <c r="N157" s="22">
        <f>('2012-2022'!N164-'2012-2022'!AA$2)/'2012-2022'!AA$3</f>
        <v>0.14990693240911998</v>
      </c>
      <c r="O157" s="22">
        <f>('2012-2022'!P164-'2012-2022'!AC$2)/'2012-2022'!AC$3</f>
        <v>-0.70082158844139952</v>
      </c>
    </row>
    <row r="158" spans="1:15">
      <c r="A158" s="10" t="s">
        <v>19</v>
      </c>
      <c r="B158" s="11">
        <v>2021</v>
      </c>
      <c r="C158" s="14" t="s">
        <v>51</v>
      </c>
      <c r="D158" s="14" t="s">
        <v>54</v>
      </c>
      <c r="E158" s="22">
        <f>('2012-2022'!E165-'2012-2022'!R$2)/'2012-2022'!R$3</f>
        <v>1.3040265595571081</v>
      </c>
      <c r="F158" s="22">
        <f>('2012-2022'!F165-'2012-2022'!S$2)/'2012-2022'!S$3</f>
        <v>0.56198027103989334</v>
      </c>
      <c r="G158" s="22">
        <f>('2012-2022'!G165-'2012-2022'!T$2)/'2012-2022'!T$3</f>
        <v>-0.3961483492117544</v>
      </c>
      <c r="H158" s="22">
        <f>('2012-2022'!H165-'2012-2022'!U$2)/'2012-2022'!U$3</f>
        <v>1.3330796551370376</v>
      </c>
      <c r="I158" s="22">
        <f>('2012-2022'!I165-'2012-2022'!V$2)/'2012-2022'!V$3</f>
        <v>1.2258721988994099</v>
      </c>
      <c r="J158" s="22">
        <f>('2012-2022'!J165-'2012-2022'!W$2)/'2012-2022'!W$3</f>
        <v>1.5939152241697678</v>
      </c>
      <c r="K158" s="22">
        <f>('2012-2022'!K165-'2012-2022'!X$2)/'2012-2022'!X$3</f>
        <v>2.0436533120094453</v>
      </c>
      <c r="L158" s="22">
        <f>('2012-2022'!L165-'2012-2022'!Y$2)/'2012-2022'!Y$3</f>
        <v>0.28722884342532667</v>
      </c>
      <c r="M158" s="22">
        <f>('2012-2022'!M165-'2012-2022'!Z$2)/'2012-2022'!Z$3</f>
        <v>-0.15187195663340888</v>
      </c>
      <c r="N158" s="22">
        <f>('2012-2022'!N165-'2012-2022'!AA$2)/'2012-2022'!AA$3</f>
        <v>9.2925733637287719E-2</v>
      </c>
      <c r="O158" s="22">
        <f>('2012-2022'!P165-'2012-2022'!AC$2)/'2012-2022'!AC$3</f>
        <v>-0.77412289748076313</v>
      </c>
    </row>
    <row r="159" spans="1:15">
      <c r="A159" s="10" t="s">
        <v>19</v>
      </c>
      <c r="B159" s="11">
        <v>2022</v>
      </c>
      <c r="C159" s="14" t="s">
        <v>51</v>
      </c>
      <c r="D159" s="14" t="s">
        <v>54</v>
      </c>
      <c r="E159" s="22">
        <f>('2012-2022'!E166-'2012-2022'!R$2)/'2012-2022'!R$3</f>
        <v>2.1290181883010439</v>
      </c>
      <c r="F159" s="22">
        <f>('2012-2022'!F166-'2012-2022'!S$2)/'2012-2022'!S$3</f>
        <v>0.27411915135859627</v>
      </c>
      <c r="G159" s="22">
        <f>('2012-2022'!G166-'2012-2022'!T$2)/'2012-2022'!T$3</f>
        <v>-0.23276321279426548</v>
      </c>
      <c r="H159" s="22">
        <f>('2012-2022'!H166-'2012-2022'!U$2)/'2012-2022'!U$3</f>
        <v>1.7795970195669431</v>
      </c>
      <c r="I159" s="22">
        <f>('2012-2022'!I166-'2012-2022'!V$2)/'2012-2022'!V$3</f>
        <v>2.2650395577487967</v>
      </c>
      <c r="J159" s="22">
        <f>('2012-2022'!J166-'2012-2022'!W$2)/'2012-2022'!W$3</f>
        <v>2.1929437240947411</v>
      </c>
      <c r="K159" s="22">
        <f>('2012-2022'!K166-'2012-2022'!X$2)/'2012-2022'!X$3</f>
        <v>2.8743047705112055</v>
      </c>
      <c r="L159" s="22">
        <f>('2012-2022'!L166-'2012-2022'!Y$2)/'2012-2022'!Y$3</f>
        <v>0.49743136346519495</v>
      </c>
      <c r="M159" s="22">
        <f>('2012-2022'!M166-'2012-2022'!Z$2)/'2012-2022'!Z$3</f>
        <v>0.3030028741069285</v>
      </c>
      <c r="N159" s="22">
        <f>('2012-2022'!N166-'2012-2022'!AA$2)/'2012-2022'!AA$3</f>
        <v>0.53346375747696484</v>
      </c>
      <c r="O159" s="22">
        <f>('2012-2022'!P166-'2012-2022'!AC$2)/'2012-2022'!AC$3</f>
        <v>-0.99038995843753763</v>
      </c>
    </row>
    <row r="160" spans="1:15">
      <c r="A160" s="10" t="s">
        <v>20</v>
      </c>
      <c r="B160" s="11">
        <v>2012</v>
      </c>
      <c r="C160" s="14" t="s">
        <v>55</v>
      </c>
      <c r="D160" s="14" t="s">
        <v>54</v>
      </c>
      <c r="E160" s="22">
        <f>('2012-2022'!E167-'2012-2022'!R$2)/'2012-2022'!R$3</f>
        <v>-0.21652027276271277</v>
      </c>
      <c r="F160" s="22">
        <f>('2012-2022'!F167-'2012-2022'!S$2)/'2012-2022'!S$3</f>
        <v>-0.50068320641093189</v>
      </c>
      <c r="G160" s="22">
        <f>('2012-2022'!G167-'2012-2022'!T$2)/'2012-2022'!T$3</f>
        <v>1.5012491955405984</v>
      </c>
      <c r="H160" s="22">
        <f>('2012-2022'!H167-'2012-2022'!U$2)/'2012-2022'!U$3</f>
        <v>-0.60981176777028678</v>
      </c>
      <c r="I160" s="22">
        <f>('2012-2022'!I167-'2012-2022'!V$2)/'2012-2022'!V$3</f>
        <v>1.5421908728957287E-2</v>
      </c>
      <c r="J160" s="22">
        <f>('2012-2022'!J167-'2012-2022'!W$2)/'2012-2022'!W$3</f>
        <v>0.21659853887495395</v>
      </c>
      <c r="K160" s="22">
        <f>('2012-2022'!K167-'2012-2022'!X$2)/'2012-2022'!X$3</f>
        <v>0.14325243376652527</v>
      </c>
      <c r="L160" s="22">
        <f>('2012-2022'!L167-'2012-2022'!Y$2)/'2012-2022'!Y$3</f>
        <v>-6.2348682635892459E-2</v>
      </c>
      <c r="M160" s="22">
        <f>('2012-2022'!M167-'2012-2022'!Z$2)/'2012-2022'!Z$3</f>
        <v>1.6235311602896645</v>
      </c>
      <c r="N160" s="22">
        <f>('2012-2022'!N167-'2012-2022'!AA$2)/'2012-2022'!AA$3</f>
        <v>-1.5157146046983705</v>
      </c>
      <c r="O160" s="22">
        <f>('2012-2022'!P167-'2012-2022'!AC$2)/'2012-2022'!AC$3</f>
        <v>3.3338206054053146E-2</v>
      </c>
    </row>
    <row r="161" spans="1:15">
      <c r="A161" s="10" t="s">
        <v>20</v>
      </c>
      <c r="B161" s="11">
        <v>2013</v>
      </c>
      <c r="C161" s="14" t="s">
        <v>55</v>
      </c>
      <c r="D161" s="14" t="s">
        <v>54</v>
      </c>
      <c r="E161" s="22">
        <f>('2012-2022'!E168-'2012-2022'!R$2)/'2012-2022'!R$3</f>
        <v>-6.4949810177685197E-2</v>
      </c>
      <c r="F161" s="22">
        <f>('2012-2022'!F168-'2012-2022'!S$2)/'2012-2022'!S$3</f>
        <v>0.11658040356773143</v>
      </c>
      <c r="G161" s="22">
        <f>('2012-2022'!G168-'2012-2022'!T$2)/'2012-2022'!T$3</f>
        <v>1.4471894701566927</v>
      </c>
      <c r="H161" s="22">
        <f>('2012-2022'!H168-'2012-2022'!U$2)/'2012-2022'!U$3</f>
        <v>-0.20512844809247913</v>
      </c>
      <c r="I161" s="22">
        <f>('2012-2022'!I168-'2012-2022'!V$2)/'2012-2022'!V$3</f>
        <v>-1.0469801036560629E-2</v>
      </c>
      <c r="J161" s="22">
        <f>('2012-2022'!J168-'2012-2022'!W$2)/'2012-2022'!W$3</f>
        <v>3.2139466752583938E-2</v>
      </c>
      <c r="K161" s="22">
        <f>('2012-2022'!K168-'2012-2022'!X$2)/'2012-2022'!X$3</f>
        <v>-6.8284446846608018E-2</v>
      </c>
      <c r="L161" s="22">
        <f>('2012-2022'!L168-'2012-2022'!Y$2)/'2012-2022'!Y$3</f>
        <v>-0.31538821928908589</v>
      </c>
      <c r="M161" s="22">
        <f>('2012-2022'!M168-'2012-2022'!Z$2)/'2012-2022'!Z$3</f>
        <v>1.3783332803979709</v>
      </c>
      <c r="N161" s="22">
        <f>('2012-2022'!N168-'2012-2022'!AA$2)/'2012-2022'!AA$3</f>
        <v>-1.1649172928616589</v>
      </c>
      <c r="O161" s="22">
        <f>('2012-2022'!P168-'2012-2022'!AC$2)/'2012-2022'!AC$3</f>
        <v>9.4431472652582851E-2</v>
      </c>
    </row>
    <row r="162" spans="1:15">
      <c r="A162" s="10" t="s">
        <v>20</v>
      </c>
      <c r="B162" s="11">
        <v>2014</v>
      </c>
      <c r="C162" s="14" t="s">
        <v>55</v>
      </c>
      <c r="D162" s="14" t="s">
        <v>54</v>
      </c>
      <c r="E162" s="22">
        <f>('2012-2022'!E169-'2012-2022'!R$2)/'2012-2022'!R$3</f>
        <v>-9.7522836883350977E-2</v>
      </c>
      <c r="F162" s="22">
        <f>('2012-2022'!F169-'2012-2022'!S$2)/'2012-2022'!S$3</f>
        <v>-0.3771389404819292</v>
      </c>
      <c r="G162" s="22">
        <f>('2012-2022'!G169-'2012-2022'!T$2)/'2012-2022'!T$3</f>
        <v>1.6981191013952801</v>
      </c>
      <c r="H162" s="22">
        <f>('2012-2022'!H169-'2012-2022'!U$2)/'2012-2022'!U$3</f>
        <v>-0.45069874699447821</v>
      </c>
      <c r="I162" s="22">
        <f>('2012-2022'!I169-'2012-2022'!V$2)/'2012-2022'!V$3</f>
        <v>6.6163014174837692E-2</v>
      </c>
      <c r="J162" s="22">
        <f>('2012-2022'!J169-'2012-2022'!W$2)/'2012-2022'!W$3</f>
        <v>0.25196082832192684</v>
      </c>
      <c r="K162" s="22">
        <f>('2012-2022'!K169-'2012-2022'!X$2)/'2012-2022'!X$3</f>
        <v>-0.21911941008440575</v>
      </c>
      <c r="L162" s="22">
        <f>('2012-2022'!L169-'2012-2022'!Y$2)/'2012-2022'!Y$3</f>
        <v>-0.21463714329458744</v>
      </c>
      <c r="M162" s="22">
        <f>('2012-2022'!M169-'2012-2022'!Z$2)/'2012-2022'!Z$3</f>
        <v>1.5975305241251283</v>
      </c>
      <c r="N162" s="22">
        <f>('2012-2022'!N169-'2012-2022'!AA$2)/'2012-2022'!AA$3</f>
        <v>-0.83624317046956009</v>
      </c>
      <c r="O162" s="22">
        <f>('2012-2022'!P169-'2012-2022'!AC$2)/'2012-2022'!AC$3</f>
        <v>4.8536027054837692E-2</v>
      </c>
    </row>
    <row r="163" spans="1:15">
      <c r="A163" s="10" t="s">
        <v>20</v>
      </c>
      <c r="B163" s="11">
        <v>2015</v>
      </c>
      <c r="C163" s="14" t="s">
        <v>55</v>
      </c>
      <c r="D163" s="14" t="s">
        <v>54</v>
      </c>
      <c r="E163" s="22">
        <f>('2012-2022'!E170-'2012-2022'!R$2)/'2012-2022'!R$3</f>
        <v>-0.24802764016167037</v>
      </c>
      <c r="F163" s="22">
        <f>('2012-2022'!F170-'2012-2022'!S$2)/'2012-2022'!S$3</f>
        <v>-7.9903152700641619E-2</v>
      </c>
      <c r="G163" s="22">
        <f>('2012-2022'!G170-'2012-2022'!T$2)/'2012-2022'!T$3</f>
        <v>0.56436972296760213</v>
      </c>
      <c r="H163" s="22">
        <f>('2012-2022'!H170-'2012-2022'!U$2)/'2012-2022'!U$3</f>
        <v>-0.20721294034465626</v>
      </c>
      <c r="I163" s="22">
        <f>('2012-2022'!I170-'2012-2022'!V$2)/'2012-2022'!V$3</f>
        <v>-0.29255223146268222</v>
      </c>
      <c r="J163" s="22">
        <f>('2012-2022'!J170-'2012-2022'!W$2)/'2012-2022'!W$3</f>
        <v>0.39286964694050253</v>
      </c>
      <c r="K163" s="22">
        <f>('2012-2022'!K170-'2012-2022'!X$2)/'2012-2022'!X$3</f>
        <v>8.121422996718787E-3</v>
      </c>
      <c r="L163" s="22">
        <f>('2012-2022'!L170-'2012-2022'!Y$2)/'2012-2022'!Y$3</f>
        <v>0.11954840332841904</v>
      </c>
      <c r="M163" s="22">
        <f>('2012-2022'!M170-'2012-2022'!Z$2)/'2012-2022'!Z$3</f>
        <v>1.5329553404616743</v>
      </c>
      <c r="N163" s="22">
        <f>('2012-2022'!N170-'2012-2022'!AA$2)/'2012-2022'!AA$3</f>
        <v>-0.74005650402326661</v>
      </c>
      <c r="O163" s="22">
        <f>('2012-2022'!P170-'2012-2022'!AC$2)/'2012-2022'!AC$3</f>
        <v>-1.8600663090928921E-2</v>
      </c>
    </row>
    <row r="164" spans="1:15">
      <c r="A164" s="10" t="s">
        <v>20</v>
      </c>
      <c r="B164" s="11">
        <v>2016</v>
      </c>
      <c r="C164" s="14" t="s">
        <v>55</v>
      </c>
      <c r="D164" s="14" t="s">
        <v>54</v>
      </c>
      <c r="E164" s="22">
        <f>('2012-2022'!E171-'2012-2022'!R$2)/'2012-2022'!R$3</f>
        <v>0.34264166129417462</v>
      </c>
      <c r="F164" s="22">
        <f>('2012-2022'!F171-'2012-2022'!S$2)/'2012-2022'!S$3</f>
        <v>-9.471558002301933E-2</v>
      </c>
      <c r="G164" s="22">
        <f>('2012-2022'!G171-'2012-2022'!T$2)/'2012-2022'!T$3</f>
        <v>1.5762189727271656</v>
      </c>
      <c r="H164" s="22">
        <f>('2012-2022'!H171-'2012-2022'!U$2)/'2012-2022'!U$3</f>
        <v>3.9046322298910641E-2</v>
      </c>
      <c r="I164" s="22">
        <f>('2012-2022'!I171-'2012-2022'!V$2)/'2012-2022'!V$3</f>
        <v>0.43662945743796278</v>
      </c>
      <c r="J164" s="22">
        <f>('2012-2022'!J171-'2012-2022'!W$2)/'2012-2022'!W$3</f>
        <v>0.76573134766802375</v>
      </c>
      <c r="K164" s="22">
        <f>('2012-2022'!K171-'2012-2022'!X$2)/'2012-2022'!X$3</f>
        <v>9.5472098209174031E-2</v>
      </c>
      <c r="L164" s="22">
        <f>('2012-2022'!L171-'2012-2022'!Y$2)/'2012-2022'!Y$3</f>
        <v>0.4525249293875932</v>
      </c>
      <c r="M164" s="22">
        <f>('2012-2022'!M171-'2012-2022'!Z$2)/'2012-2022'!Z$3</f>
        <v>1.5911276086658026</v>
      </c>
      <c r="N164" s="22">
        <f>('2012-2022'!N171-'2012-2022'!AA$2)/'2012-2022'!AA$3</f>
        <v>-0.33082545990817819</v>
      </c>
      <c r="O164" s="22">
        <f>('2012-2022'!P171-'2012-2022'!AC$2)/'2012-2022'!AC$3</f>
        <v>-2.0116987854881942E-2</v>
      </c>
    </row>
    <row r="165" spans="1:15">
      <c r="A165" s="10" t="s">
        <v>20</v>
      </c>
      <c r="B165" s="11">
        <v>2017</v>
      </c>
      <c r="C165" s="14" t="s">
        <v>55</v>
      </c>
      <c r="D165" s="14" t="s">
        <v>54</v>
      </c>
      <c r="E165" s="22">
        <f>('2012-2022'!E172-'2012-2022'!R$2)/'2012-2022'!R$3</f>
        <v>-2.0382031800369411E-2</v>
      </c>
      <c r="F165" s="22">
        <f>('2012-2022'!F172-'2012-2022'!S$2)/'2012-2022'!S$3</f>
        <v>-1.5360274551615427</v>
      </c>
      <c r="G165" s="22">
        <f>('2012-2022'!G172-'2012-2022'!T$2)/'2012-2022'!T$3</f>
        <v>2.9477800281175508</v>
      </c>
      <c r="H165" s="22">
        <f>('2012-2022'!H172-'2012-2022'!U$2)/'2012-2022'!U$3</f>
        <v>-1.0647412577076212</v>
      </c>
      <c r="I165" s="22">
        <f>('2012-2022'!I172-'2012-2022'!V$2)/'2012-2022'!V$3</f>
        <v>0.4405171083498079</v>
      </c>
      <c r="J165" s="22">
        <f>('2012-2022'!J172-'2012-2022'!W$2)/'2012-2022'!W$3</f>
        <v>8.3454876301108719E-2</v>
      </c>
      <c r="K165" s="22">
        <f>('2012-2022'!K172-'2012-2022'!X$2)/'2012-2022'!X$3</f>
        <v>-0.84113211094802764</v>
      </c>
      <c r="L165" s="22">
        <f>('2012-2022'!L172-'2012-2022'!Y$2)/'2012-2022'!Y$3</f>
        <v>0.34567670392129307</v>
      </c>
      <c r="M165" s="22">
        <f>('2012-2022'!M172-'2012-2022'!Z$2)/'2012-2022'!Z$3</f>
        <v>6.3446115855395988E-2</v>
      </c>
      <c r="N165" s="22">
        <f>('2012-2022'!N172-'2012-2022'!AA$2)/'2012-2022'!AA$3</f>
        <v>1.4934124623529941</v>
      </c>
      <c r="O165" s="22">
        <f>('2012-2022'!P172-'2012-2022'!AC$2)/'2012-2022'!AC$3</f>
        <v>-0.13229610448526696</v>
      </c>
    </row>
    <row r="166" spans="1:15">
      <c r="A166" s="10" t="s">
        <v>20</v>
      </c>
      <c r="B166" s="11">
        <v>2018</v>
      </c>
      <c r="C166" s="14" t="s">
        <v>55</v>
      </c>
      <c r="D166" s="14" t="s">
        <v>54</v>
      </c>
      <c r="E166" s="22">
        <f>('2012-2022'!E173-'2012-2022'!R$2)/'2012-2022'!R$3</f>
        <v>-0.9468092380870583</v>
      </c>
      <c r="F166" s="22">
        <f>('2012-2022'!F173-'2012-2022'!S$2)/'2012-2022'!S$3</f>
        <v>-1.8944026714682867</v>
      </c>
      <c r="G166" s="22">
        <f>('2012-2022'!G173-'2012-2022'!T$2)/'2012-2022'!T$3</f>
        <v>2.0381760551455432</v>
      </c>
      <c r="H166" s="22">
        <f>('2012-2022'!H173-'2012-2022'!U$2)/'2012-2022'!U$3</f>
        <v>-1.3981489758438248</v>
      </c>
      <c r="I166" s="22">
        <f>('2012-2022'!I173-'2012-2022'!V$2)/'2012-2022'!V$3</f>
        <v>-0.71445453799525027</v>
      </c>
      <c r="J166" s="22">
        <f>('2012-2022'!J173-'2012-2022'!W$2)/'2012-2022'!W$3</f>
        <v>-0.41661560192200969</v>
      </c>
      <c r="K166" s="22">
        <f>('2012-2022'!K173-'2012-2022'!X$2)/'2012-2022'!X$3</f>
        <v>-0.92271995382860295</v>
      </c>
      <c r="L166" s="22">
        <f>('2012-2022'!L173-'2012-2022'!Y$2)/'2012-2022'!Y$3</f>
        <v>-0.12987222284301919</v>
      </c>
      <c r="M166" s="22">
        <f>('2012-2022'!M173-'2012-2022'!Z$2)/'2012-2022'!Z$3</f>
        <v>-0.24073574696515343</v>
      </c>
      <c r="N166" s="22">
        <f>('2012-2022'!N173-'2012-2022'!AA$2)/'2012-2022'!AA$3</f>
        <v>1.4719845740882278</v>
      </c>
      <c r="O166" s="22">
        <f>('2012-2022'!P173-'2012-2022'!AC$2)/'2012-2022'!AC$3</f>
        <v>-8.1535872655769531E-2</v>
      </c>
    </row>
    <row r="167" spans="1:15">
      <c r="A167" s="10" t="s">
        <v>20</v>
      </c>
      <c r="B167" s="11">
        <v>2019</v>
      </c>
      <c r="C167" s="14" t="s">
        <v>55</v>
      </c>
      <c r="D167" s="14" t="s">
        <v>54</v>
      </c>
      <c r="E167" s="22">
        <f>('2012-2022'!E174-'2012-2022'!R$2)/'2012-2022'!R$3</f>
        <v>-0.74937388096712076</v>
      </c>
      <c r="F167" s="22">
        <f>('2012-2022'!F174-'2012-2022'!S$2)/'2012-2022'!S$3</f>
        <v>-1.3005663153984699</v>
      </c>
      <c r="G167" s="22">
        <f>('2012-2022'!G174-'2012-2022'!T$2)/'2012-2022'!T$3</f>
        <v>2.5100423036011756</v>
      </c>
      <c r="H167" s="22">
        <f>('2012-2022'!H174-'2012-2022'!U$2)/'2012-2022'!U$3</f>
        <v>-1.1580755557054143</v>
      </c>
      <c r="I167" s="22">
        <f>('2012-2022'!I174-'2012-2022'!V$2)/'2012-2022'!V$3</f>
        <v>-0.55357952999937232</v>
      </c>
      <c r="J167" s="22">
        <f>('2012-2022'!J174-'2012-2022'!W$2)/'2012-2022'!W$3</f>
        <v>-8.5890816207959977E-2</v>
      </c>
      <c r="K167" s="22">
        <f>('2012-2022'!K174-'2012-2022'!X$2)/'2012-2022'!X$3</f>
        <v>-1.1162288966271792</v>
      </c>
      <c r="L167" s="22">
        <f>('2012-2022'!L174-'2012-2022'!Y$2)/'2012-2022'!Y$3</f>
        <v>0.67912894819798031</v>
      </c>
      <c r="M167" s="22">
        <f>('2012-2022'!M174-'2012-2022'!Z$2)/'2012-2022'!Z$3</f>
        <v>1.420114031873805</v>
      </c>
      <c r="N167" s="22">
        <f>('2012-2022'!N174-'2012-2022'!AA$2)/'2012-2022'!AA$3</f>
        <v>2.6404106487062124</v>
      </c>
      <c r="O167" s="22">
        <f>('2012-2022'!P174-'2012-2022'!AC$2)/'2012-2022'!AC$3</f>
        <v>7.3590355526936694E-4</v>
      </c>
    </row>
    <row r="168" spans="1:15">
      <c r="A168" s="10" t="s">
        <v>20</v>
      </c>
      <c r="B168" s="11">
        <v>2020</v>
      </c>
      <c r="C168" s="14" t="s">
        <v>55</v>
      </c>
      <c r="D168" s="14" t="s">
        <v>54</v>
      </c>
      <c r="E168" s="22">
        <f>('2012-2022'!E175-'2012-2022'!R$2)/'2012-2022'!R$3</f>
        <v>-1.3880675952083295</v>
      </c>
      <c r="F168" s="22">
        <f>('2012-2022'!F175-'2012-2022'!S$2)/'2012-2022'!S$3</f>
        <v>-1.7144296895483568</v>
      </c>
      <c r="G168" s="22">
        <f>('2012-2022'!G175-'2012-2022'!T$2)/'2012-2022'!T$3</f>
        <v>1.0021879915268608</v>
      </c>
      <c r="H168" s="22">
        <f>('2012-2022'!H175-'2012-2022'!U$2)/'2012-2022'!U$3</f>
        <v>-1.4221521442181306</v>
      </c>
      <c r="I168" s="22">
        <f>('2012-2022'!I175-'2012-2022'!V$2)/'2012-2022'!V$3</f>
        <v>-1.3316992118298188</v>
      </c>
      <c r="J168" s="22">
        <f>('2012-2022'!J175-'2012-2022'!W$2)/'2012-2022'!W$3</f>
        <v>0.75070971515532481</v>
      </c>
      <c r="K168" s="22">
        <f>('2012-2022'!K175-'2012-2022'!X$2)/'2012-2022'!X$3</f>
        <v>-1.2299715421030293</v>
      </c>
      <c r="L168" s="22">
        <f>('2012-2022'!L175-'2012-2022'!Y$2)/'2012-2022'!Y$3</f>
        <v>1.6744295462069205</v>
      </c>
      <c r="M168" s="22">
        <f>('2012-2022'!M175-'2012-2022'!Z$2)/'2012-2022'!Z$3</f>
        <v>-0.27774742932858265</v>
      </c>
      <c r="N168" s="22">
        <f>('2012-2022'!N175-'2012-2022'!AA$2)/'2012-2022'!AA$3</f>
        <v>0.42390688193768722</v>
      </c>
      <c r="O168" s="22">
        <f>('2012-2022'!P175-'2012-2022'!AC$2)/'2012-2022'!AC$3</f>
        <v>-0.17809688193383238</v>
      </c>
    </row>
    <row r="169" spans="1:15">
      <c r="A169" s="10" t="s">
        <v>20</v>
      </c>
      <c r="B169" s="11">
        <v>2021</v>
      </c>
      <c r="C169" s="14" t="s">
        <v>55</v>
      </c>
      <c r="D169" s="14" t="s">
        <v>54</v>
      </c>
      <c r="E169" s="22">
        <f>('2012-2022'!E176-'2012-2022'!R$2)/'2012-2022'!R$3</f>
        <v>-1.4920421314469663</v>
      </c>
      <c r="F169" s="22">
        <f>('2012-2022'!F176-'2012-2022'!S$2)/'2012-2022'!S$3</f>
        <v>-1.9551968673292759</v>
      </c>
      <c r="G169" s="22">
        <f>('2012-2022'!G176-'2012-2022'!T$2)/'2012-2022'!T$3</f>
        <v>2.4567231562769924</v>
      </c>
      <c r="H169" s="22">
        <f>('2012-2022'!H176-'2012-2022'!U$2)/'2012-2022'!U$3</f>
        <v>-1.5079083057399112</v>
      </c>
      <c r="I169" s="22">
        <f>('2012-2022'!I176-'2012-2022'!V$2)/'2012-2022'!V$3</f>
        <v>-1.4372730134391618</v>
      </c>
      <c r="J169" s="22">
        <f>('2012-2022'!J176-'2012-2022'!W$2)/'2012-2022'!W$3</f>
        <v>0.75831432197154813</v>
      </c>
      <c r="K169" s="22">
        <f>('2012-2022'!K176-'2012-2022'!X$2)/'2012-2022'!X$3</f>
        <v>-1.4150731597706432</v>
      </c>
      <c r="L169" s="22">
        <f>('2012-2022'!L176-'2012-2022'!Y$2)/'2012-2022'!Y$3</f>
        <v>0.97468498048976981</v>
      </c>
      <c r="M169" s="22">
        <f>('2012-2022'!M176-'2012-2022'!Z$2)/'2012-2022'!Z$3</f>
        <v>0.17407904861501494</v>
      </c>
      <c r="N169" s="22">
        <f>('2012-2022'!N176-'2012-2022'!AA$2)/'2012-2022'!AA$3</f>
        <v>1.7242830045481818</v>
      </c>
      <c r="O169" s="22">
        <f>('2012-2022'!P176-'2012-2022'!AC$2)/'2012-2022'!AC$3</f>
        <v>-0.19304489468439104</v>
      </c>
    </row>
    <row r="170" spans="1:15">
      <c r="A170" s="10" t="s">
        <v>20</v>
      </c>
      <c r="B170" s="11">
        <v>2022</v>
      </c>
      <c r="C170" s="14" t="s">
        <v>55</v>
      </c>
      <c r="D170" s="14" t="s">
        <v>54</v>
      </c>
      <c r="E170" s="22">
        <f>('2012-2022'!E177-'2012-2022'!R$2)/'2012-2022'!R$3</f>
        <v>-1.4900989913011071</v>
      </c>
      <c r="F170" s="22">
        <f>('2012-2022'!F177-'2012-2022'!S$2)/'2012-2022'!S$3</f>
        <v>-1.3214180069788324</v>
      </c>
      <c r="G170" s="22">
        <f>('2012-2022'!G177-'2012-2022'!T$2)/'2012-2022'!T$3</f>
        <v>3.7967719082593008</v>
      </c>
      <c r="H170" s="22">
        <f>('2012-2022'!H177-'2012-2022'!U$2)/'2012-2022'!U$3</f>
        <v>-1.4449079460721037</v>
      </c>
      <c r="I170" s="22">
        <f>('2012-2022'!I177-'2012-2022'!V$2)/'2012-2022'!V$3</f>
        <v>-1.463941046971595</v>
      </c>
      <c r="J170" s="22">
        <f>('2012-2022'!J177-'2012-2022'!W$2)/'2012-2022'!W$3</f>
        <v>-0.31284699414835848</v>
      </c>
      <c r="K170" s="22">
        <f>('2012-2022'!K177-'2012-2022'!X$2)/'2012-2022'!X$3</f>
        <v>-1.4539477044572826</v>
      </c>
      <c r="L170" s="22">
        <f>('2012-2022'!L177-'2012-2022'!Y$2)/'2012-2022'!Y$3</f>
        <v>0.39537553019834215</v>
      </c>
      <c r="M170" s="22">
        <f>('2012-2022'!M177-'2012-2022'!Z$2)/'2012-2022'!Z$3</f>
        <v>1.495423373832121</v>
      </c>
      <c r="N170" s="22">
        <f>('2012-2022'!N177-'2012-2022'!AA$2)/'2012-2022'!AA$3</f>
        <v>1.7068653420729849</v>
      </c>
      <c r="O170" s="22">
        <f>('2012-2022'!P177-'2012-2022'!AC$2)/'2012-2022'!AC$3</f>
        <v>-0.17618528935975838</v>
      </c>
    </row>
    <row r="171" spans="1:15">
      <c r="A171" s="10" t="s">
        <v>23</v>
      </c>
      <c r="B171" s="11">
        <v>2012</v>
      </c>
      <c r="C171" s="14" t="s">
        <v>55</v>
      </c>
      <c r="D171" s="14" t="s">
        <v>54</v>
      </c>
      <c r="E171" s="22">
        <f>('2012-2022'!E178-'2012-2022'!R$2)/'2012-2022'!R$3</f>
        <v>-3.3462867861358554E-2</v>
      </c>
      <c r="F171" s="22">
        <f>('2012-2022'!F178-'2012-2022'!S$2)/'2012-2022'!S$3</f>
        <v>0.7235306622560842</v>
      </c>
      <c r="G171" s="22">
        <f>('2012-2022'!G178-'2012-2022'!T$2)/'2012-2022'!T$3</f>
        <v>0.47614164485304417</v>
      </c>
      <c r="H171" s="22">
        <f>('2012-2022'!H178-'2012-2022'!U$2)/'2012-2022'!U$3</f>
        <v>0.20307402020269405</v>
      </c>
      <c r="I171" s="22">
        <f>('2012-2022'!I178-'2012-2022'!V$2)/'2012-2022'!V$3</f>
        <v>-0.18589605942473775</v>
      </c>
      <c r="J171" s="22">
        <f>('2012-2022'!J178-'2012-2022'!W$2)/'2012-2022'!W$3</f>
        <v>-0.14497259315741207</v>
      </c>
      <c r="K171" s="22">
        <f>('2012-2022'!K178-'2012-2022'!X$2)/'2012-2022'!X$3</f>
        <v>-0.51110130173224178</v>
      </c>
      <c r="L171" s="22">
        <f>('2012-2022'!L178-'2012-2022'!Y$2)/'2012-2022'!Y$3</f>
        <v>6.0881288757512877E-2</v>
      </c>
      <c r="M171" s="22">
        <f>('2012-2022'!M178-'2012-2022'!Z$2)/'2012-2022'!Z$3</f>
        <v>0.51671992428392166</v>
      </c>
      <c r="N171" s="22">
        <f>('2012-2022'!N178-'2012-2022'!AA$2)/'2012-2022'!AA$3</f>
        <v>-1.6756000946080054</v>
      </c>
      <c r="O171" s="22">
        <f>('2012-2022'!P178-'2012-2022'!AC$2)/'2012-2022'!AC$3</f>
        <v>0.18563788546090659</v>
      </c>
    </row>
    <row r="172" spans="1:15">
      <c r="A172" s="10" t="s">
        <v>23</v>
      </c>
      <c r="B172" s="11">
        <v>2013</v>
      </c>
      <c r="C172" s="14" t="s">
        <v>55</v>
      </c>
      <c r="D172" s="14" t="s">
        <v>54</v>
      </c>
      <c r="E172" s="22">
        <f>('2012-2022'!E179-'2012-2022'!R$2)/'2012-2022'!R$3</f>
        <v>-0.18115910222310722</v>
      </c>
      <c r="F172" s="22">
        <f>('2012-2022'!F179-'2012-2022'!S$2)/'2012-2022'!S$3</f>
        <v>-0.19736671180525725</v>
      </c>
      <c r="G172" s="22">
        <f>('2012-2022'!G179-'2012-2022'!T$2)/'2012-2022'!T$3</f>
        <v>1.0464975673521364</v>
      </c>
      <c r="H172" s="22">
        <f>('2012-2022'!H179-'2012-2022'!U$2)/'2012-2022'!U$3</f>
        <v>-0.38221658438984896</v>
      </c>
      <c r="I172" s="22">
        <f>('2012-2022'!I179-'2012-2022'!V$2)/'2012-2022'!V$3</f>
        <v>-7.3568414760532164E-2</v>
      </c>
      <c r="J172" s="22">
        <f>('2012-2022'!J179-'2012-2022'!W$2)/'2012-2022'!W$3</f>
        <v>-3.346198534972035E-2</v>
      </c>
      <c r="K172" s="22">
        <f>('2012-2022'!K179-'2012-2022'!X$2)/'2012-2022'!X$3</f>
        <v>-0.15142200170878944</v>
      </c>
      <c r="L172" s="22">
        <f>('2012-2022'!L179-'2012-2022'!Y$2)/'2012-2022'!Y$3</f>
        <v>-0.23565792459396978</v>
      </c>
      <c r="M172" s="22">
        <f>('2012-2022'!M179-'2012-2022'!Z$2)/'2012-2022'!Z$3</f>
        <v>0.15441468828914473</v>
      </c>
      <c r="N172" s="22">
        <f>('2012-2022'!N179-'2012-2022'!AA$2)/'2012-2022'!AA$3</f>
        <v>-1.7838002406130524</v>
      </c>
      <c r="O172" s="22">
        <f>('2012-2022'!P179-'2012-2022'!AC$2)/'2012-2022'!AC$3</f>
        <v>3.1434156758798189E-2</v>
      </c>
    </row>
    <row r="173" spans="1:15">
      <c r="A173" s="10" t="s">
        <v>23</v>
      </c>
      <c r="B173" s="11">
        <v>2014</v>
      </c>
      <c r="C173" s="14" t="s">
        <v>55</v>
      </c>
      <c r="D173" s="14" t="s">
        <v>54</v>
      </c>
      <c r="E173" s="22">
        <f>('2012-2022'!E180-'2012-2022'!R$2)/'2012-2022'!R$3</f>
        <v>0.28970275810933338</v>
      </c>
      <c r="F173" s="22">
        <f>('2012-2022'!F180-'2012-2022'!S$2)/'2012-2022'!S$3</f>
        <v>1.6118267075246291</v>
      </c>
      <c r="G173" s="22">
        <f>('2012-2022'!G180-'2012-2022'!T$2)/'2012-2022'!T$3</f>
        <v>0.25068108181819998</v>
      </c>
      <c r="H173" s="22">
        <f>('2012-2022'!H180-'2012-2022'!U$2)/'2012-2022'!U$3</f>
        <v>0.93638771579049085</v>
      </c>
      <c r="I173" s="22">
        <f>('2012-2022'!I180-'2012-2022'!V$2)/'2012-2022'!V$3</f>
        <v>-0.11702622200351168</v>
      </c>
      <c r="J173" s="22">
        <f>('2012-2022'!J180-'2012-2022'!W$2)/'2012-2022'!W$3</f>
        <v>0.26036056762153015</v>
      </c>
      <c r="K173" s="22">
        <f>('2012-2022'!K180-'2012-2022'!X$2)/'2012-2022'!X$3</f>
        <v>-0.25046644783900313</v>
      </c>
      <c r="L173" s="22">
        <f>('2012-2022'!L180-'2012-2022'!Y$2)/'2012-2022'!Y$3</f>
        <v>6.7216704223804033E-2</v>
      </c>
      <c r="M173" s="22">
        <f>('2012-2022'!M180-'2012-2022'!Z$2)/'2012-2022'!Z$3</f>
        <v>0.31803076777601519</v>
      </c>
      <c r="N173" s="22">
        <f>('2012-2022'!N180-'2012-2022'!AA$2)/'2012-2022'!AA$3</f>
        <v>-1.3237896580886159</v>
      </c>
      <c r="O173" s="22">
        <f>('2012-2022'!P180-'2012-2022'!AC$2)/'2012-2022'!AC$3</f>
        <v>-0.1254776090393675</v>
      </c>
    </row>
    <row r="174" spans="1:15">
      <c r="A174" s="10" t="s">
        <v>23</v>
      </c>
      <c r="B174" s="11">
        <v>2015</v>
      </c>
      <c r="C174" s="14" t="s">
        <v>55</v>
      </c>
      <c r="D174" s="14" t="s">
        <v>54</v>
      </c>
      <c r="E174" s="22">
        <f>('2012-2022'!E181-'2012-2022'!R$2)/'2012-2022'!R$3</f>
        <v>-0.17241546541740638</v>
      </c>
      <c r="F174" s="22">
        <f>('2012-2022'!F181-'2012-2022'!S$2)/'2012-2022'!S$3</f>
        <v>0.34789241519123137</v>
      </c>
      <c r="G174" s="22">
        <f>('2012-2022'!G181-'2012-2022'!T$2)/'2012-2022'!T$3</f>
        <v>2.2077061470553182E-2</v>
      </c>
      <c r="H174" s="22">
        <f>('2012-2022'!H181-'2012-2022'!U$2)/'2012-2022'!U$3</f>
        <v>9.7714946880963868E-2</v>
      </c>
      <c r="I174" s="22">
        <f>('2012-2022'!I181-'2012-2022'!V$2)/'2012-2022'!V$3</f>
        <v>-0.33712373960053443</v>
      </c>
      <c r="J174" s="22">
        <f>('2012-2022'!J181-'2012-2022'!W$2)/'2012-2022'!W$3</f>
        <v>8.5318525171076298E-2</v>
      </c>
      <c r="K174" s="22">
        <f>('2012-2022'!K181-'2012-2022'!X$2)/'2012-2022'!X$3</f>
        <v>-0.26838795372233276</v>
      </c>
      <c r="L174" s="22">
        <f>('2012-2022'!L181-'2012-2022'!Y$2)/'2012-2022'!Y$3</f>
        <v>-0.41332199239498846</v>
      </c>
      <c r="M174" s="22">
        <f>('2012-2022'!M181-'2012-2022'!Z$2)/'2012-2022'!Z$3</f>
        <v>-0.15701416511553495</v>
      </c>
      <c r="N174" s="22">
        <f>('2012-2022'!N181-'2012-2022'!AA$2)/'2012-2022'!AA$3</f>
        <v>-1.141217416664331</v>
      </c>
      <c r="O174" s="22">
        <f>('2012-2022'!P181-'2012-2022'!AC$2)/'2012-2022'!AC$3</f>
        <v>-0.14997666998804515</v>
      </c>
    </row>
    <row r="175" spans="1:15">
      <c r="A175" s="10" t="s">
        <v>23</v>
      </c>
      <c r="B175" s="11">
        <v>2016</v>
      </c>
      <c r="C175" s="14" t="s">
        <v>55</v>
      </c>
      <c r="D175" s="14" t="s">
        <v>54</v>
      </c>
      <c r="E175" s="22">
        <f>('2012-2022'!E182-'2012-2022'!R$2)/'2012-2022'!R$3</f>
        <v>-1.4093773141910437</v>
      </c>
      <c r="F175" s="22">
        <f>('2012-2022'!F182-'2012-2022'!S$2)/'2012-2022'!S$3</f>
        <v>-2.2760966602432915</v>
      </c>
      <c r="G175" s="22">
        <f>('2012-2022'!G182-'2012-2022'!T$2)/'2012-2022'!T$3</f>
        <v>-2.5520663274900932</v>
      </c>
      <c r="H175" s="22">
        <f>('2012-2022'!H182-'2012-2022'!U$2)/'2012-2022'!U$3</f>
        <v>-1.5165930284781242</v>
      </c>
      <c r="I175" s="22">
        <f>('2012-2022'!I182-'2012-2022'!V$2)/'2012-2022'!V$3</f>
        <v>-1.293489501174953</v>
      </c>
      <c r="J175" s="22">
        <f>('2012-2022'!J182-'2012-2022'!W$2)/'2012-2022'!W$3</f>
        <v>-0.64009087419895305</v>
      </c>
      <c r="K175" s="22">
        <f>('2012-2022'!K182-'2012-2022'!X$2)/'2012-2022'!X$3</f>
        <v>-0.71937167406206659</v>
      </c>
      <c r="L175" s="22">
        <f>('2012-2022'!L182-'2012-2022'!Y$2)/'2012-2022'!Y$3</f>
        <v>-0.69735901232696718</v>
      </c>
      <c r="M175" s="22">
        <f>('2012-2022'!M182-'2012-2022'!Z$2)/'2012-2022'!Z$3</f>
        <v>0.66307552803093073</v>
      </c>
      <c r="N175" s="22">
        <f>('2012-2022'!N182-'2012-2022'!AA$2)/'2012-2022'!AA$3</f>
        <v>-1.3529963009152366</v>
      </c>
      <c r="O175" s="22">
        <f>('2012-2022'!P182-'2012-2022'!AC$2)/'2012-2022'!AC$3</f>
        <v>1.5152743755649761E-2</v>
      </c>
    </row>
    <row r="176" spans="1:15">
      <c r="A176" s="10" t="s">
        <v>23</v>
      </c>
      <c r="B176" s="11">
        <v>2017</v>
      </c>
      <c r="C176" s="14" t="s">
        <v>55</v>
      </c>
      <c r="D176" s="14" t="s">
        <v>54</v>
      </c>
      <c r="E176" s="22">
        <f>('2012-2022'!E183-'2012-2022'!R$2)/'2012-2022'!R$3</f>
        <v>-1.0720309382262643</v>
      </c>
      <c r="F176" s="22">
        <f>('2012-2022'!F183-'2012-2022'!S$2)/'2012-2022'!S$3</f>
        <v>-2.085513829683717</v>
      </c>
      <c r="G176" s="22">
        <f>('2012-2022'!G183-'2012-2022'!T$2)/'2012-2022'!T$3</f>
        <v>-2.1254505836424151</v>
      </c>
      <c r="H176" s="22">
        <f>('2012-2022'!H183-'2012-2022'!U$2)/'2012-2022'!U$3</f>
        <v>-1.3475189001319241</v>
      </c>
      <c r="I176" s="22">
        <f>('2012-2022'!I183-'2012-2022'!V$2)/'2012-2022'!V$3</f>
        <v>-0.89449215180593256</v>
      </c>
      <c r="J176" s="22">
        <f>('2012-2022'!J183-'2012-2022'!W$2)/'2012-2022'!W$3</f>
        <v>-0.25618905069457576</v>
      </c>
      <c r="K176" s="22">
        <f>('2012-2022'!K183-'2012-2022'!X$2)/'2012-2022'!X$3</f>
        <v>-0.56371151940011643</v>
      </c>
      <c r="L176" s="22">
        <f>('2012-2022'!L183-'2012-2022'!Y$2)/'2012-2022'!Y$3</f>
        <v>-0.61678513846551997</v>
      </c>
      <c r="M176" s="22">
        <f>('2012-2022'!M183-'2012-2022'!Z$2)/'2012-2022'!Z$3</f>
        <v>0.28713123700691862</v>
      </c>
      <c r="N176" s="22">
        <f>('2012-2022'!N183-'2012-2022'!AA$2)/'2012-2022'!AA$3</f>
        <v>-1.1800441842019216</v>
      </c>
      <c r="O176" s="22">
        <f>('2012-2022'!P183-'2012-2022'!AC$2)/'2012-2022'!AC$3</f>
        <v>-0.10753956628623063</v>
      </c>
    </row>
    <row r="177" spans="1:15">
      <c r="A177" s="10" t="s">
        <v>23</v>
      </c>
      <c r="B177" s="11">
        <v>2018</v>
      </c>
      <c r="C177" s="14" t="s">
        <v>55</v>
      </c>
      <c r="D177" s="14" t="s">
        <v>54</v>
      </c>
      <c r="E177" s="22">
        <f>('2012-2022'!E184-'2012-2022'!R$2)/'2012-2022'!R$3</f>
        <v>0.53495164705432074</v>
      </c>
      <c r="F177" s="22">
        <f>('2012-2022'!F184-'2012-2022'!S$2)/'2012-2022'!S$3</f>
        <v>0.60350956456928073</v>
      </c>
      <c r="G177" s="22">
        <f>('2012-2022'!G184-'2012-2022'!T$2)/'2012-2022'!T$3</f>
        <v>0.19736263926342126</v>
      </c>
      <c r="H177" s="22">
        <f>('2012-2022'!H184-'2012-2022'!U$2)/'2012-2022'!U$3</f>
        <v>1.0870940509460296</v>
      </c>
      <c r="I177" s="22">
        <f>('2012-2022'!I184-'2012-2022'!V$2)/'2012-2022'!V$3</f>
        <v>0.18835179188615769</v>
      </c>
      <c r="J177" s="22">
        <f>('2012-2022'!J184-'2012-2022'!W$2)/'2012-2022'!W$3</f>
        <v>0.16433998878593301</v>
      </c>
      <c r="K177" s="22">
        <f>('2012-2022'!K184-'2012-2022'!X$2)/'2012-2022'!X$3</f>
        <v>-0.23163251605848359</v>
      </c>
      <c r="L177" s="22">
        <f>('2012-2022'!L184-'2012-2022'!Y$2)/'2012-2022'!Y$3</f>
        <v>-0.53973142884529279</v>
      </c>
      <c r="M177" s="22">
        <f>('2012-2022'!M184-'2012-2022'!Z$2)/'2012-2022'!Z$3</f>
        <v>-0.45572941036906311</v>
      </c>
      <c r="N177" s="22">
        <f>('2012-2022'!N184-'2012-2022'!AA$2)/'2012-2022'!AA$3</f>
        <v>-0.4596381905858703</v>
      </c>
      <c r="O177" s="22">
        <f>('2012-2022'!P184-'2012-2022'!AC$2)/'2012-2022'!AC$3</f>
        <v>-0.17853552359716313</v>
      </c>
    </row>
    <row r="178" spans="1:15">
      <c r="A178" s="10" t="s">
        <v>23</v>
      </c>
      <c r="B178" s="11">
        <v>2019</v>
      </c>
      <c r="C178" s="14" t="s">
        <v>55</v>
      </c>
      <c r="D178" s="14" t="s">
        <v>54</v>
      </c>
      <c r="E178" s="22">
        <f>('2012-2022'!E185-'2012-2022'!R$2)/'2012-2022'!R$3</f>
        <v>0.70056157170279931</v>
      </c>
      <c r="F178" s="22">
        <f>('2012-2022'!F185-'2012-2022'!S$2)/'2012-2022'!S$3</f>
        <v>0.27187811423391978</v>
      </c>
      <c r="G178" s="22">
        <f>('2012-2022'!G185-'2012-2022'!T$2)/'2012-2022'!T$3</f>
        <v>0.21414468322298666</v>
      </c>
      <c r="H178" s="22">
        <f>('2012-2022'!H185-'2012-2022'!U$2)/'2012-2022'!U$3</f>
        <v>0.99729769303112659</v>
      </c>
      <c r="I178" s="22">
        <f>('2012-2022'!I185-'2012-2022'!V$2)/'2012-2022'!V$3</f>
        <v>0.46383281378637248</v>
      </c>
      <c r="J178" s="22">
        <f>('2012-2022'!J185-'2012-2022'!W$2)/'2012-2022'!W$3</f>
        <v>0.14355742625210113</v>
      </c>
      <c r="K178" s="22">
        <f>('2012-2022'!K185-'2012-2022'!X$2)/'2012-2022'!X$3</f>
        <v>-0.18681067271714083</v>
      </c>
      <c r="L178" s="22">
        <f>('2012-2022'!L185-'2012-2022'!Y$2)/'2012-2022'!Y$3</f>
        <v>1.867192980832632</v>
      </c>
      <c r="M178" s="22">
        <f>('2012-2022'!M185-'2012-2022'!Z$2)/'2012-2022'!Z$3</f>
        <v>0.2771703921381955</v>
      </c>
      <c r="N178" s="22">
        <f>('2012-2022'!N185-'2012-2022'!AA$2)/'2012-2022'!AA$3</f>
        <v>-0.54475184523644948</v>
      </c>
      <c r="O178" s="22">
        <f>('2012-2022'!P185-'2012-2022'!AC$2)/'2012-2022'!AC$3</f>
        <v>-0.12561451954993413</v>
      </c>
    </row>
    <row r="179" spans="1:15">
      <c r="A179" s="10" t="s">
        <v>23</v>
      </c>
      <c r="B179" s="11">
        <v>2020</v>
      </c>
      <c r="C179" s="14" t="s">
        <v>55</v>
      </c>
      <c r="D179" s="14" t="s">
        <v>54</v>
      </c>
      <c r="E179" s="22">
        <f>('2012-2022'!E186-'2012-2022'!R$2)/'2012-2022'!R$3</f>
        <v>0.75898497160745249</v>
      </c>
      <c r="F179" s="22">
        <f>('2012-2022'!F186-'2012-2022'!S$2)/'2012-2022'!S$3</f>
        <v>0.20301893041004798</v>
      </c>
      <c r="G179" s="22">
        <f>('2012-2022'!G186-'2012-2022'!T$2)/'2012-2022'!T$3</f>
        <v>0.62820925074393064</v>
      </c>
      <c r="H179" s="22">
        <f>('2012-2022'!H186-'2012-2022'!U$2)/'2012-2022'!U$3</f>
        <v>1.1121728126241537</v>
      </c>
      <c r="I179" s="22">
        <f>('2012-2022'!I186-'2012-2022'!V$2)/'2012-2022'!V$3</f>
        <v>0.49302975080293165</v>
      </c>
      <c r="J179" s="22">
        <f>('2012-2022'!J186-'2012-2022'!W$2)/'2012-2022'!W$3</f>
        <v>0.43266879262785402</v>
      </c>
      <c r="K179" s="22">
        <f>('2012-2022'!K186-'2012-2022'!X$2)/'2012-2022'!X$3</f>
        <v>-0.18151759220749375</v>
      </c>
      <c r="L179" s="22">
        <f>('2012-2022'!L186-'2012-2022'!Y$2)/'2012-2022'!Y$3</f>
        <v>2.4057351681667223</v>
      </c>
      <c r="M179" s="22">
        <f>('2012-2022'!M186-'2012-2022'!Z$2)/'2012-2022'!Z$3</f>
        <v>0.39427830739156838</v>
      </c>
      <c r="N179" s="22">
        <f>('2012-2022'!N186-'2012-2022'!AA$2)/'2012-2022'!AA$3</f>
        <v>-0.24161746702435358</v>
      </c>
      <c r="O179" s="22">
        <f>('2012-2022'!P186-'2012-2022'!AC$2)/'2012-2022'!AC$3</f>
        <v>-0.27351810178232905</v>
      </c>
    </row>
    <row r="180" spans="1:15">
      <c r="A180" s="10" t="s">
        <v>23</v>
      </c>
      <c r="B180" s="11">
        <v>2021</v>
      </c>
      <c r="C180" s="14" t="s">
        <v>55</v>
      </c>
      <c r="D180" s="14" t="s">
        <v>54</v>
      </c>
      <c r="E180" s="22">
        <f>('2012-2022'!E187-'2012-2022'!R$2)/'2012-2022'!R$3</f>
        <v>-0.74705614345582183</v>
      </c>
      <c r="F180" s="22">
        <f>('2012-2022'!F187-'2012-2022'!S$2)/'2012-2022'!S$3</f>
        <v>-1.1109040037529518</v>
      </c>
      <c r="G180" s="22">
        <f>('2012-2022'!G187-'2012-2022'!T$2)/'2012-2022'!T$3</f>
        <v>0.75712417202868187</v>
      </c>
      <c r="H180" s="22">
        <f>('2012-2022'!H187-'2012-2022'!U$2)/'2012-2022'!U$3</f>
        <v>-0.96261417711581665</v>
      </c>
      <c r="I180" s="22">
        <f>('2012-2022'!I187-'2012-2022'!V$2)/'2012-2022'!V$3</f>
        <v>-0.64528821791733304</v>
      </c>
      <c r="J180" s="22">
        <f>('2012-2022'!J187-'2012-2022'!W$2)/'2012-2022'!W$3</f>
        <v>-0.836816569353378</v>
      </c>
      <c r="K180" s="22">
        <f>('2012-2022'!K187-'2012-2022'!X$2)/'2012-2022'!X$3</f>
        <v>-1.0948589066237671</v>
      </c>
      <c r="L180" s="22">
        <f>('2012-2022'!L187-'2012-2022'!Y$2)/'2012-2022'!Y$3</f>
        <v>0.96712332474570506</v>
      </c>
      <c r="M180" s="22">
        <f>('2012-2022'!M187-'2012-2022'!Z$2)/'2012-2022'!Z$3</f>
        <v>1.1755182325927891</v>
      </c>
      <c r="N180" s="22">
        <f>('2012-2022'!N187-'2012-2022'!AA$2)/'2012-2022'!AA$3</f>
        <v>-0.70947187206499918</v>
      </c>
      <c r="O180" s="22">
        <f>('2012-2022'!P187-'2012-2022'!AC$2)/'2012-2022'!AC$3</f>
        <v>-0.10804924049177458</v>
      </c>
    </row>
    <row r="181" spans="1:15">
      <c r="A181" s="10" t="s">
        <v>23</v>
      </c>
      <c r="B181" s="11">
        <v>2022</v>
      </c>
      <c r="C181" s="14" t="s">
        <v>55</v>
      </c>
      <c r="D181" s="14" t="s">
        <v>54</v>
      </c>
      <c r="E181" s="22">
        <f>('2012-2022'!E188-'2012-2022'!R$2)/'2012-2022'!R$3</f>
        <v>-3.8537643513135704E-2</v>
      </c>
      <c r="F181" s="22">
        <f>('2012-2022'!F188-'2012-2022'!S$2)/'2012-2022'!S$3</f>
        <v>-0.68718564476845867</v>
      </c>
      <c r="G181" s="22">
        <f>('2012-2022'!G188-'2012-2022'!T$2)/'2012-2022'!T$3</f>
        <v>-2.7972938787741989E-2</v>
      </c>
      <c r="H181" s="22">
        <f>('2012-2022'!H188-'2012-2022'!U$2)/'2012-2022'!U$3</f>
        <v>-0.18114338534129379</v>
      </c>
      <c r="I181" s="22">
        <f>('2012-2022'!I188-'2012-2022'!V$2)/'2012-2022'!V$3</f>
        <v>-1.5406053886097925E-2</v>
      </c>
      <c r="J181" s="22">
        <f>('2012-2022'!J188-'2012-2022'!W$2)/'2012-2022'!W$3</f>
        <v>-0.74245355133143021</v>
      </c>
      <c r="K181" s="22">
        <f>('2012-2022'!K188-'2012-2022'!X$2)/'2012-2022'!X$3</f>
        <v>-0.7008713634990047</v>
      </c>
      <c r="L181" s="22">
        <f>('2012-2022'!L188-'2012-2022'!Y$2)/'2012-2022'!Y$3</f>
        <v>1.4026669637817555</v>
      </c>
      <c r="M181" s="22">
        <f>('2012-2022'!M188-'2012-2022'!Z$2)/'2012-2022'!Z$3</f>
        <v>1.0074246840240135</v>
      </c>
      <c r="N181" s="22">
        <f>('2012-2022'!N188-'2012-2022'!AA$2)/'2012-2022'!AA$3</f>
        <v>-0.95910239933801344</v>
      </c>
      <c r="O181" s="22">
        <f>('2012-2022'!P188-'2012-2022'!AC$2)/'2012-2022'!AC$3</f>
        <v>-0.1269525714911291</v>
      </c>
    </row>
    <row r="182" spans="1:15">
      <c r="A182" s="10" t="s">
        <v>24</v>
      </c>
      <c r="B182" s="11">
        <v>2012</v>
      </c>
      <c r="C182" s="14" t="s">
        <v>55</v>
      </c>
      <c r="D182" s="14" t="s">
        <v>54</v>
      </c>
      <c r="E182" s="22">
        <f>('2012-2022'!E189-'2012-2022'!R$2)/'2012-2022'!R$3</f>
        <v>-1.003863972530439</v>
      </c>
      <c r="F182" s="22">
        <f>('2012-2022'!F189-'2012-2022'!S$2)/'2012-2022'!S$3</f>
        <v>-0.66874691865010605</v>
      </c>
      <c r="G182" s="22">
        <f>('2012-2022'!G189-'2012-2022'!T$2)/'2012-2022'!T$3</f>
        <v>0.14400329097138434</v>
      </c>
      <c r="H182" s="22">
        <f>('2012-2022'!H189-'2012-2022'!U$2)/'2012-2022'!U$3</f>
        <v>-0.94936379160343154</v>
      </c>
      <c r="I182" s="22">
        <f>('2012-2022'!I189-'2012-2022'!V$2)/'2012-2022'!V$3</f>
        <v>-1.0014712715294352</v>
      </c>
      <c r="J182" s="22">
        <f>('2012-2022'!J189-'2012-2022'!W$2)/'2012-2022'!W$3</f>
        <v>-7.1661702477040642E-3</v>
      </c>
      <c r="K182" s="22">
        <f>('2012-2022'!K189-'2012-2022'!X$2)/'2012-2022'!X$3</f>
        <v>-0.57897723484112551</v>
      </c>
      <c r="L182" s="22">
        <f>('2012-2022'!L189-'2012-2022'!Y$2)/'2012-2022'!Y$3</f>
        <v>-0.13181401796169467</v>
      </c>
      <c r="M182" s="22">
        <f>('2012-2022'!M189-'2012-2022'!Z$2)/'2012-2022'!Z$3</f>
        <v>-0.15109655915182313</v>
      </c>
      <c r="N182" s="22">
        <f>('2012-2022'!N189-'2012-2022'!AA$2)/'2012-2022'!AA$3</f>
        <v>-1.5653552613819226</v>
      </c>
      <c r="O182" s="22">
        <f>('2012-2022'!P189-'2012-2022'!AC$2)/'2012-2022'!AC$3</f>
        <v>-0.23100782827596922</v>
      </c>
    </row>
    <row r="183" spans="1:15">
      <c r="A183" s="10" t="s">
        <v>24</v>
      </c>
      <c r="B183" s="11">
        <v>2013</v>
      </c>
      <c r="C183" s="14" t="s">
        <v>55</v>
      </c>
      <c r="D183" s="14" t="s">
        <v>54</v>
      </c>
      <c r="E183" s="22">
        <f>('2012-2022'!E190-'2012-2022'!R$2)/'2012-2022'!R$3</f>
        <v>-0.85028364265207357</v>
      </c>
      <c r="F183" s="22">
        <f>('2012-2022'!F190-'2012-2022'!S$2)/'2012-2022'!S$3</f>
        <v>-0.35964948229671412</v>
      </c>
      <c r="G183" s="22">
        <f>('2012-2022'!G190-'2012-2022'!T$2)/'2012-2022'!T$3</f>
        <v>-0.23570094457189811</v>
      </c>
      <c r="H183" s="22">
        <f>('2012-2022'!H190-'2012-2022'!U$2)/'2012-2022'!U$3</f>
        <v>-0.69731204420242943</v>
      </c>
      <c r="I183" s="22">
        <f>('2012-2022'!I190-'2012-2022'!V$2)/'2012-2022'!V$3</f>
        <v>-0.90999858798435507</v>
      </c>
      <c r="J183" s="22">
        <f>('2012-2022'!J190-'2012-2022'!W$2)/'2012-2022'!W$3</f>
        <v>7.2575005386271534E-3</v>
      </c>
      <c r="K183" s="22">
        <f>('2012-2022'!K190-'2012-2022'!X$2)/'2012-2022'!X$3</f>
        <v>-0.57849902246400531</v>
      </c>
      <c r="L183" s="22">
        <f>('2012-2022'!L190-'2012-2022'!Y$2)/'2012-2022'!Y$3</f>
        <v>-0.19362667512429391</v>
      </c>
      <c r="M183" s="22">
        <f>('2012-2022'!M190-'2012-2022'!Z$2)/'2012-2022'!Z$3</f>
        <v>-0.10143132423319146</v>
      </c>
      <c r="N183" s="22">
        <f>('2012-2022'!N190-'2012-2022'!AA$2)/'2012-2022'!AA$3</f>
        <v>-1.786774131738543</v>
      </c>
      <c r="O183" s="22">
        <f>('2012-2022'!P190-'2012-2022'!AC$2)/'2012-2022'!AC$3</f>
        <v>-0.26344229282102782</v>
      </c>
    </row>
    <row r="184" spans="1:15">
      <c r="A184" s="10" t="s">
        <v>24</v>
      </c>
      <c r="B184" s="11">
        <v>2014</v>
      </c>
      <c r="C184" s="14" t="s">
        <v>55</v>
      </c>
      <c r="D184" s="14" t="s">
        <v>54</v>
      </c>
      <c r="E184" s="22">
        <f>('2012-2022'!E191-'2012-2022'!R$2)/'2012-2022'!R$3</f>
        <v>-0.81970508991805047</v>
      </c>
      <c r="F184" s="22">
        <f>('2012-2022'!F191-'2012-2022'!S$2)/'2012-2022'!S$3</f>
        <v>-1.1656204587127168</v>
      </c>
      <c r="G184" s="22">
        <f>('2012-2022'!G191-'2012-2022'!T$2)/'2012-2022'!T$3</f>
        <v>0.49551453158722775</v>
      </c>
      <c r="H184" s="22">
        <f>('2012-2022'!H191-'2012-2022'!U$2)/'2012-2022'!U$3</f>
        <v>-1.0110688022634438</v>
      </c>
      <c r="I184" s="22">
        <f>('2012-2022'!I191-'2012-2022'!V$2)/'2012-2022'!V$3</f>
        <v>-0.71571431358647597</v>
      </c>
      <c r="J184" s="22">
        <f>('2012-2022'!J191-'2012-2022'!W$2)/'2012-2022'!W$3</f>
        <v>-0.2430669712595678</v>
      </c>
      <c r="K184" s="22">
        <f>('2012-2022'!K191-'2012-2022'!X$2)/'2012-2022'!X$3</f>
        <v>-0.75945866736394307</v>
      </c>
      <c r="L184" s="22">
        <f>('2012-2022'!L191-'2012-2022'!Y$2)/'2012-2022'!Y$3</f>
        <v>-9.840453610728267E-2</v>
      </c>
      <c r="M184" s="22">
        <f>('2012-2022'!M191-'2012-2022'!Z$2)/'2012-2022'!Z$3</f>
        <v>-0.43923768473137526</v>
      </c>
      <c r="N184" s="22">
        <f>('2012-2022'!N191-'2012-2022'!AA$2)/'2012-2022'!AA$3</f>
        <v>-1.7127137966700501</v>
      </c>
      <c r="O184" s="22">
        <f>('2012-2022'!P191-'2012-2022'!AC$2)/'2012-2022'!AC$3</f>
        <v>-0.36104917770735911</v>
      </c>
    </row>
    <row r="185" spans="1:15">
      <c r="A185" s="10" t="s">
        <v>24</v>
      </c>
      <c r="B185" s="11">
        <v>2015</v>
      </c>
      <c r="C185" s="14" t="s">
        <v>55</v>
      </c>
      <c r="D185" s="14" t="s">
        <v>54</v>
      </c>
      <c r="E185" s="22">
        <f>('2012-2022'!E192-'2012-2022'!R$2)/'2012-2022'!R$3</f>
        <v>-0.73313538127039979</v>
      </c>
      <c r="F185" s="22">
        <f>('2012-2022'!F192-'2012-2022'!S$2)/'2012-2022'!S$3</f>
        <v>-1.4651143415817098</v>
      </c>
      <c r="G185" s="22">
        <f>('2012-2022'!G192-'2012-2022'!T$2)/'2012-2022'!T$3</f>
        <v>1.7236803019981659</v>
      </c>
      <c r="H185" s="22">
        <f>('2012-2022'!H192-'2012-2022'!U$2)/'2012-2022'!U$3</f>
        <v>-1.1783205884965111</v>
      </c>
      <c r="I185" s="22">
        <f>('2012-2022'!I192-'2012-2022'!V$2)/'2012-2022'!V$3</f>
        <v>-0.50889306274592072</v>
      </c>
      <c r="J185" s="22">
        <f>('2012-2022'!J192-'2012-2022'!W$2)/'2012-2022'!W$3</f>
        <v>-0.24175035902780917</v>
      </c>
      <c r="K185" s="22">
        <f>('2012-2022'!K192-'2012-2022'!X$2)/'2012-2022'!X$3</f>
        <v>-0.93311777239866756</v>
      </c>
      <c r="L185" s="22">
        <f>('2012-2022'!L192-'2012-2022'!Y$2)/'2012-2022'!Y$3</f>
        <v>-0.35915714122728382</v>
      </c>
      <c r="M185" s="22">
        <f>('2012-2022'!M192-'2012-2022'!Z$2)/'2012-2022'!Z$3</f>
        <v>-0.29197922735062187</v>
      </c>
      <c r="N185" s="22">
        <f>('2012-2022'!N192-'2012-2022'!AA$2)/'2012-2022'!AA$3</f>
        <v>-1.5077718841469012</v>
      </c>
      <c r="O185" s="22">
        <f>('2012-2022'!P192-'2012-2022'!AC$2)/'2012-2022'!AC$3</f>
        <v>-0.31807901563566143</v>
      </c>
    </row>
    <row r="186" spans="1:15">
      <c r="A186" s="10" t="s">
        <v>24</v>
      </c>
      <c r="B186" s="11">
        <v>2016</v>
      </c>
      <c r="C186" s="14" t="s">
        <v>55</v>
      </c>
      <c r="D186" s="14" t="s">
        <v>54</v>
      </c>
      <c r="E186" s="22">
        <f>('2012-2022'!E193-'2012-2022'!R$2)/'2012-2022'!R$3</f>
        <v>-9.2282588148868597E-2</v>
      </c>
      <c r="F186" s="22">
        <f>('2012-2022'!F193-'2012-2022'!S$2)/'2012-2022'!S$3</f>
        <v>0.49670042745351506</v>
      </c>
      <c r="G186" s="22">
        <f>('2012-2022'!G193-'2012-2022'!T$2)/'2012-2022'!T$3</f>
        <v>0.62086615307774085</v>
      </c>
      <c r="H186" s="22">
        <f>('2012-2022'!H193-'2012-2022'!U$2)/'2012-2022'!U$3</f>
        <v>0.19564683137372019</v>
      </c>
      <c r="I186" s="22">
        <f>('2012-2022'!I193-'2012-2022'!V$2)/'2012-2022'!V$3</f>
        <v>-0.27363300933630097</v>
      </c>
      <c r="J186" s="22">
        <f>('2012-2022'!J193-'2012-2022'!W$2)/'2012-2022'!W$3</f>
        <v>3.4808632467719501E-2</v>
      </c>
      <c r="K186" s="22">
        <f>('2012-2022'!K193-'2012-2022'!X$2)/'2012-2022'!X$3</f>
        <v>-0.6110929772557957</v>
      </c>
      <c r="L186" s="22">
        <f>('2012-2022'!L193-'2012-2022'!Y$2)/'2012-2022'!Y$3</f>
        <v>6.641303790044622E-3</v>
      </c>
      <c r="M186" s="22">
        <f>('2012-2022'!M193-'2012-2022'!Z$2)/'2012-2022'!Z$3</f>
        <v>-0.74594213760282124</v>
      </c>
      <c r="N186" s="22">
        <f>('2012-2022'!N193-'2012-2022'!AA$2)/'2012-2022'!AA$3</f>
        <v>-1.2099587622647316</v>
      </c>
      <c r="O186" s="22">
        <f>('2012-2022'!P193-'2012-2022'!AC$2)/'2012-2022'!AC$3</f>
        <v>-0.23151096497320325</v>
      </c>
    </row>
    <row r="187" spans="1:15">
      <c r="A187" s="10" t="s">
        <v>24</v>
      </c>
      <c r="B187" s="11">
        <v>2017</v>
      </c>
      <c r="C187" s="14" t="s">
        <v>55</v>
      </c>
      <c r="D187" s="14" t="s">
        <v>54</v>
      </c>
      <c r="E187" s="22">
        <f>('2012-2022'!E194-'2012-2022'!R$2)/'2012-2022'!R$3</f>
        <v>-0.55245100910743228</v>
      </c>
      <c r="F187" s="22">
        <f>('2012-2022'!F194-'2012-2022'!S$2)/'2012-2022'!S$3</f>
        <v>-0.43744705644736387</v>
      </c>
      <c r="G187" s="22">
        <f>('2012-2022'!G194-'2012-2022'!T$2)/'2012-2022'!T$3</f>
        <v>0.29146341034143702</v>
      </c>
      <c r="H187" s="22">
        <f>('2012-2022'!H194-'2012-2022'!U$2)/'2012-2022'!U$3</f>
        <v>-0.520815225027636</v>
      </c>
      <c r="I187" s="22">
        <f>('2012-2022'!I194-'2012-2022'!V$2)/'2012-2022'!V$3</f>
        <v>-0.57830392292128241</v>
      </c>
      <c r="J187" s="22">
        <f>('2012-2022'!J194-'2012-2022'!W$2)/'2012-2022'!W$3</f>
        <v>0.16593991201026209</v>
      </c>
      <c r="K187" s="22">
        <f>('2012-2022'!K194-'2012-2022'!X$2)/'2012-2022'!X$3</f>
        <v>-0.42331472177111368</v>
      </c>
      <c r="L187" s="22">
        <f>('2012-2022'!L194-'2012-2022'!Y$2)/'2012-2022'!Y$3</f>
        <v>-0.2190704333138247</v>
      </c>
      <c r="M187" s="22">
        <f>('2012-2022'!M194-'2012-2022'!Z$2)/'2012-2022'!Z$3</f>
        <v>-0.84340660829500103</v>
      </c>
      <c r="N187" s="22">
        <f>('2012-2022'!N194-'2012-2022'!AA$2)/'2012-2022'!AA$3</f>
        <v>-0.63386040575115321</v>
      </c>
      <c r="O187" s="22">
        <f>('2012-2022'!P194-'2012-2022'!AC$2)/'2012-2022'!AC$3</f>
        <v>-0.27688441567666666</v>
      </c>
    </row>
    <row r="188" spans="1:15">
      <c r="A188" s="10" t="s">
        <v>24</v>
      </c>
      <c r="B188" s="11">
        <v>2018</v>
      </c>
      <c r="C188" s="14" t="s">
        <v>55</v>
      </c>
      <c r="D188" s="14" t="s">
        <v>54</v>
      </c>
      <c r="E188" s="22">
        <f>('2012-2022'!E195-'2012-2022'!R$2)/'2012-2022'!R$3</f>
        <v>-0.54704251419085048</v>
      </c>
      <c r="F188" s="22">
        <f>('2012-2022'!F195-'2012-2022'!S$2)/'2012-2022'!S$3</f>
        <v>-1.5163270615876874</v>
      </c>
      <c r="G188" s="22">
        <f>('2012-2022'!G195-'2012-2022'!T$2)/'2012-2022'!T$3</f>
        <v>1.6315909679515845</v>
      </c>
      <c r="H188" s="22">
        <f>('2012-2022'!H195-'2012-2022'!U$2)/'2012-2022'!U$3</f>
        <v>-1.1378823225024186</v>
      </c>
      <c r="I188" s="22">
        <f>('2012-2022'!I195-'2012-2022'!V$2)/'2012-2022'!V$3</f>
        <v>-0.25540249682466792</v>
      </c>
      <c r="J188" s="22">
        <f>('2012-2022'!J195-'2012-2022'!W$2)/'2012-2022'!W$3</f>
        <v>-3.7428236805465531E-2</v>
      </c>
      <c r="K188" s="22">
        <f>('2012-2022'!K195-'2012-2022'!X$2)/'2012-2022'!X$3</f>
        <v>-0.45551836098560383</v>
      </c>
      <c r="L188" s="22">
        <f>('2012-2022'!L195-'2012-2022'!Y$2)/'2012-2022'!Y$3</f>
        <v>-0.26120339578429635</v>
      </c>
      <c r="M188" s="22">
        <f>('2012-2022'!M195-'2012-2022'!Z$2)/'2012-2022'!Z$3</f>
        <v>-0.57132611995491944</v>
      </c>
      <c r="N188" s="22">
        <f>('2012-2022'!N195-'2012-2022'!AA$2)/'2012-2022'!AA$3</f>
        <v>-0.1636311766496516</v>
      </c>
      <c r="O188" s="22">
        <f>('2012-2022'!P195-'2012-2022'!AC$2)/'2012-2022'!AC$3</f>
        <v>-0.22095288905273425</v>
      </c>
    </row>
    <row r="189" spans="1:15">
      <c r="A189" s="10" t="s">
        <v>24</v>
      </c>
      <c r="B189" s="11">
        <v>2019</v>
      </c>
      <c r="C189" s="14" t="s">
        <v>55</v>
      </c>
      <c r="D189" s="14" t="s">
        <v>54</v>
      </c>
      <c r="E189" s="22">
        <f>('2012-2022'!E196-'2012-2022'!R$2)/'2012-2022'!R$3</f>
        <v>-0.4914420882576645</v>
      </c>
      <c r="F189" s="22">
        <f>('2012-2022'!F196-'2012-2022'!S$2)/'2012-2022'!S$3</f>
        <v>-1.5540138534069254</v>
      </c>
      <c r="G189" s="22">
        <f>('2012-2022'!G196-'2012-2022'!T$2)/'2012-2022'!T$3</f>
        <v>0.62024136205376024</v>
      </c>
      <c r="H189" s="22">
        <f>('2012-2022'!H196-'2012-2022'!U$2)/'2012-2022'!U$3</f>
        <v>-1.0702081430906853</v>
      </c>
      <c r="I189" s="22">
        <f>('2012-2022'!I196-'2012-2022'!V$2)/'2012-2022'!V$3</f>
        <v>-0.200384350545741</v>
      </c>
      <c r="J189" s="22">
        <f>('2012-2022'!J196-'2012-2022'!W$2)/'2012-2022'!W$3</f>
        <v>0.52587920587518722</v>
      </c>
      <c r="K189" s="22">
        <f>('2012-2022'!K196-'2012-2022'!X$2)/'2012-2022'!X$3</f>
        <v>-0.43357766940674042</v>
      </c>
      <c r="L189" s="22">
        <f>('2012-2022'!L196-'2012-2022'!Y$2)/'2012-2022'!Y$3</f>
        <v>1.4886038264518353</v>
      </c>
      <c r="M189" s="22">
        <f>('2012-2022'!M196-'2012-2022'!Z$2)/'2012-2022'!Z$3</f>
        <v>7.6976648469279485E-2</v>
      </c>
      <c r="N189" s="22">
        <f>('2012-2022'!N196-'2012-2022'!AA$2)/'2012-2022'!AA$3</f>
        <v>0.17311064927637498</v>
      </c>
      <c r="O189" s="22">
        <f>('2012-2022'!P196-'2012-2022'!AC$2)/'2012-2022'!AC$3</f>
        <v>7.2432505747182713E-2</v>
      </c>
    </row>
    <row r="190" spans="1:15">
      <c r="A190" s="10" t="s">
        <v>24</v>
      </c>
      <c r="B190" s="11">
        <v>2020</v>
      </c>
      <c r="C190" s="14" t="s">
        <v>55</v>
      </c>
      <c r="D190" s="14" t="s">
        <v>54</v>
      </c>
      <c r="E190" s="22">
        <f>('2012-2022'!E197-'2012-2022'!R$2)/'2012-2022'!R$3</f>
        <v>-0.69757494640172912</v>
      </c>
      <c r="F190" s="22">
        <f>('2012-2022'!F197-'2012-2022'!S$2)/'2012-2022'!S$3</f>
        <v>-1.4228435076888435</v>
      </c>
      <c r="G190" s="22">
        <f>('2012-2022'!G197-'2012-2022'!T$2)/'2012-2022'!T$3</f>
        <v>1.116067973780394</v>
      </c>
      <c r="H190" s="22">
        <f>('2012-2022'!H197-'2012-2022'!U$2)/'2012-2022'!U$3</f>
        <v>-1.1239661647232266</v>
      </c>
      <c r="I190" s="22">
        <f>('2012-2022'!I197-'2012-2022'!V$2)/'2012-2022'!V$3</f>
        <v>-0.46725514948611285</v>
      </c>
      <c r="J190" s="22">
        <f>('2012-2022'!J197-'2012-2022'!W$2)/'2012-2022'!W$3</f>
        <v>0.69496898529434326</v>
      </c>
      <c r="K190" s="22">
        <f>('2012-2022'!K197-'2012-2022'!X$2)/'2012-2022'!X$3</f>
        <v>-0.68623819892464877</v>
      </c>
      <c r="L190" s="22">
        <f>('2012-2022'!L197-'2012-2022'!Y$2)/'2012-2022'!Y$3</f>
        <v>1.2881775441552943</v>
      </c>
      <c r="M190" s="22">
        <f>('2012-2022'!M197-'2012-2022'!Z$2)/'2012-2022'!Z$3</f>
        <v>0.54111041273607108</v>
      </c>
      <c r="N190" s="22">
        <f>('2012-2022'!N197-'2012-2022'!AA$2)/'2012-2022'!AA$3</f>
        <v>-0.172070457517008</v>
      </c>
      <c r="O190" s="22">
        <f>('2012-2022'!P197-'2012-2022'!AC$2)/'2012-2022'!AC$3</f>
        <v>-6.9855223652765452E-3</v>
      </c>
    </row>
    <row r="191" spans="1:15">
      <c r="A191" s="10" t="s">
        <v>24</v>
      </c>
      <c r="B191" s="11">
        <v>2021</v>
      </c>
      <c r="C191" s="14" t="s">
        <v>55</v>
      </c>
      <c r="D191" s="14" t="s">
        <v>54</v>
      </c>
      <c r="E191" s="22">
        <f>('2012-2022'!E198-'2012-2022'!R$2)/'2012-2022'!R$3</f>
        <v>-0.20453801503990926</v>
      </c>
      <c r="F191" s="22">
        <f>('2012-2022'!F198-'2012-2022'!S$2)/'2012-2022'!S$3</f>
        <v>0.34722928584590573</v>
      </c>
      <c r="G191" s="22">
        <f>('2012-2022'!G198-'2012-2022'!T$2)/'2012-2022'!T$3</f>
        <v>1.1742883326899483</v>
      </c>
      <c r="H191" s="22">
        <f>('2012-2022'!H198-'2012-2022'!U$2)/'2012-2022'!U$3</f>
        <v>-0.16242170874444262</v>
      </c>
      <c r="I191" s="22">
        <f>('2012-2022'!I198-'2012-2022'!V$2)/'2012-2022'!V$3</f>
        <v>-0.24445343158060398</v>
      </c>
      <c r="J191" s="22">
        <f>('2012-2022'!J198-'2012-2022'!W$2)/'2012-2022'!W$3</f>
        <v>0.61996368802512647</v>
      </c>
      <c r="K191" s="22">
        <f>('2012-2022'!K198-'2012-2022'!X$2)/'2012-2022'!X$3</f>
        <v>-0.47176374229709572</v>
      </c>
      <c r="L191" s="22">
        <f>('2012-2022'!L198-'2012-2022'!Y$2)/'2012-2022'!Y$3</f>
        <v>1.0258551027426439</v>
      </c>
      <c r="M191" s="22">
        <f>('2012-2022'!M198-'2012-2022'!Z$2)/'2012-2022'!Z$3</f>
        <v>0.19735374623722191</v>
      </c>
      <c r="N191" s="22">
        <f>('2012-2022'!N198-'2012-2022'!AA$2)/'2012-2022'!AA$3</f>
        <v>0.41602421234716203</v>
      </c>
      <c r="O191" s="22">
        <f>('2012-2022'!P198-'2012-2022'!AC$2)/'2012-2022'!AC$3</f>
        <v>2.9106308388163141E-3</v>
      </c>
    </row>
    <row r="192" spans="1:15">
      <c r="A192" s="10" t="s">
        <v>24</v>
      </c>
      <c r="B192" s="11">
        <v>2022</v>
      </c>
      <c r="C192" s="14" t="s">
        <v>55</v>
      </c>
      <c r="D192" s="14" t="s">
        <v>54</v>
      </c>
      <c r="E192" s="22">
        <f>('2012-2022'!E199-'2012-2022'!R$2)/'2012-2022'!R$3</f>
        <v>-4.5890411139614007E-2</v>
      </c>
      <c r="F192" s="22">
        <f>('2012-2022'!F199-'2012-2022'!S$2)/'2012-2022'!S$3</f>
        <v>-0.11722323221244237</v>
      </c>
      <c r="G192" s="22">
        <f>('2012-2022'!G199-'2012-2022'!T$2)/'2012-2022'!T$3</f>
        <v>0.70877153300591866</v>
      </c>
      <c r="H192" s="22">
        <f>('2012-2022'!H199-'2012-2022'!U$2)/'2012-2022'!U$3</f>
        <v>-0.13501531579159365</v>
      </c>
      <c r="I192" s="22">
        <f>('2012-2022'!I199-'2012-2022'!V$2)/'2012-2022'!V$3</f>
        <v>-2.6361954257161126E-2</v>
      </c>
      <c r="J192" s="22">
        <f>('2012-2022'!J199-'2012-2022'!W$2)/'2012-2022'!W$3</f>
        <v>0.99120592114175698</v>
      </c>
      <c r="K192" s="22">
        <f>('2012-2022'!K199-'2012-2022'!X$2)/'2012-2022'!X$3</f>
        <v>-0.38801454297264254</v>
      </c>
      <c r="L192" s="22">
        <f>('2012-2022'!L199-'2012-2022'!Y$2)/'2012-2022'!Y$3</f>
        <v>0.93568774254222453</v>
      </c>
      <c r="M192" s="22">
        <f>('2012-2022'!M199-'2012-2022'!Z$2)/'2012-2022'!Z$3</f>
        <v>0.60955113139842387</v>
      </c>
      <c r="N192" s="22">
        <f>('2012-2022'!N199-'2012-2022'!AA$2)/'2012-2022'!AA$3</f>
        <v>0.63135787638723695</v>
      </c>
      <c r="O192" s="22">
        <f>('2012-2022'!P199-'2012-2022'!AC$2)/'2012-2022'!AC$3</f>
        <v>-0.11307671010339207</v>
      </c>
    </row>
    <row r="193" spans="1:15">
      <c r="A193" s="10" t="s">
        <v>25</v>
      </c>
      <c r="B193" s="11">
        <v>2012</v>
      </c>
      <c r="C193" s="14" t="s">
        <v>60</v>
      </c>
      <c r="D193" s="14" t="s">
        <v>52</v>
      </c>
      <c r="E193" s="22">
        <f>('2012-2022'!E200-'2012-2022'!R$2)/'2012-2022'!R$3</f>
        <v>-0.95861205537259897</v>
      </c>
      <c r="F193" s="22">
        <f>('2012-2022'!F200-'2012-2022'!S$2)/'2012-2022'!S$3</f>
        <v>0.33589588105664653</v>
      </c>
      <c r="G193" s="22">
        <f>('2012-2022'!G200-'2012-2022'!T$2)/'2012-2022'!T$3</f>
        <v>0.26440503333968735</v>
      </c>
      <c r="H193" s="22">
        <f>('2012-2022'!H200-'2012-2022'!U$2)/'2012-2022'!U$3</f>
        <v>-0.8778869989600272</v>
      </c>
      <c r="I193" s="22">
        <f>('2012-2022'!I200-'2012-2022'!V$2)/'2012-2022'!V$3</f>
        <v>-0.90201003308906158</v>
      </c>
      <c r="J193" s="22">
        <f>('2012-2022'!J200-'2012-2022'!W$2)/'2012-2022'!W$3</f>
        <v>-1.033168486536316</v>
      </c>
      <c r="K193" s="22">
        <f>('2012-2022'!K200-'2012-2022'!X$2)/'2012-2022'!X$3</f>
        <v>-0.63393363295664296</v>
      </c>
      <c r="L193" s="22">
        <f>('2012-2022'!L200-'2012-2022'!Y$2)/'2012-2022'!Y$3</f>
        <v>-0.92308812138899976</v>
      </c>
      <c r="M193" s="22">
        <f>('2012-2022'!M200-'2012-2022'!Z$2)/'2012-2022'!Z$3</f>
        <v>-0.9874693820575936</v>
      </c>
      <c r="N193" s="22">
        <f>('2012-2022'!N200-'2012-2022'!AA$2)/'2012-2022'!AA$3</f>
        <v>-0.58008923874377805</v>
      </c>
      <c r="O193" s="22">
        <f>('2012-2022'!P200-'2012-2022'!AC$2)/'2012-2022'!AC$3</f>
        <v>-0.23260813487744161</v>
      </c>
    </row>
    <row r="194" spans="1:15">
      <c r="A194" s="10" t="s">
        <v>25</v>
      </c>
      <c r="B194" s="11">
        <v>2013</v>
      </c>
      <c r="C194" s="14" t="s">
        <v>60</v>
      </c>
      <c r="D194" s="14" t="s">
        <v>52</v>
      </c>
      <c r="E194" s="22">
        <f>('2012-2022'!E201-'2012-2022'!R$2)/'2012-2022'!R$3</f>
        <v>-0.37185811896862103</v>
      </c>
      <c r="F194" s="22">
        <f>('2012-2022'!F201-'2012-2022'!S$2)/'2012-2022'!S$3</f>
        <v>0.68605916911383868</v>
      </c>
      <c r="G194" s="22">
        <f>('2012-2022'!G201-'2012-2022'!T$2)/'2012-2022'!T$3</f>
        <v>0.80659582229983118</v>
      </c>
      <c r="H194" s="22">
        <f>('2012-2022'!H201-'2012-2022'!U$2)/'2012-2022'!U$3</f>
        <v>-0.48636492136801024</v>
      </c>
      <c r="I194" s="22">
        <f>('2012-2022'!I201-'2012-2022'!V$2)/'2012-2022'!V$3</f>
        <v>-0.16511596811323523</v>
      </c>
      <c r="J194" s="22">
        <f>('2012-2022'!J201-'2012-2022'!W$2)/'2012-2022'!W$3</f>
        <v>-0.75719778903970114</v>
      </c>
      <c r="K194" s="22">
        <f>('2012-2022'!K201-'2012-2022'!X$2)/'2012-2022'!X$3</f>
        <v>-0.52059163917396167</v>
      </c>
      <c r="L194" s="22">
        <f>('2012-2022'!L201-'2012-2022'!Y$2)/'2012-2022'!Y$3</f>
        <v>-0.82618511035768383</v>
      </c>
      <c r="M194" s="22">
        <f>('2012-2022'!M201-'2012-2022'!Z$2)/'2012-2022'!Z$3</f>
        <v>-1.6287066734275597</v>
      </c>
      <c r="N194" s="22">
        <f>('2012-2022'!N201-'2012-2022'!AA$2)/'2012-2022'!AA$3</f>
        <v>-0.43183017842968513</v>
      </c>
      <c r="O194" s="22">
        <f>('2012-2022'!P201-'2012-2022'!AC$2)/'2012-2022'!AC$3</f>
        <v>-0.25452890312575038</v>
      </c>
    </row>
    <row r="195" spans="1:15">
      <c r="A195" s="10" t="s">
        <v>25</v>
      </c>
      <c r="B195" s="11">
        <v>2014</v>
      </c>
      <c r="C195" s="14" t="s">
        <v>60</v>
      </c>
      <c r="D195" s="14" t="s">
        <v>52</v>
      </c>
      <c r="E195" s="22">
        <f>('2012-2022'!E202-'2012-2022'!R$2)/'2012-2022'!R$3</f>
        <v>-0.91833544197536443</v>
      </c>
      <c r="F195" s="22">
        <f>('2012-2022'!F202-'2012-2022'!S$2)/'2012-2022'!S$3</f>
        <v>0.23695644769798505</v>
      </c>
      <c r="G195" s="22">
        <f>('2012-2022'!G202-'2012-2022'!T$2)/'2012-2022'!T$3</f>
        <v>1.0185431037155812</v>
      </c>
      <c r="H195" s="22">
        <f>('2012-2022'!H202-'2012-2022'!U$2)/'2012-2022'!U$3</f>
        <v>-0.9097595515100898</v>
      </c>
      <c r="I195" s="22">
        <f>('2012-2022'!I202-'2012-2022'!V$2)/'2012-2022'!V$3</f>
        <v>-0.82282232034233371</v>
      </c>
      <c r="J195" s="22">
        <f>('2012-2022'!J202-'2012-2022'!W$2)/'2012-2022'!W$3</f>
        <v>-1.1938696542105585</v>
      </c>
      <c r="K195" s="22">
        <f>('2012-2022'!K202-'2012-2022'!X$2)/'2012-2022'!X$3</f>
        <v>-0.79786814688955199</v>
      </c>
      <c r="L195" s="22">
        <f>('2012-2022'!L202-'2012-2022'!Y$2)/'2012-2022'!Y$3</f>
        <v>-1.0117582682161661</v>
      </c>
      <c r="M195" s="22">
        <f>('2012-2022'!M202-'2012-2022'!Z$2)/'2012-2022'!Z$3</f>
        <v>-1.7985302095357831</v>
      </c>
      <c r="N195" s="22">
        <f>('2012-2022'!N202-'2012-2022'!AA$2)/'2012-2022'!AA$3</f>
        <v>-0.48513908790789034</v>
      </c>
      <c r="O195" s="22">
        <f>('2012-2022'!P202-'2012-2022'!AC$2)/'2012-2022'!AC$3</f>
        <v>-0.53493822397973556</v>
      </c>
    </row>
    <row r="196" spans="1:15">
      <c r="A196" s="10" t="s">
        <v>25</v>
      </c>
      <c r="B196" s="11">
        <v>2015</v>
      </c>
      <c r="C196" s="14" t="s">
        <v>60</v>
      </c>
      <c r="D196" s="14" t="s">
        <v>52</v>
      </c>
      <c r="E196" s="22">
        <f>('2012-2022'!E203-'2012-2022'!R$2)/'2012-2022'!R$3</f>
        <v>-0.66832069431309571</v>
      </c>
      <c r="F196" s="22">
        <f>('2012-2022'!F203-'2012-2022'!S$2)/'2012-2022'!S$3</f>
        <v>0.13739633802533729</v>
      </c>
      <c r="G196" s="22">
        <f>('2012-2022'!G203-'2012-2022'!T$2)/'2012-2022'!T$3</f>
        <v>0.58308418241479543</v>
      </c>
      <c r="H196" s="22">
        <f>('2012-2022'!H203-'2012-2022'!U$2)/'2012-2022'!U$3</f>
        <v>-0.69764136028603552</v>
      </c>
      <c r="I196" s="22">
        <f>('2012-2022'!I203-'2012-2022'!V$2)/'2012-2022'!V$3</f>
        <v>-0.57168478156382474</v>
      </c>
      <c r="J196" s="22">
        <f>('2012-2022'!J203-'2012-2022'!W$2)/'2012-2022'!W$3</f>
        <v>-0.51750222266109835</v>
      </c>
      <c r="K196" s="22">
        <f>('2012-2022'!K203-'2012-2022'!X$2)/'2012-2022'!X$3</f>
        <v>-0.71036561273243004</v>
      </c>
      <c r="L196" s="22">
        <f>('2012-2022'!L203-'2012-2022'!Y$2)/'2012-2022'!Y$3</f>
        <v>-0.53545744804454443</v>
      </c>
      <c r="M196" s="22">
        <f>('2012-2022'!M203-'2012-2022'!Z$2)/'2012-2022'!Z$3</f>
        <v>-1.0273604111526449</v>
      </c>
      <c r="N196" s="22">
        <f>('2012-2022'!N203-'2012-2022'!AA$2)/'2012-2022'!AA$3</f>
        <v>-0.24210065050665652</v>
      </c>
      <c r="O196" s="22">
        <f>('2012-2022'!P203-'2012-2022'!AC$2)/'2012-2022'!AC$3</f>
        <v>-0.66946216684937632</v>
      </c>
    </row>
    <row r="197" spans="1:15">
      <c r="A197" s="10" t="s">
        <v>25</v>
      </c>
      <c r="B197" s="11">
        <v>2016</v>
      </c>
      <c r="C197" s="14" t="s">
        <v>60</v>
      </c>
      <c r="D197" s="14" t="s">
        <v>52</v>
      </c>
      <c r="E197" s="22">
        <f>('2012-2022'!E204-'2012-2022'!R$2)/'2012-2022'!R$3</f>
        <v>-1.0133672601723802</v>
      </c>
      <c r="F197" s="22">
        <f>('2012-2022'!F204-'2012-2022'!S$2)/'2012-2022'!S$3</f>
        <v>1.1547856970999446</v>
      </c>
      <c r="G197" s="22">
        <f>('2012-2022'!G204-'2012-2022'!T$2)/'2012-2022'!T$3</f>
        <v>-0.64078204823384222</v>
      </c>
      <c r="H197" s="22">
        <f>('2012-2022'!H204-'2012-2022'!U$2)/'2012-2022'!U$3</f>
        <v>-0.64892414421135791</v>
      </c>
      <c r="I197" s="22">
        <f>('2012-2022'!I204-'2012-2022'!V$2)/'2012-2022'!V$3</f>
        <v>-1.1808931746599503</v>
      </c>
      <c r="J197" s="22">
        <f>('2012-2022'!J204-'2012-2022'!W$2)/'2012-2022'!W$3</f>
        <v>-1.174255264850864</v>
      </c>
      <c r="K197" s="22">
        <f>('2012-2022'!K204-'2012-2022'!X$2)/'2012-2022'!X$3</f>
        <v>-0.75547598465690835</v>
      </c>
      <c r="L197" s="22">
        <f>('2012-2022'!L204-'2012-2022'!Y$2)/'2012-2022'!Y$3</f>
        <v>-0.85765862555407313</v>
      </c>
      <c r="M197" s="22">
        <f>('2012-2022'!M204-'2012-2022'!Z$2)/'2012-2022'!Z$3</f>
        <v>-0.75814316993584407</v>
      </c>
      <c r="N197" s="22">
        <f>('2012-2022'!N204-'2012-2022'!AA$2)/'2012-2022'!AA$3</f>
        <v>-0.60758291017132382</v>
      </c>
      <c r="O197" s="22">
        <f>('2012-2022'!P204-'2012-2022'!AC$2)/'2012-2022'!AC$3</f>
        <v>-0.71161891202174765</v>
      </c>
    </row>
    <row r="198" spans="1:15">
      <c r="A198" s="10" t="s">
        <v>25</v>
      </c>
      <c r="B198" s="11">
        <v>2017</v>
      </c>
      <c r="C198" s="14" t="s">
        <v>60</v>
      </c>
      <c r="D198" s="14" t="s">
        <v>52</v>
      </c>
      <c r="E198" s="22">
        <f>('2012-2022'!E205-'2012-2022'!R$2)/'2012-2022'!R$3</f>
        <v>-0.24511798749775243</v>
      </c>
      <c r="F198" s="22">
        <f>('2012-2022'!F205-'2012-2022'!S$2)/'2012-2022'!S$3</f>
        <v>0.57814310397851909</v>
      </c>
      <c r="G198" s="22">
        <f>('2012-2022'!G205-'2012-2022'!T$2)/'2012-2022'!T$3</f>
        <v>1.133769752285211</v>
      </c>
      <c r="H198" s="22">
        <f>('2012-2022'!H205-'2012-2022'!U$2)/'2012-2022'!U$3</f>
        <v>-0.35666320357445752</v>
      </c>
      <c r="I198" s="22">
        <f>('2012-2022'!I205-'2012-2022'!V$2)/'2012-2022'!V$3</f>
        <v>-0.11355553776793932</v>
      </c>
      <c r="J198" s="22">
        <f>('2012-2022'!J205-'2012-2022'!W$2)/'2012-2022'!W$3</f>
        <v>-0.99552405730187865</v>
      </c>
      <c r="K198" s="22">
        <f>('2012-2022'!K205-'2012-2022'!X$2)/'2012-2022'!X$3</f>
        <v>-0.5382356949490994</v>
      </c>
      <c r="L198" s="22">
        <f>('2012-2022'!L205-'2012-2022'!Y$2)/'2012-2022'!Y$3</f>
        <v>-0.92218254422498758</v>
      </c>
      <c r="M198" s="22">
        <f>('2012-2022'!M205-'2012-2022'!Z$2)/'2012-2022'!Z$3</f>
        <v>-0.69708847784080763</v>
      </c>
      <c r="N198" s="22">
        <f>('2012-2022'!N205-'2012-2022'!AA$2)/'2012-2022'!AA$3</f>
        <v>-0.10115153636639646</v>
      </c>
      <c r="O198" s="22">
        <f>('2012-2022'!P205-'2012-2022'!AC$2)/'2012-2022'!AC$3</f>
        <v>-0.75116040242753634</v>
      </c>
    </row>
    <row r="199" spans="1:15">
      <c r="A199" s="10" t="s">
        <v>25</v>
      </c>
      <c r="B199" s="11">
        <v>2019</v>
      </c>
      <c r="C199" s="14" t="s">
        <v>60</v>
      </c>
      <c r="D199" s="14" t="s">
        <v>52</v>
      </c>
      <c r="E199" s="22">
        <f>('2012-2022'!E207-'2012-2022'!R$2)/'2012-2022'!R$3</f>
        <v>-0.3956914671521779</v>
      </c>
      <c r="F199" s="22">
        <f>('2012-2022'!F207-'2012-2022'!S$2)/'2012-2022'!S$3</f>
        <v>0.30834719878264566</v>
      </c>
      <c r="G199" s="22">
        <f>('2012-2022'!G207-'2012-2022'!T$2)/'2012-2022'!T$3</f>
        <v>1.0202054102643772</v>
      </c>
      <c r="H199" s="22">
        <f>('2012-2022'!H207-'2012-2022'!U$2)/'2012-2022'!U$3</f>
        <v>-0.41494554593398936</v>
      </c>
      <c r="I199" s="22">
        <f>('2012-2022'!I207-'2012-2022'!V$2)/'2012-2022'!V$3</f>
        <v>-0.36165407974663139</v>
      </c>
      <c r="J199" s="22">
        <f>('2012-2022'!J207-'2012-2022'!W$2)/'2012-2022'!W$3</f>
        <v>0.77758494020120839</v>
      </c>
      <c r="K199" s="22">
        <f>('2012-2022'!K207-'2012-2022'!X$2)/'2012-2022'!X$3</f>
        <v>-0.48795150822054933</v>
      </c>
      <c r="L199" s="22">
        <f>('2012-2022'!L207-'2012-2022'!Y$2)/'2012-2022'!Y$3</f>
        <v>-1.0718551606221509</v>
      </c>
      <c r="M199" s="22">
        <f>('2012-2022'!M207-'2012-2022'!Z$2)/'2012-2022'!Z$3</f>
        <v>0.37207509429185787</v>
      </c>
      <c r="N199" s="22">
        <f>('2012-2022'!N207-'2012-2022'!AA$2)/'2012-2022'!AA$3</f>
        <v>0.97016100629654456</v>
      </c>
      <c r="O199" s="22">
        <f>('2012-2022'!P207-'2012-2022'!AC$2)/'2012-2022'!AC$3</f>
        <v>-0.89055856062745331</v>
      </c>
    </row>
    <row r="200" spans="1:15">
      <c r="A200" s="10" t="s">
        <v>25</v>
      </c>
      <c r="B200" s="11">
        <v>2021</v>
      </c>
      <c r="C200" s="14" t="s">
        <v>60</v>
      </c>
      <c r="D200" s="14" t="s">
        <v>52</v>
      </c>
      <c r="E200" s="22">
        <f>('2012-2022'!E209-'2012-2022'!R$2)/'2012-2022'!R$3</f>
        <v>0.75136760485760001</v>
      </c>
      <c r="F200" s="22">
        <f>('2012-2022'!F209-'2012-2022'!S$2)/'2012-2022'!S$3</f>
        <v>1.6869006643573592</v>
      </c>
      <c r="G200" s="22">
        <f>('2012-2022'!G209-'2012-2022'!T$2)/'2012-2022'!T$3</f>
        <v>0.99928410794562716</v>
      </c>
      <c r="H200" s="22">
        <f>('2012-2022'!H209-'2012-2022'!U$2)/'2012-2022'!U$3</f>
        <v>1.0996890137320368</v>
      </c>
      <c r="I200" s="22">
        <f>('2012-2022'!I209-'2012-2022'!V$2)/'2012-2022'!V$3</f>
        <v>0.48309198383480884</v>
      </c>
      <c r="J200" s="22">
        <f>('2012-2022'!J209-'2012-2022'!W$2)/'2012-2022'!W$3</f>
        <v>1.5884562334270103</v>
      </c>
      <c r="K200" s="22">
        <f>('2012-2022'!K209-'2012-2022'!X$2)/'2012-2022'!X$3</f>
        <v>0.56520902437764287</v>
      </c>
      <c r="L200" s="22">
        <f>('2012-2022'!L209-'2012-2022'!Y$2)/'2012-2022'!Y$3</f>
        <v>-0.32913067492828485</v>
      </c>
      <c r="M200" s="22">
        <f>('2012-2022'!M209-'2012-2022'!Z$2)/'2012-2022'!Z$3</f>
        <v>0.65497580399044986</v>
      </c>
      <c r="N200" s="22">
        <f>('2012-2022'!N209-'2012-2022'!AA$2)/'2012-2022'!AA$3</f>
        <v>0.8127658627730493</v>
      </c>
      <c r="O200" s="22">
        <f>('2012-2022'!P209-'2012-2022'!AC$2)/'2012-2022'!AC$3</f>
        <v>-1.0176136516956746</v>
      </c>
    </row>
    <row r="201" spans="1:15">
      <c r="A201" s="10" t="s">
        <v>25</v>
      </c>
      <c r="B201" s="11">
        <v>2022</v>
      </c>
      <c r="C201" s="14" t="s">
        <v>60</v>
      </c>
      <c r="D201" s="14" t="s">
        <v>52</v>
      </c>
      <c r="E201" s="22">
        <f>('2012-2022'!E210-'2012-2022'!R$2)/'2012-2022'!R$3</f>
        <v>-0.61178002100807727</v>
      </c>
      <c r="F201" s="22">
        <f>('2012-2022'!F210-'2012-2022'!S$2)/'2012-2022'!S$3</f>
        <v>1.093358779843135</v>
      </c>
      <c r="G201" s="22">
        <f>('2012-2022'!G210-'2012-2022'!T$2)/'2012-2022'!T$3</f>
        <v>0.96114645993206882</v>
      </c>
      <c r="H201" s="22">
        <f>('2012-2022'!H210-'2012-2022'!U$2)/'2012-2022'!U$3</f>
        <v>-0.47359044734933398</v>
      </c>
      <c r="I201" s="22">
        <f>('2012-2022'!I210-'2012-2022'!V$2)/'2012-2022'!V$3</f>
        <v>-0.64479019549398875</v>
      </c>
      <c r="J201" s="22">
        <f>('2012-2022'!J210-'2012-2022'!W$2)/'2012-2022'!W$3</f>
        <v>1.0707724403695098</v>
      </c>
      <c r="K201" s="22">
        <f>('2012-2022'!K210-'2012-2022'!X$2)/'2012-2022'!X$3</f>
        <v>-0.93004599356556228</v>
      </c>
      <c r="L201" s="22">
        <f>('2012-2022'!L210-'2012-2022'!Y$2)/'2012-2022'!Y$3</f>
        <v>-0.65208846883625615</v>
      </c>
      <c r="M201" s="22">
        <f>('2012-2022'!M210-'2012-2022'!Z$2)/'2012-2022'!Z$3</f>
        <v>0.85393834407278069</v>
      </c>
      <c r="N201" s="22">
        <f>('2012-2022'!N210-'2012-2022'!AA$2)/'2012-2022'!AA$3</f>
        <v>1.0263824012077605</v>
      </c>
      <c r="O201" s="22">
        <f>('2012-2022'!P210-'2012-2022'!AC$2)/'2012-2022'!AC$3</f>
        <v>-1.1182375966670191</v>
      </c>
    </row>
    <row r="202" spans="1:15">
      <c r="A202" s="10" t="s">
        <v>26</v>
      </c>
      <c r="B202" s="11">
        <v>2012</v>
      </c>
      <c r="C202" s="14" t="s">
        <v>59</v>
      </c>
      <c r="D202" s="14" t="s">
        <v>54</v>
      </c>
      <c r="E202" s="22">
        <f>('2012-2022'!E211-'2012-2022'!R$2)/'2012-2022'!R$3</f>
        <v>-1.3536197925084197</v>
      </c>
      <c r="F202" s="22">
        <f>('2012-2022'!F211-'2012-2022'!S$2)/'2012-2022'!S$3</f>
        <v>-1.9820422537219784</v>
      </c>
      <c r="G202" s="22">
        <f>('2012-2022'!G211-'2012-2022'!T$2)/'2012-2022'!T$3</f>
        <v>-1.7460817018815544</v>
      </c>
      <c r="H202" s="22">
        <f>('2012-2022'!H211-'2012-2022'!U$2)/'2012-2022'!U$3</f>
        <v>-1.4063718950589355</v>
      </c>
      <c r="I202" s="22">
        <f>('2012-2022'!I211-'2012-2022'!V$2)/'2012-2022'!V$3</f>
        <v>-1.2580383099322945</v>
      </c>
      <c r="J202" s="22">
        <f>('2012-2022'!J211-'2012-2022'!W$2)/'2012-2022'!W$3</f>
        <v>-2.1246812894996387</v>
      </c>
      <c r="K202" s="22">
        <f>('2012-2022'!K211-'2012-2022'!X$2)/'2012-2022'!X$3</f>
        <v>-0.58481068809201397</v>
      </c>
      <c r="L202" s="22">
        <f>('2012-2022'!L211-'2012-2022'!Y$2)/'2012-2022'!Y$3</f>
        <v>-1.0410915131764413</v>
      </c>
      <c r="M202" s="22">
        <f>('2012-2022'!M211-'2012-2022'!Z$2)/'2012-2022'!Z$3</f>
        <v>-0.26685442283741734</v>
      </c>
      <c r="N202" s="22">
        <f>('2012-2022'!N211-'2012-2022'!AA$2)/'2012-2022'!AA$3</f>
        <v>-2.0066746111631888</v>
      </c>
      <c r="O202" s="22">
        <f>('2012-2022'!P211-'2012-2022'!AC$2)/'2012-2022'!AC$3</f>
        <v>0.12786039278862646</v>
      </c>
    </row>
    <row r="203" spans="1:15">
      <c r="A203" s="10" t="s">
        <v>26</v>
      </c>
      <c r="B203" s="11">
        <v>2013</v>
      </c>
      <c r="C203" s="14" t="s">
        <v>59</v>
      </c>
      <c r="D203" s="14" t="s">
        <v>54</v>
      </c>
      <c r="E203" s="22">
        <f>('2012-2022'!E212-'2012-2022'!R$2)/'2012-2022'!R$3</f>
        <v>-1.3970042734267891</v>
      </c>
      <c r="F203" s="22">
        <f>('2012-2022'!F212-'2012-2022'!S$2)/'2012-2022'!S$3</f>
        <v>-2.2488457007042286</v>
      </c>
      <c r="G203" s="22">
        <f>('2012-2022'!G212-'2012-2022'!T$2)/'2012-2022'!T$3</f>
        <v>-1.8922004954909637</v>
      </c>
      <c r="H203" s="22">
        <f>('2012-2022'!H212-'2012-2022'!U$2)/'2012-2022'!U$3</f>
        <v>-1.5204296627301963</v>
      </c>
      <c r="I203" s="22">
        <f>('2012-2022'!I212-'2012-2022'!V$2)/'2012-2022'!V$3</f>
        <v>-1.2375024347649881</v>
      </c>
      <c r="J203" s="22">
        <f>('2012-2022'!J212-'2012-2022'!W$2)/'2012-2022'!W$3</f>
        <v>-2.0229746984140351</v>
      </c>
      <c r="K203" s="22">
        <f>('2012-2022'!K212-'2012-2022'!X$2)/'2012-2022'!X$3</f>
        <v>-0.65831900208209426</v>
      </c>
      <c r="L203" s="22">
        <f>('2012-2022'!L212-'2012-2022'!Y$2)/'2012-2022'!Y$3</f>
        <v>-0.88361898176914933</v>
      </c>
      <c r="M203" s="22">
        <f>('2012-2022'!M212-'2012-2022'!Z$2)/'2012-2022'!Z$3</f>
        <v>0.16105264782120388</v>
      </c>
      <c r="N203" s="22">
        <f>('2012-2022'!N212-'2012-2022'!AA$2)/'2012-2022'!AA$3</f>
        <v>-1.993638713164005</v>
      </c>
      <c r="O203" s="22">
        <f>('2012-2022'!P212-'2012-2022'!AC$2)/'2012-2022'!AC$3</f>
        <v>0.24004240100922533</v>
      </c>
    </row>
    <row r="204" spans="1:15">
      <c r="A204" s="10" t="s">
        <v>26</v>
      </c>
      <c r="B204" s="11">
        <v>2015</v>
      </c>
      <c r="C204" s="14" t="s">
        <v>59</v>
      </c>
      <c r="D204" s="14" t="s">
        <v>54</v>
      </c>
      <c r="E204" s="22">
        <f>('2012-2022'!E214-'2012-2022'!R$2)/'2012-2022'!R$3</f>
        <v>-1.4105785061621021</v>
      </c>
      <c r="F204" s="22">
        <f>('2012-2022'!F214-'2012-2022'!S$2)/'2012-2022'!S$3</f>
        <v>-1.829777064367051</v>
      </c>
      <c r="G204" s="22">
        <f>('2012-2022'!G214-'2012-2022'!T$2)/'2012-2022'!T$3</f>
        <v>-3.0737284036190089</v>
      </c>
      <c r="H204" s="22">
        <f>('2012-2022'!H214-'2012-2022'!U$2)/'2012-2022'!U$3</f>
        <v>-1.2687557001830156</v>
      </c>
      <c r="I204" s="22">
        <f>('2012-2022'!I214-'2012-2022'!V$2)/'2012-2022'!V$3</f>
        <v>-1.4025001032408975</v>
      </c>
      <c r="J204" s="22">
        <f>('2012-2022'!J214-'2012-2022'!W$2)/'2012-2022'!W$3</f>
        <v>-2.0827561048543544</v>
      </c>
      <c r="K204" s="22">
        <f>('2012-2022'!K214-'2012-2022'!X$2)/'2012-2022'!X$3</f>
        <v>-0.95147856571198397</v>
      </c>
      <c r="L204" s="22">
        <f>('2012-2022'!L214-'2012-2022'!Y$2)/'2012-2022'!Y$3</f>
        <v>-0.37267307419990003</v>
      </c>
      <c r="M204" s="22">
        <f>('2012-2022'!M214-'2012-2022'!Z$2)/'2012-2022'!Z$3</f>
        <v>-0.58900788991670305</v>
      </c>
      <c r="N204" s="22">
        <f>('2012-2022'!N214-'2012-2022'!AA$2)/'2012-2022'!AA$3</f>
        <v>-1.890166046986488</v>
      </c>
      <c r="O204" s="22">
        <f>('2012-2022'!P214-'2012-2022'!AC$2)/'2012-2022'!AC$3</f>
        <v>0.21243098321978654</v>
      </c>
    </row>
    <row r="205" spans="1:15">
      <c r="A205" s="10" t="s">
        <v>26</v>
      </c>
      <c r="B205" s="11">
        <v>2016</v>
      </c>
      <c r="C205" s="14" t="s">
        <v>59</v>
      </c>
      <c r="D205" s="14" t="s">
        <v>54</v>
      </c>
      <c r="E205" s="22">
        <f>('2012-2022'!E215-'2012-2022'!R$2)/'2012-2022'!R$3</f>
        <v>-1.4194989130766982</v>
      </c>
      <c r="F205" s="22">
        <f>('2012-2022'!F215-'2012-2022'!S$2)/'2012-2022'!S$3</f>
        <v>-1.7603708839599075</v>
      </c>
      <c r="G205" s="22">
        <f>('2012-2022'!G215-'2012-2022'!T$2)/'2012-2022'!T$3</f>
        <v>-2.5182479430252052</v>
      </c>
      <c r="H205" s="22">
        <f>('2012-2022'!H215-'2012-2022'!U$2)/'2012-2022'!U$3</f>
        <v>-1.3201574350323084</v>
      </c>
      <c r="I205" s="22">
        <f>('2012-2022'!I215-'2012-2022'!V$2)/'2012-2022'!V$3</f>
        <v>-1.3790408275226949</v>
      </c>
      <c r="J205" s="22">
        <f>('2012-2022'!J215-'2012-2022'!W$2)/'2012-2022'!W$3</f>
        <v>-0.54751669548532755</v>
      </c>
      <c r="K205" s="22">
        <f>('2012-2022'!K215-'2012-2022'!X$2)/'2012-2022'!X$3</f>
        <v>0.44506594585207826</v>
      </c>
      <c r="L205" s="22">
        <f>('2012-2022'!L215-'2012-2022'!Y$2)/'2012-2022'!Y$3</f>
        <v>-0.20902604339769254</v>
      </c>
      <c r="M205" s="22">
        <f>('2012-2022'!M215-'2012-2022'!Z$2)/'2012-2022'!Z$3</f>
        <v>-0.93244621330228028</v>
      </c>
      <c r="N205" s="22">
        <f>('2012-2022'!N215-'2012-2022'!AA$2)/'2012-2022'!AA$3</f>
        <v>-0.58910278947788908</v>
      </c>
      <c r="O205" s="22">
        <f>('2012-2022'!P215-'2012-2022'!AC$2)/'2012-2022'!AC$3</f>
        <v>0.18699341266469902</v>
      </c>
    </row>
    <row r="206" spans="1:15">
      <c r="A206" s="10" t="s">
        <v>26</v>
      </c>
      <c r="B206" s="11">
        <v>2017</v>
      </c>
      <c r="C206" s="14" t="s">
        <v>59</v>
      </c>
      <c r="D206" s="14" t="s">
        <v>54</v>
      </c>
      <c r="E206" s="22">
        <f>('2012-2022'!E216-'2012-2022'!R$2)/'2012-2022'!R$3</f>
        <v>-0.67791302862541891</v>
      </c>
      <c r="F206" s="22">
        <f>('2012-2022'!F216-'2012-2022'!S$2)/'2012-2022'!S$3</f>
        <v>-1.7957175694320007</v>
      </c>
      <c r="G206" s="22">
        <f>('2012-2022'!G216-'2012-2022'!T$2)/'2012-2022'!T$3</f>
        <v>-1.7680174587815998</v>
      </c>
      <c r="H206" s="22">
        <f>('2012-2022'!H216-'2012-2022'!U$2)/'2012-2022'!U$3</f>
        <v>-1.1074116275898431</v>
      </c>
      <c r="I206" s="22">
        <f>('2012-2022'!I216-'2012-2022'!V$2)/'2012-2022'!V$3</f>
        <v>-0.32827710059534376</v>
      </c>
      <c r="J206" s="22">
        <f>('2012-2022'!J216-'2012-2022'!W$2)/'2012-2022'!W$3</f>
        <v>-0.49651268552781969</v>
      </c>
      <c r="K206" s="22">
        <f>('2012-2022'!K216-'2012-2022'!X$2)/'2012-2022'!X$3</f>
        <v>0.20752614134443323</v>
      </c>
      <c r="L206" s="22">
        <f>('2012-2022'!L216-'2012-2022'!Y$2)/'2012-2022'!Y$3</f>
        <v>9.6302053270497109E-2</v>
      </c>
      <c r="M206" s="22">
        <f>('2012-2022'!M216-'2012-2022'!Z$2)/'2012-2022'!Z$3</f>
        <v>-1.0713485376261587</v>
      </c>
      <c r="N206" s="22">
        <f>('2012-2022'!N216-'2012-2022'!AA$2)/'2012-2022'!AA$3</f>
        <v>-0.59053059259377194</v>
      </c>
      <c r="O206" s="22">
        <f>('2012-2022'!P216-'2012-2022'!AC$2)/'2012-2022'!AC$3</f>
        <v>0.16613436091017883</v>
      </c>
    </row>
    <row r="207" spans="1:15">
      <c r="A207" s="10" t="s">
        <v>26</v>
      </c>
      <c r="B207" s="11">
        <v>2018</v>
      </c>
      <c r="C207" s="14" t="s">
        <v>59</v>
      </c>
      <c r="D207" s="14" t="s">
        <v>54</v>
      </c>
      <c r="E207" s="22">
        <f>('2012-2022'!E217-'2012-2022'!R$2)/'2012-2022'!R$3</f>
        <v>-0.17132356543095337</v>
      </c>
      <c r="F207" s="22">
        <f>('2012-2022'!F217-'2012-2022'!S$2)/'2012-2022'!S$3</f>
        <v>-1.1086646916728149</v>
      </c>
      <c r="G207" s="22">
        <f>('2012-2022'!G217-'2012-2022'!T$2)/'2012-2022'!T$3</f>
        <v>-1.6609163632323205</v>
      </c>
      <c r="H207" s="22">
        <f>('2012-2022'!H217-'2012-2022'!U$2)/'2012-2022'!U$3</f>
        <v>-0.38552551781209266</v>
      </c>
      <c r="I207" s="22">
        <f>('2012-2022'!I217-'2012-2022'!V$2)/'2012-2022'!V$3</f>
        <v>-3.0375289296384151E-3</v>
      </c>
      <c r="J207" s="22">
        <f>('2012-2022'!J217-'2012-2022'!W$2)/'2012-2022'!W$3</f>
        <v>-0.1494577609854803</v>
      </c>
      <c r="K207" s="22">
        <f>('2012-2022'!K217-'2012-2022'!X$2)/'2012-2022'!X$3</f>
        <v>0.78429870838603621</v>
      </c>
      <c r="L207" s="22">
        <f>('2012-2022'!L217-'2012-2022'!Y$2)/'2012-2022'!Y$3</f>
        <v>0.14107930036104216</v>
      </c>
      <c r="M207" s="22">
        <f>('2012-2022'!M217-'2012-2022'!Z$2)/'2012-2022'!Z$3</f>
        <v>-1.3662529623722399</v>
      </c>
      <c r="N207" s="22">
        <f>('2012-2022'!N217-'2012-2022'!AA$2)/'2012-2022'!AA$3</f>
        <v>5.4399396962672632E-2</v>
      </c>
      <c r="O207" s="22">
        <f>('2012-2022'!P217-'2012-2022'!AC$2)/'2012-2022'!AC$3</f>
        <v>0.16313615902221335</v>
      </c>
    </row>
    <row r="208" spans="1:15">
      <c r="A208" s="10" t="s">
        <v>26</v>
      </c>
      <c r="B208" s="11">
        <v>2019</v>
      </c>
      <c r="C208" s="14" t="s">
        <v>59</v>
      </c>
      <c r="D208" s="14" t="s">
        <v>54</v>
      </c>
      <c r="E208" s="22">
        <f>('2012-2022'!E218-'2012-2022'!R$2)/'2012-2022'!R$3</f>
        <v>-0.56750336879282315</v>
      </c>
      <c r="F208" s="22">
        <f>('2012-2022'!F218-'2012-2022'!S$2)/'2012-2022'!S$3</f>
        <v>-1.7623534052035263</v>
      </c>
      <c r="G208" s="22">
        <f>('2012-2022'!G218-'2012-2022'!T$2)/'2012-2022'!T$3</f>
        <v>-2.0676738840841042</v>
      </c>
      <c r="H208" s="22">
        <f>('2012-2022'!H218-'2012-2022'!U$2)/'2012-2022'!U$3</f>
        <v>-0.98020989472539433</v>
      </c>
      <c r="I208" s="22">
        <f>('2012-2022'!I218-'2012-2022'!V$2)/'2012-2022'!V$3</f>
        <v>-0.24819711169319009</v>
      </c>
      <c r="J208" s="22">
        <f>('2012-2022'!J218-'2012-2022'!W$2)/'2012-2022'!W$3</f>
        <v>2.6301368815315199E-2</v>
      </c>
      <c r="K208" s="22">
        <f>('2012-2022'!K218-'2012-2022'!X$2)/'2012-2022'!X$3</f>
        <v>0.81345420093975906</v>
      </c>
      <c r="L208" s="22">
        <f>('2012-2022'!L218-'2012-2022'!Y$2)/'2012-2022'!Y$3</f>
        <v>-0.36805749625617251</v>
      </c>
      <c r="M208" s="22">
        <f>('2012-2022'!M218-'2012-2022'!Z$2)/'2012-2022'!Z$3</f>
        <v>-2.6599879227090599</v>
      </c>
      <c r="N208" s="22">
        <f>('2012-2022'!N218-'2012-2022'!AA$2)/'2012-2022'!AA$3</f>
        <v>-0.11882809243110277</v>
      </c>
      <c r="O208" s="22">
        <f>('2012-2022'!P218-'2012-2022'!AC$2)/'2012-2022'!AC$3</f>
        <v>0.10668238606137188</v>
      </c>
    </row>
    <row r="209" spans="1:15">
      <c r="A209" s="10" t="s">
        <v>26</v>
      </c>
      <c r="B209" s="11">
        <v>2020</v>
      </c>
      <c r="C209" s="14" t="s">
        <v>59</v>
      </c>
      <c r="D209" s="14" t="s">
        <v>54</v>
      </c>
      <c r="E209" s="22">
        <f>('2012-2022'!E219-'2012-2022'!R$2)/'2012-2022'!R$3</f>
        <v>-0.47986417306201901</v>
      </c>
      <c r="F209" s="22">
        <f>('2012-2022'!F219-'2012-2022'!S$2)/'2012-2022'!S$3</f>
        <v>-1.2427028201650701</v>
      </c>
      <c r="G209" s="22">
        <f>('2012-2022'!G219-'2012-2022'!T$2)/'2012-2022'!T$3</f>
        <v>-1.8805868230888183</v>
      </c>
      <c r="H209" s="22">
        <f>('2012-2022'!H219-'2012-2022'!U$2)/'2012-2022'!U$3</f>
        <v>-0.58960788314614831</v>
      </c>
      <c r="I209" s="22">
        <f>('2012-2022'!I219-'2012-2022'!V$2)/'2012-2022'!V$3</f>
        <v>-0.37642560718600199</v>
      </c>
      <c r="J209" s="22">
        <f>('2012-2022'!J219-'2012-2022'!W$2)/'2012-2022'!W$3</f>
        <v>0.14009190501011803</v>
      </c>
      <c r="K209" s="22">
        <f>('2012-2022'!K219-'2012-2022'!X$2)/'2012-2022'!X$3</f>
        <v>0.91763897969270303</v>
      </c>
      <c r="L209" s="22">
        <f>('2012-2022'!L219-'2012-2022'!Y$2)/'2012-2022'!Y$3</f>
        <v>-0.14362592148006595</v>
      </c>
      <c r="M209" s="22">
        <f>('2012-2022'!M219-'2012-2022'!Z$2)/'2012-2022'!Z$3</f>
        <v>-2.335243630395992</v>
      </c>
      <c r="N209" s="22">
        <f>('2012-2022'!N219-'2012-2022'!AA$2)/'2012-2022'!AA$3</f>
        <v>-1.0003597610409557E-2</v>
      </c>
      <c r="O209" s="22">
        <f>('2012-2022'!P219-'2012-2022'!AC$2)/'2012-2022'!AC$3</f>
        <v>0.10203622919405998</v>
      </c>
    </row>
    <row r="210" spans="1:15">
      <c r="A210" s="10" t="s">
        <v>26</v>
      </c>
      <c r="B210" s="11">
        <v>2021</v>
      </c>
      <c r="C210" s="14" t="s">
        <v>59</v>
      </c>
      <c r="D210" s="14" t="s">
        <v>54</v>
      </c>
      <c r="E210" s="22">
        <f>('2012-2022'!E220-'2012-2022'!R$2)/'2012-2022'!R$3</f>
        <v>-0.40013674912453712</v>
      </c>
      <c r="F210" s="22">
        <f>('2012-2022'!F220-'2012-2022'!S$2)/'2012-2022'!S$3</f>
        <v>-1.1416508234731495</v>
      </c>
      <c r="G210" s="22">
        <f>('2012-2022'!G220-'2012-2022'!T$2)/'2012-2022'!T$3</f>
        <v>-1.9102908730566261</v>
      </c>
      <c r="H210" s="22">
        <f>('2012-2022'!H220-'2012-2022'!U$2)/'2012-2022'!U$3</f>
        <v>-0.42838829489578167</v>
      </c>
      <c r="I210" s="22">
        <f>('2012-2022'!I220-'2012-2022'!V$2)/'2012-2022'!V$3</f>
        <v>-0.36442704448000135</v>
      </c>
      <c r="J210" s="22">
        <f>('2012-2022'!J220-'2012-2022'!W$2)/'2012-2022'!W$3</f>
        <v>0.22156824276265502</v>
      </c>
      <c r="K210" s="22">
        <f>('2012-2022'!K220-'2012-2022'!X$2)/'2012-2022'!X$3</f>
        <v>0.98232836648566857</v>
      </c>
      <c r="L210" s="22">
        <f>('2012-2022'!L220-'2012-2022'!Y$2)/'2012-2022'!Y$3</f>
        <v>-0.10099269834217445</v>
      </c>
      <c r="M210" s="22">
        <f>('2012-2022'!M220-'2012-2022'!Z$2)/'2012-2022'!Z$3</f>
        <v>-2.1862792220135567</v>
      </c>
      <c r="N210" s="22">
        <f>('2012-2022'!N220-'2012-2022'!AA$2)/'2012-2022'!AA$3</f>
        <v>-5.011322675792345E-2</v>
      </c>
      <c r="O210" s="22">
        <f>('2012-2022'!P220-'2012-2022'!AC$2)/'2012-2022'!AC$3</f>
        <v>0.20221046902647236</v>
      </c>
    </row>
    <row r="211" spans="1:15">
      <c r="A211" s="10" t="s">
        <v>26</v>
      </c>
      <c r="B211" s="11">
        <v>2022</v>
      </c>
      <c r="C211" s="14" t="s">
        <v>59</v>
      </c>
      <c r="D211" s="14" t="s">
        <v>54</v>
      </c>
      <c r="E211" s="22">
        <f>('2012-2022'!E221-'2012-2022'!R$2)/'2012-2022'!R$3</f>
        <v>-0.41780040546048614</v>
      </c>
      <c r="F211" s="22">
        <f>('2012-2022'!F221-'2012-2022'!S$2)/'2012-2022'!S$3</f>
        <v>-0.85146844266674471</v>
      </c>
      <c r="G211" s="22">
        <f>('2012-2022'!G221-'2012-2022'!T$2)/'2012-2022'!T$3</f>
        <v>-1.7713403328300583</v>
      </c>
      <c r="H211" s="22">
        <f>('2012-2022'!H221-'2012-2022'!U$2)/'2012-2022'!U$3</f>
        <v>-0.27139335308865831</v>
      </c>
      <c r="I211" s="22">
        <f>('2012-2022'!I221-'2012-2022'!V$2)/'2012-2022'!V$3</f>
        <v>-0.49267898582851916</v>
      </c>
      <c r="J211" s="22">
        <f>('2012-2022'!J221-'2012-2022'!W$2)/'2012-2022'!W$3</f>
        <v>0.29627667859057061</v>
      </c>
      <c r="K211" s="22">
        <f>('2012-2022'!K221-'2012-2022'!X$2)/'2012-2022'!X$3</f>
        <v>0.90651227034487014</v>
      </c>
      <c r="L211" s="22">
        <f>('2012-2022'!L221-'2012-2022'!Y$2)/'2012-2022'!Y$3</f>
        <v>-0.1816655942091803</v>
      </c>
      <c r="M211" s="22">
        <f>('2012-2022'!M221-'2012-2022'!Z$2)/'2012-2022'!Z$3</f>
        <v>-2.1642315373414354</v>
      </c>
      <c r="N211" s="22">
        <f>('2012-2022'!N221-'2012-2022'!AA$2)/'2012-2022'!AA$3</f>
        <v>-0.23404901157696315</v>
      </c>
      <c r="O211" s="22">
        <f>('2012-2022'!P221-'2012-2022'!AC$2)/'2012-2022'!AC$3</f>
        <v>0.23902229827025565</v>
      </c>
    </row>
    <row r="212" spans="1:15">
      <c r="A212" s="10" t="s">
        <v>27</v>
      </c>
      <c r="B212" s="11">
        <v>2012</v>
      </c>
      <c r="C212" s="14" t="s">
        <v>55</v>
      </c>
      <c r="D212" s="14" t="s">
        <v>54</v>
      </c>
      <c r="E212" s="22">
        <f>('2012-2022'!E222-'2012-2022'!R$2)/'2012-2022'!R$3</f>
        <v>-1.0096104455749366</v>
      </c>
      <c r="F212" s="22">
        <f>('2012-2022'!F222-'2012-2022'!S$2)/'2012-2022'!S$3</f>
        <v>-1.2335948941044064</v>
      </c>
      <c r="G212" s="22">
        <f>('2012-2022'!G222-'2012-2022'!T$2)/'2012-2022'!T$3</f>
        <v>0.41053950720198573</v>
      </c>
      <c r="H212" s="22">
        <f>('2012-2022'!H222-'2012-2022'!U$2)/'2012-2022'!U$3</f>
        <v>-1.0949674842287964</v>
      </c>
      <c r="I212" s="22">
        <f>('2012-2022'!I222-'2012-2022'!V$2)/'2012-2022'!V$3</f>
        <v>-0.96508200600841043</v>
      </c>
      <c r="J212" s="22">
        <f>('2012-2022'!J222-'2012-2022'!W$2)/'2012-2022'!W$3</f>
        <v>-8.8816601952207988E-2</v>
      </c>
      <c r="K212" s="22">
        <f>('2012-2022'!K222-'2012-2022'!X$2)/'2012-2022'!X$3</f>
        <v>-0.77924298679114135</v>
      </c>
      <c r="L212" s="22">
        <f>('2012-2022'!L222-'2012-2022'!Y$2)/'2012-2022'!Y$3</f>
        <v>-0.84745711250157185</v>
      </c>
      <c r="M212" s="22">
        <f>('2012-2022'!M222-'2012-2022'!Z$2)/'2012-2022'!Z$3</f>
        <v>0.88832937891084163</v>
      </c>
      <c r="N212" s="22">
        <f>('2012-2022'!N222-'2012-2022'!AA$2)/'2012-2022'!AA$3</f>
        <v>-1.9204890263522072</v>
      </c>
      <c r="O212" s="22">
        <f>('2012-2022'!P222-'2012-2022'!AC$2)/'2012-2022'!AC$3</f>
        <v>5.7394979421304011E-2</v>
      </c>
    </row>
    <row r="213" spans="1:15">
      <c r="A213" s="10" t="s">
        <v>27</v>
      </c>
      <c r="B213" s="11">
        <v>2013</v>
      </c>
      <c r="C213" s="14" t="s">
        <v>55</v>
      </c>
      <c r="D213" s="14" t="s">
        <v>54</v>
      </c>
      <c r="E213" s="22">
        <f>('2012-2022'!E223-'2012-2022'!R$2)/'2012-2022'!R$3</f>
        <v>-1.1897520599557352</v>
      </c>
      <c r="F213" s="22">
        <f>('2012-2022'!F223-'2012-2022'!S$2)/'2012-2022'!S$3</f>
        <v>-1.1870734071627593</v>
      </c>
      <c r="G213" s="22">
        <f>('2012-2022'!G223-'2012-2022'!T$2)/'2012-2022'!T$3</f>
        <v>-0.3780275520473127</v>
      </c>
      <c r="H213" s="22">
        <f>('2012-2022'!H223-'2012-2022'!U$2)/'2012-2022'!U$3</f>
        <v>-1.1179683727651821</v>
      </c>
      <c r="I213" s="22">
        <f>('2012-2022'!I223-'2012-2022'!V$2)/'2012-2022'!V$3</f>
        <v>-1.2048381707302065</v>
      </c>
      <c r="J213" s="22">
        <f>('2012-2022'!J223-'2012-2022'!W$2)/'2012-2022'!W$3</f>
        <v>-0.26078503722955865</v>
      </c>
      <c r="K213" s="22">
        <f>('2012-2022'!K223-'2012-2022'!X$2)/'2012-2022'!X$3</f>
        <v>-0.98474607451282581</v>
      </c>
      <c r="L213" s="22">
        <f>('2012-2022'!L223-'2012-2022'!Y$2)/'2012-2022'!Y$3</f>
        <v>-0.87069110985765108</v>
      </c>
      <c r="M213" s="22">
        <f>('2012-2022'!M223-'2012-2022'!Z$2)/'2012-2022'!Z$3</f>
        <v>0.48777994891970972</v>
      </c>
      <c r="N213" s="22">
        <f>('2012-2022'!N223-'2012-2022'!AA$2)/'2012-2022'!AA$3</f>
        <v>-1.7898698872234087</v>
      </c>
      <c r="O213" s="22">
        <f>('2012-2022'!P223-'2012-2022'!AC$2)/'2012-2022'!AC$3</f>
        <v>5.9101143368871102E-2</v>
      </c>
    </row>
    <row r="214" spans="1:15">
      <c r="A214" s="10" t="s">
        <v>27</v>
      </c>
      <c r="B214" s="11">
        <v>2014</v>
      </c>
      <c r="C214" s="14" t="s">
        <v>55</v>
      </c>
      <c r="D214" s="14" t="s">
        <v>54</v>
      </c>
      <c r="E214" s="22">
        <f>('2012-2022'!E224-'2012-2022'!R$2)/'2012-2022'!R$3</f>
        <v>-1.1363889071588267</v>
      </c>
      <c r="F214" s="22">
        <f>('2012-2022'!F224-'2012-2022'!S$2)/'2012-2022'!S$3</f>
        <v>-1.2568144699392632</v>
      </c>
      <c r="G214" s="22">
        <f>('2012-2022'!G224-'2012-2022'!T$2)/'2012-2022'!T$3</f>
        <v>-0.68884999636139432</v>
      </c>
      <c r="H214" s="22">
        <f>('2012-2022'!H224-'2012-2022'!U$2)/'2012-2022'!U$3</f>
        <v>-1.0435391907786244</v>
      </c>
      <c r="I214" s="22">
        <f>('2012-2022'!I224-'2012-2022'!V$2)/'2012-2022'!V$3</f>
        <v>-1.1746224547997999</v>
      </c>
      <c r="J214" s="22">
        <f>('2012-2022'!J224-'2012-2022'!W$2)/'2012-2022'!W$3</f>
        <v>-0.28349748961610766</v>
      </c>
      <c r="K214" s="22">
        <f>('2012-2022'!K224-'2012-2022'!X$2)/'2012-2022'!X$3</f>
        <v>-1.0846632485396241</v>
      </c>
      <c r="L214" s="22">
        <f>('2012-2022'!L224-'2012-2022'!Y$2)/'2012-2022'!Y$3</f>
        <v>-0.47951008217287111</v>
      </c>
      <c r="M214" s="22">
        <f>('2012-2022'!M224-'2012-2022'!Z$2)/'2012-2022'!Z$3</f>
        <v>0.36612153256481167</v>
      </c>
      <c r="N214" s="22">
        <f>('2012-2022'!N224-'2012-2022'!AA$2)/'2012-2022'!AA$3</f>
        <v>-1.3791887489498382</v>
      </c>
      <c r="O214" s="22">
        <f>('2012-2022'!P224-'2012-2022'!AC$2)/'2012-2022'!AC$3</f>
        <v>-0.16378363609590105</v>
      </c>
    </row>
    <row r="215" spans="1:15">
      <c r="A215" s="10" t="s">
        <v>27</v>
      </c>
      <c r="B215" s="11">
        <v>2015</v>
      </c>
      <c r="C215" s="14" t="s">
        <v>55</v>
      </c>
      <c r="D215" s="14" t="s">
        <v>54</v>
      </c>
      <c r="E215" s="22">
        <f>('2012-2022'!E225-'2012-2022'!R$2)/'2012-2022'!R$3</f>
        <v>-1.0796022334195492</v>
      </c>
      <c r="F215" s="22">
        <f>('2012-2022'!F225-'2012-2022'!S$2)/'2012-2022'!S$3</f>
        <v>-1.4338715759255254</v>
      </c>
      <c r="G215" s="22">
        <f>('2012-2022'!G225-'2012-2022'!T$2)/'2012-2022'!T$3</f>
        <v>-0.5407281615634516</v>
      </c>
      <c r="H215" s="22">
        <f>('2012-2022'!H225-'2012-2022'!U$2)/'2012-2022'!U$3</f>
        <v>-1.1041262525276705</v>
      </c>
      <c r="I215" s="22">
        <f>('2012-2022'!I225-'2012-2022'!V$2)/'2012-2022'!V$3</f>
        <v>-1.0686361769581705</v>
      </c>
      <c r="J215" s="22">
        <f>('2012-2022'!J225-'2012-2022'!W$2)/'2012-2022'!W$3</f>
        <v>-0.53321526043759337</v>
      </c>
      <c r="K215" s="22">
        <f>('2012-2022'!K225-'2012-2022'!X$2)/'2012-2022'!X$3</f>
        <v>-1.2354500656630327</v>
      </c>
      <c r="L215" s="22">
        <f>('2012-2022'!L225-'2012-2022'!Y$2)/'2012-2022'!Y$3</f>
        <v>-0.64291978226467328</v>
      </c>
      <c r="M215" s="22">
        <f>('2012-2022'!M225-'2012-2022'!Z$2)/'2012-2022'!Z$3</f>
        <v>1.3381645918450563E-2</v>
      </c>
      <c r="N215" s="22">
        <f>('2012-2022'!N225-'2012-2022'!AA$2)/'2012-2022'!AA$3</f>
        <v>-1.1706398642826774</v>
      </c>
      <c r="O215" s="22">
        <f>('2012-2022'!P225-'2012-2022'!AC$2)/'2012-2022'!AC$3</f>
        <v>-2.8587084198223634E-2</v>
      </c>
    </row>
    <row r="216" spans="1:15">
      <c r="A216" s="10" t="s">
        <v>27</v>
      </c>
      <c r="B216" s="11">
        <v>2016</v>
      </c>
      <c r="C216" s="14" t="s">
        <v>55</v>
      </c>
      <c r="D216" s="14" t="s">
        <v>54</v>
      </c>
      <c r="E216" s="22">
        <f>('2012-2022'!E226-'2012-2022'!R$2)/'2012-2022'!R$3</f>
        <v>-1.0524304571249243</v>
      </c>
      <c r="F216" s="22">
        <f>('2012-2022'!F226-'2012-2022'!S$2)/'2012-2022'!S$3</f>
        <v>-1.5809871275735161</v>
      </c>
      <c r="G216" s="22">
        <f>('2012-2022'!G226-'2012-2022'!T$2)/'2012-2022'!T$3</f>
        <v>2.4946556722124074E-2</v>
      </c>
      <c r="H216" s="22">
        <f>('2012-2022'!H226-'2012-2022'!U$2)/'2012-2022'!U$3</f>
        <v>-1.2059327517889697</v>
      </c>
      <c r="I216" s="22">
        <f>('2012-2022'!I226-'2012-2022'!V$2)/'2012-2022'!V$3</f>
        <v>-0.98221473224354428</v>
      </c>
      <c r="J216" s="22">
        <f>('2012-2022'!J226-'2012-2022'!W$2)/'2012-2022'!W$3</f>
        <v>-0.40840183475624592</v>
      </c>
      <c r="K216" s="22">
        <f>('2012-2022'!K226-'2012-2022'!X$2)/'2012-2022'!X$3</f>
        <v>-1.2339743263472336</v>
      </c>
      <c r="L216" s="22">
        <f>('2012-2022'!L226-'2012-2022'!Y$2)/'2012-2022'!Y$3</f>
        <v>-0.48889060188035649</v>
      </c>
      <c r="M216" s="22">
        <f>('2012-2022'!M226-'2012-2022'!Z$2)/'2012-2022'!Z$3</f>
        <v>0.21227396567714957</v>
      </c>
      <c r="N216" s="22">
        <f>('2012-2022'!N226-'2012-2022'!AA$2)/'2012-2022'!AA$3</f>
        <v>-1.1957321970932624</v>
      </c>
      <c r="O216" s="22">
        <f>('2012-2022'!P226-'2012-2022'!AC$2)/'2012-2022'!AC$3</f>
        <v>0.1702395389648475</v>
      </c>
    </row>
    <row r="217" spans="1:15">
      <c r="A217" s="10" t="s">
        <v>27</v>
      </c>
      <c r="B217" s="11">
        <v>2017</v>
      </c>
      <c r="C217" s="14" t="s">
        <v>55</v>
      </c>
      <c r="D217" s="14" t="s">
        <v>54</v>
      </c>
      <c r="E217" s="22">
        <f>('2012-2022'!E227-'2012-2022'!R$2)/'2012-2022'!R$3</f>
        <v>-0.92889368423876817</v>
      </c>
      <c r="F217" s="22">
        <f>('2012-2022'!F227-'2012-2022'!S$2)/'2012-2022'!S$3</f>
        <v>-0.98922253638688395</v>
      </c>
      <c r="G217" s="22">
        <f>('2012-2022'!G227-'2012-2022'!T$2)/'2012-2022'!T$3</f>
        <v>-0.75883918635642245</v>
      </c>
      <c r="H217" s="22">
        <f>('2012-2022'!H227-'2012-2022'!U$2)/'2012-2022'!U$3</f>
        <v>-0.89664742933595887</v>
      </c>
      <c r="I217" s="22">
        <f>('2012-2022'!I227-'2012-2022'!V$2)/'2012-2022'!V$3</f>
        <v>-0.91893497385691159</v>
      </c>
      <c r="J217" s="22">
        <f>('2012-2022'!J227-'2012-2022'!W$2)/'2012-2022'!W$3</f>
        <v>-0.57252464092424959</v>
      </c>
      <c r="K217" s="22">
        <f>('2012-2022'!K227-'2012-2022'!X$2)/'2012-2022'!X$3</f>
        <v>-1.176122251259941</v>
      </c>
      <c r="L217" s="22">
        <f>('2012-2022'!L227-'2012-2022'!Y$2)/'2012-2022'!Y$3</f>
        <v>-0.69888669412918769</v>
      </c>
      <c r="M217" s="22">
        <f>('2012-2022'!M227-'2012-2022'!Z$2)/'2012-2022'!Z$3</f>
        <v>6.0809074468540142E-2</v>
      </c>
      <c r="N217" s="22">
        <f>('2012-2022'!N227-'2012-2022'!AA$2)/'2012-2022'!AA$3</f>
        <v>-0.80441439355169342</v>
      </c>
      <c r="O217" s="22">
        <f>('2012-2022'!P227-'2012-2022'!AC$2)/'2012-2022'!AC$3</f>
        <v>7.4919399052526925E-2</v>
      </c>
    </row>
    <row r="218" spans="1:15">
      <c r="A218" s="10" t="s">
        <v>27</v>
      </c>
      <c r="B218" s="11">
        <v>2018</v>
      </c>
      <c r="C218" s="14" t="s">
        <v>55</v>
      </c>
      <c r="D218" s="14" t="s">
        <v>54</v>
      </c>
      <c r="E218" s="22">
        <f>('2012-2022'!E228-'2012-2022'!R$2)/'2012-2022'!R$3</f>
        <v>-1.0788862564004797</v>
      </c>
      <c r="F218" s="22">
        <f>('2012-2022'!F228-'2012-2022'!S$2)/'2012-2022'!S$3</f>
        <v>-1.4711174930937665</v>
      </c>
      <c r="G218" s="22">
        <f>('2012-2022'!G228-'2012-2022'!T$2)/'2012-2022'!T$3</f>
        <v>-1.2191352024014355</v>
      </c>
      <c r="H218" s="22">
        <f>('2012-2022'!H228-'2012-2022'!U$2)/'2012-2022'!U$3</f>
        <v>-1.1203880875599799</v>
      </c>
      <c r="I218" s="22">
        <f>('2012-2022'!I228-'2012-2022'!V$2)/'2012-2022'!V$3</f>
        <v>-1.0189440478899543</v>
      </c>
      <c r="J218" s="22">
        <f>('2012-2022'!J228-'2012-2022'!W$2)/'2012-2022'!W$3</f>
        <v>-0.25490952395540628</v>
      </c>
      <c r="K218" s="22">
        <f>('2012-2022'!K228-'2012-2022'!X$2)/'2012-2022'!X$3</f>
        <v>-1.1779302308167918</v>
      </c>
      <c r="L218" s="22">
        <f>('2012-2022'!L228-'2012-2022'!Y$2)/'2012-2022'!Y$3</f>
        <v>-0.66704157110126427</v>
      </c>
      <c r="M218" s="22">
        <f>('2012-2022'!M228-'2012-2022'!Z$2)/'2012-2022'!Z$3</f>
        <v>1.1397651241422049E-2</v>
      </c>
      <c r="N218" s="22">
        <f>('2012-2022'!N228-'2012-2022'!AA$2)/'2012-2022'!AA$3</f>
        <v>-0.97678116006561644</v>
      </c>
      <c r="O218" s="22">
        <f>('2012-2022'!P228-'2012-2022'!AC$2)/'2012-2022'!AC$3</f>
        <v>7.1078361477840427E-2</v>
      </c>
    </row>
    <row r="219" spans="1:15">
      <c r="A219" s="10" t="s">
        <v>27</v>
      </c>
      <c r="B219" s="11">
        <v>2019</v>
      </c>
      <c r="C219" s="14" t="s">
        <v>55</v>
      </c>
      <c r="D219" s="14" t="s">
        <v>54</v>
      </c>
      <c r="E219" s="22">
        <f>('2012-2022'!E229-'2012-2022'!R$2)/'2012-2022'!R$3</f>
        <v>-0.90932731226190888</v>
      </c>
      <c r="F219" s="22">
        <f>('2012-2022'!F229-'2012-2022'!S$2)/'2012-2022'!S$3</f>
        <v>-0.95419523474916179</v>
      </c>
      <c r="G219" s="22">
        <f>('2012-2022'!G229-'2012-2022'!T$2)/'2012-2022'!T$3</f>
        <v>-0.76060006560302895</v>
      </c>
      <c r="H219" s="22">
        <f>('2012-2022'!H229-'2012-2022'!U$2)/'2012-2022'!U$3</f>
        <v>-0.88361459386549357</v>
      </c>
      <c r="I219" s="22">
        <f>('2012-2022'!I229-'2012-2022'!V$2)/'2012-2022'!V$3</f>
        <v>-0.89198541774683759</v>
      </c>
      <c r="J219" s="22">
        <f>('2012-2022'!J229-'2012-2022'!W$2)/'2012-2022'!W$3</f>
        <v>-5.0430879593229186E-2</v>
      </c>
      <c r="K219" s="22">
        <f>('2012-2022'!K229-'2012-2022'!X$2)/'2012-2022'!X$3</f>
        <v>-1.0821630678323069</v>
      </c>
      <c r="L219" s="22">
        <f>('2012-2022'!L229-'2012-2022'!Y$2)/'2012-2022'!Y$3</f>
        <v>2.9363926164850809E-2</v>
      </c>
      <c r="M219" s="22">
        <f>('2012-2022'!M229-'2012-2022'!Z$2)/'2012-2022'!Z$3</f>
        <v>1.2536270209271236</v>
      </c>
      <c r="N219" s="22">
        <f>('2012-2022'!N229-'2012-2022'!AA$2)/'2012-2022'!AA$3</f>
        <v>-0.53872409873316274</v>
      </c>
      <c r="O219" s="22">
        <f>('2012-2022'!P229-'2012-2022'!AC$2)/'2012-2022'!AC$3</f>
        <v>0.14772008582092933</v>
      </c>
    </row>
    <row r="220" spans="1:15">
      <c r="A220" s="10" t="s">
        <v>27</v>
      </c>
      <c r="B220" s="11">
        <v>2020</v>
      </c>
      <c r="C220" s="14" t="s">
        <v>55</v>
      </c>
      <c r="D220" s="14" t="s">
        <v>54</v>
      </c>
      <c r="E220" s="22">
        <f>('2012-2022'!E230-'2012-2022'!R$2)/'2012-2022'!R$3</f>
        <v>-1.2399048092528027</v>
      </c>
      <c r="F220" s="22">
        <f>('2012-2022'!F230-'2012-2022'!S$2)/'2012-2022'!S$3</f>
        <v>-0.81212415142613681</v>
      </c>
      <c r="G220" s="22">
        <f>('2012-2022'!G230-'2012-2022'!T$2)/'2012-2022'!T$3</f>
        <v>-1.9136312460949247</v>
      </c>
      <c r="H220" s="22">
        <f>('2012-2022'!H230-'2012-2022'!U$2)/'2012-2022'!U$3</f>
        <v>-0.94478661330729674</v>
      </c>
      <c r="I220" s="22">
        <f>('2012-2022'!I230-'2012-2022'!V$2)/'2012-2022'!V$3</f>
        <v>-1.3486107469086832</v>
      </c>
      <c r="J220" s="22">
        <f>('2012-2022'!J230-'2012-2022'!W$2)/'2012-2022'!W$3</f>
        <v>4.0990663779069972E-2</v>
      </c>
      <c r="K220" s="22">
        <f>('2012-2022'!K230-'2012-2022'!X$2)/'2012-2022'!X$3</f>
        <v>-1.1639044104828118</v>
      </c>
      <c r="L220" s="22">
        <f>('2012-2022'!L230-'2012-2022'!Y$2)/'2012-2022'!Y$3</f>
        <v>-0.34938021957767679</v>
      </c>
      <c r="M220" s="22">
        <f>('2012-2022'!M230-'2012-2022'!Z$2)/'2012-2022'!Z$3</f>
        <v>2.1650808060799238</v>
      </c>
      <c r="N220" s="22">
        <f>('2012-2022'!N230-'2012-2022'!AA$2)/'2012-2022'!AA$3</f>
        <v>-1.7603925107073162</v>
      </c>
      <c r="O220" s="22">
        <f>('2012-2022'!P230-'2012-2022'!AC$2)/'2012-2022'!AC$3</f>
        <v>1.2488583398056736E-2</v>
      </c>
    </row>
    <row r="221" spans="1:15">
      <c r="A221" s="10" t="s">
        <v>27</v>
      </c>
      <c r="B221" s="11">
        <v>2021</v>
      </c>
      <c r="C221" s="14" t="s">
        <v>55</v>
      </c>
      <c r="D221" s="14" t="s">
        <v>54</v>
      </c>
      <c r="E221" s="22">
        <f>('2012-2022'!E231-'2012-2022'!R$2)/'2012-2022'!R$3</f>
        <v>-1.1649703086285665</v>
      </c>
      <c r="F221" s="22">
        <f>('2012-2022'!F231-'2012-2022'!S$2)/'2012-2022'!S$3</f>
        <v>-1.4054685307252321</v>
      </c>
      <c r="G221" s="22">
        <f>('2012-2022'!G231-'2012-2022'!T$2)/'2012-2022'!T$3</f>
        <v>-1.1950516797503214</v>
      </c>
      <c r="H221" s="22">
        <f>('2012-2022'!H231-'2012-2022'!U$2)/'2012-2022'!U$3</f>
        <v>-1.1652742171086652</v>
      </c>
      <c r="I221" s="22">
        <f>('2012-2022'!I231-'2012-2022'!V$2)/'2012-2022'!V$3</f>
        <v>-1.1078364864377366</v>
      </c>
      <c r="J221" s="22">
        <f>('2012-2022'!J231-'2012-2022'!W$2)/'2012-2022'!W$3</f>
        <v>-0.14307104287576017</v>
      </c>
      <c r="K221" s="22">
        <f>('2012-2022'!K231-'2012-2022'!X$2)/'2012-2022'!X$3</f>
        <v>-1.0112697498605443</v>
      </c>
      <c r="L221" s="22">
        <f>('2012-2022'!L231-'2012-2022'!Y$2)/'2012-2022'!Y$3</f>
        <v>-0.28913226078402776</v>
      </c>
      <c r="M221" s="22">
        <f>('2012-2022'!M231-'2012-2022'!Z$2)/'2012-2022'!Z$3</f>
        <v>1.5934001075404889</v>
      </c>
      <c r="N221" s="22">
        <f>('2012-2022'!N231-'2012-2022'!AA$2)/'2012-2022'!AA$3</f>
        <v>-0.9185465087889193</v>
      </c>
      <c r="O221" s="22">
        <f>('2012-2022'!P231-'2012-2022'!AC$2)/'2012-2022'!AC$3</f>
        <v>0.11819091511304763</v>
      </c>
    </row>
    <row r="222" spans="1:15">
      <c r="A222" s="10" t="s">
        <v>27</v>
      </c>
      <c r="B222" s="11">
        <v>2022</v>
      </c>
      <c r="C222" s="14" t="s">
        <v>55</v>
      </c>
      <c r="D222" s="14" t="s">
        <v>54</v>
      </c>
      <c r="E222" s="22">
        <f>('2012-2022'!E232-'2012-2022'!R$2)/'2012-2022'!R$3</f>
        <v>-1.0802145217321166</v>
      </c>
      <c r="F222" s="22">
        <f>('2012-2022'!F232-'2012-2022'!S$2)/'2012-2022'!S$3</f>
        <v>-1.341602538463212</v>
      </c>
      <c r="G222" s="22">
        <f>('2012-2022'!G232-'2012-2022'!T$2)/'2012-2022'!T$3</f>
        <v>-1.1460022745654428</v>
      </c>
      <c r="H222" s="22">
        <f>('2012-2022'!H232-'2012-2022'!U$2)/'2012-2022'!U$3</f>
        <v>-1.1074950255099507</v>
      </c>
      <c r="I222" s="22">
        <f>('2012-2022'!I232-'2012-2022'!V$2)/'2012-2022'!V$3</f>
        <v>-1.0083084785223118</v>
      </c>
      <c r="J222" s="22">
        <f>('2012-2022'!J232-'2012-2022'!W$2)/'2012-2022'!W$3</f>
        <v>-0.42374143790195218</v>
      </c>
      <c r="K222" s="22">
        <f>('2012-2022'!K232-'2012-2022'!X$2)/'2012-2022'!X$3</f>
        <v>-0.98292626771819136</v>
      </c>
      <c r="L222" s="22">
        <f>('2012-2022'!L232-'2012-2022'!Y$2)/'2012-2022'!Y$3</f>
        <v>-3.5287736796292241E-2</v>
      </c>
      <c r="M222" s="22">
        <f>('2012-2022'!M232-'2012-2022'!Z$2)/'2012-2022'!Z$3</f>
        <v>1.5956924765453802</v>
      </c>
      <c r="N222" s="22">
        <f>('2012-2022'!N232-'2012-2022'!AA$2)/'2012-2022'!AA$3</f>
        <v>-1.1668993291337348</v>
      </c>
      <c r="O222" s="22">
        <f>('2012-2022'!P232-'2012-2022'!AC$2)/'2012-2022'!AC$3</f>
        <v>1.3513337825631614E-2</v>
      </c>
    </row>
    <row r="223" spans="1:15">
      <c r="A223" s="10" t="s">
        <v>28</v>
      </c>
      <c r="B223" s="11">
        <v>2012</v>
      </c>
      <c r="C223" s="14" t="s">
        <v>55</v>
      </c>
      <c r="D223" s="14" t="s">
        <v>54</v>
      </c>
      <c r="E223" s="22">
        <f>('2012-2022'!E233-'2012-2022'!R$2)/'2012-2022'!R$3</f>
        <v>-0.95941475850606883</v>
      </c>
      <c r="F223" s="22">
        <f>('2012-2022'!F233-'2012-2022'!S$2)/'2012-2022'!S$3</f>
        <v>-0.30891378904120814</v>
      </c>
      <c r="G223" s="22">
        <f>('2012-2022'!G233-'2012-2022'!T$2)/'2012-2022'!T$3</f>
        <v>-0.68948542870975615</v>
      </c>
      <c r="H223" s="22">
        <f>('2012-2022'!H233-'2012-2022'!U$2)/'2012-2022'!U$3</f>
        <v>-0.85900724698207243</v>
      </c>
      <c r="I223" s="22">
        <f>('2012-2022'!I233-'2012-2022'!V$2)/'2012-2022'!V$3</f>
        <v>-0.93862210009171965</v>
      </c>
      <c r="J223" s="22">
        <f>('2012-2022'!J233-'2012-2022'!W$2)/'2012-2022'!W$3</f>
        <v>-1.2513163000977567</v>
      </c>
      <c r="K223" s="22">
        <f>('2012-2022'!K233-'2012-2022'!X$2)/'2012-2022'!X$3</f>
        <v>-0.80390857359262557</v>
      </c>
      <c r="L223" s="22">
        <f>('2012-2022'!L233-'2012-2022'!Y$2)/'2012-2022'!Y$3</f>
        <v>-5.4726800854947882E-2</v>
      </c>
      <c r="M223" s="22">
        <f>('2012-2022'!M233-'2012-2022'!Z$2)/'2012-2022'!Z$3</f>
        <v>-0.41532374249766546</v>
      </c>
      <c r="N223" s="22">
        <f>('2012-2022'!N233-'2012-2022'!AA$2)/'2012-2022'!AA$3</f>
        <v>1.3475284494385771</v>
      </c>
      <c r="O223" s="22">
        <f>('2012-2022'!P233-'2012-2022'!AC$2)/'2012-2022'!AC$3</f>
        <v>1.5014517378118828</v>
      </c>
    </row>
    <row r="224" spans="1:15">
      <c r="A224" s="10" t="s">
        <v>28</v>
      </c>
      <c r="B224" s="11">
        <v>2013</v>
      </c>
      <c r="C224" s="14" t="s">
        <v>55</v>
      </c>
      <c r="D224" s="14" t="s">
        <v>54</v>
      </c>
      <c r="E224" s="22">
        <f>('2012-2022'!E234-'2012-2022'!R$2)/'2012-2022'!R$3</f>
        <v>-0.85142683529102481</v>
      </c>
      <c r="F224" s="22">
        <f>('2012-2022'!F234-'2012-2022'!S$2)/'2012-2022'!S$3</f>
        <v>-0.35777513965390839</v>
      </c>
      <c r="G224" s="22">
        <f>('2012-2022'!G234-'2012-2022'!T$2)/'2012-2022'!T$3</f>
        <v>-1.3406667696347183</v>
      </c>
      <c r="H224" s="22">
        <f>('2012-2022'!H234-'2012-2022'!U$2)/'2012-2022'!U$3</f>
        <v>-0.68477191727700926</v>
      </c>
      <c r="I224" s="22">
        <f>('2012-2022'!I234-'2012-2022'!V$2)/'2012-2022'!V$3</f>
        <v>-0.88687469109614658</v>
      </c>
      <c r="J224" s="22">
        <f>('2012-2022'!J234-'2012-2022'!W$2)/'2012-2022'!W$3</f>
        <v>-1.0939598383719389</v>
      </c>
      <c r="K224" s="22">
        <f>('2012-2022'!K234-'2012-2022'!X$2)/'2012-2022'!X$3</f>
        <v>-0.8575868188752841</v>
      </c>
      <c r="L224" s="22">
        <f>('2012-2022'!L234-'2012-2022'!Y$2)/'2012-2022'!Y$3</f>
        <v>-0.36607338249574273</v>
      </c>
      <c r="M224" s="22">
        <f>('2012-2022'!M234-'2012-2022'!Z$2)/'2012-2022'!Z$3</f>
        <v>-0.33251116803535785</v>
      </c>
      <c r="N224" s="22">
        <f>('2012-2022'!N234-'2012-2022'!AA$2)/'2012-2022'!AA$3</f>
        <v>1.2214068489664163</v>
      </c>
      <c r="O224" s="22">
        <f>('2012-2022'!P234-'2012-2022'!AC$2)/'2012-2022'!AC$3</f>
        <v>1.4383380039816569</v>
      </c>
    </row>
    <row r="225" spans="1:15">
      <c r="A225" s="10" t="s">
        <v>28</v>
      </c>
      <c r="B225" s="11">
        <v>2014</v>
      </c>
      <c r="C225" s="14" t="s">
        <v>55</v>
      </c>
      <c r="D225" s="14" t="s">
        <v>54</v>
      </c>
      <c r="E225" s="22">
        <f>('2012-2022'!E235-'2012-2022'!R$2)/'2012-2022'!R$3</f>
        <v>-1.0731104373544729</v>
      </c>
      <c r="F225" s="22">
        <f>('2012-2022'!F235-'2012-2022'!S$2)/'2012-2022'!S$3</f>
        <v>-0.9015179911681771</v>
      </c>
      <c r="G225" s="22">
        <f>('2012-2022'!G235-'2012-2022'!T$2)/'2012-2022'!T$3</f>
        <v>-0.99043465211370252</v>
      </c>
      <c r="H225" s="22">
        <f>('2012-2022'!H235-'2012-2022'!U$2)/'2012-2022'!U$3</f>
        <v>-1.0449815438419809</v>
      </c>
      <c r="I225" s="22">
        <f>('2012-2022'!I235-'2012-2022'!V$2)/'2012-2022'!V$3</f>
        <v>-0.99443679550197239</v>
      </c>
      <c r="J225" s="22">
        <f>('2012-2022'!J235-'2012-2022'!W$2)/'2012-2022'!W$3</f>
        <v>-1.2801204669090147</v>
      </c>
      <c r="K225" s="22">
        <f>('2012-2022'!K235-'2012-2022'!X$2)/'2012-2022'!X$3</f>
        <v>-0.92964661906784918</v>
      </c>
      <c r="L225" s="22">
        <f>('2012-2022'!L235-'2012-2022'!Y$2)/'2012-2022'!Y$3</f>
        <v>-0.33894577740891335</v>
      </c>
      <c r="M225" s="22">
        <f>('2012-2022'!M235-'2012-2022'!Z$2)/'2012-2022'!Z$3</f>
        <v>-0.23511094469169033</v>
      </c>
      <c r="N225" s="22">
        <f>('2012-2022'!N235-'2012-2022'!AA$2)/'2012-2022'!AA$3</f>
        <v>1.5709795207935482</v>
      </c>
      <c r="O225" s="22">
        <f>('2012-2022'!P235-'2012-2022'!AC$2)/'2012-2022'!AC$3</f>
        <v>1.129724615065679</v>
      </c>
    </row>
    <row r="226" spans="1:15">
      <c r="A226" s="10" t="s">
        <v>28</v>
      </c>
      <c r="B226" s="11">
        <v>2015</v>
      </c>
      <c r="C226" s="14" t="s">
        <v>55</v>
      </c>
      <c r="D226" s="14" t="s">
        <v>54</v>
      </c>
      <c r="E226" s="22">
        <f>('2012-2022'!E236-'2012-2022'!R$2)/'2012-2022'!R$3</f>
        <v>-0.8294706487804907</v>
      </c>
      <c r="F226" s="22">
        <f>('2012-2022'!F236-'2012-2022'!S$2)/'2012-2022'!S$3</f>
        <v>-0.43910067510351958</v>
      </c>
      <c r="G226" s="22">
        <f>('2012-2022'!G236-'2012-2022'!T$2)/'2012-2022'!T$3</f>
        <v>-0.33718673479115374</v>
      </c>
      <c r="H226" s="22">
        <f>('2012-2022'!H236-'2012-2022'!U$2)/'2012-2022'!U$3</f>
        <v>-0.79769745306661755</v>
      </c>
      <c r="I226" s="22">
        <f>('2012-2022'!I236-'2012-2022'!V$2)/'2012-2022'!V$3</f>
        <v>-0.78887089517332187</v>
      </c>
      <c r="J226" s="22">
        <f>('2012-2022'!J236-'2012-2022'!W$2)/'2012-2022'!W$3</f>
        <v>-1.2764520993871447</v>
      </c>
      <c r="K226" s="22">
        <f>('2012-2022'!K236-'2012-2022'!X$2)/'2012-2022'!X$3</f>
        <v>-0.93117805635208351</v>
      </c>
      <c r="L226" s="22">
        <f>('2012-2022'!L236-'2012-2022'!Y$2)/'2012-2022'!Y$3</f>
        <v>-0.24457728186724911</v>
      </c>
      <c r="M226" s="22">
        <f>('2012-2022'!M236-'2012-2022'!Z$2)/'2012-2022'!Z$3</f>
        <v>-0.13665107302374199</v>
      </c>
      <c r="N226" s="22">
        <f>('2012-2022'!N236-'2012-2022'!AA$2)/'2012-2022'!AA$3</f>
        <v>1.5802382855701684</v>
      </c>
      <c r="O226" s="22">
        <f>('2012-2022'!P236-'2012-2022'!AC$2)/'2012-2022'!AC$3</f>
        <v>1.2052410079302718</v>
      </c>
    </row>
    <row r="227" spans="1:15">
      <c r="A227" s="10" t="s">
        <v>28</v>
      </c>
      <c r="B227" s="11">
        <v>2016</v>
      </c>
      <c r="C227" s="14" t="s">
        <v>55</v>
      </c>
      <c r="D227" s="14" t="s">
        <v>54</v>
      </c>
      <c r="E227" s="22">
        <f>('2012-2022'!E237-'2012-2022'!R$2)/'2012-2022'!R$3</f>
        <v>-0.87648793445721829</v>
      </c>
      <c r="F227" s="22">
        <f>('2012-2022'!F237-'2012-2022'!S$2)/'2012-2022'!S$3</f>
        <v>-0.95414349434978762</v>
      </c>
      <c r="G227" s="22">
        <f>('2012-2022'!G237-'2012-2022'!T$2)/'2012-2022'!T$3</f>
        <v>-0.41920247490403667</v>
      </c>
      <c r="H227" s="22">
        <f>('2012-2022'!H237-'2012-2022'!U$2)/'2012-2022'!U$3</f>
        <v>-0.96090456579448547</v>
      </c>
      <c r="I227" s="22">
        <f>('2012-2022'!I237-'2012-2022'!V$2)/'2012-2022'!V$3</f>
        <v>-0.76638516292762304</v>
      </c>
      <c r="J227" s="22">
        <f>('2012-2022'!J237-'2012-2022'!W$2)/'2012-2022'!W$3</f>
        <v>-1.3798252909099751</v>
      </c>
      <c r="K227" s="22">
        <f>('2012-2022'!K237-'2012-2022'!X$2)/'2012-2022'!X$3</f>
        <v>-0.90745738853815272</v>
      </c>
      <c r="L227" s="22">
        <f>('2012-2022'!L237-'2012-2022'!Y$2)/'2012-2022'!Y$3</f>
        <v>-0.35228443215994548</v>
      </c>
      <c r="M227" s="22">
        <f>('2012-2022'!M237-'2012-2022'!Z$2)/'2012-2022'!Z$3</f>
        <v>0.25574674364072519</v>
      </c>
      <c r="N227" s="22">
        <f>('2012-2022'!N237-'2012-2022'!AA$2)/'2012-2022'!AA$3</f>
        <v>2.0947615054453537</v>
      </c>
      <c r="O227" s="22">
        <f>('2012-2022'!P237-'2012-2022'!AC$2)/'2012-2022'!AC$3</f>
        <v>1.2306016370414044</v>
      </c>
    </row>
    <row r="228" spans="1:15">
      <c r="A228" s="10" t="s">
        <v>28</v>
      </c>
      <c r="B228" s="11">
        <v>2017</v>
      </c>
      <c r="C228" s="14" t="s">
        <v>55</v>
      </c>
      <c r="D228" s="14" t="s">
        <v>54</v>
      </c>
      <c r="E228" s="22">
        <f>('2012-2022'!E238-'2012-2022'!R$2)/'2012-2022'!R$3</f>
        <v>-0.78366738713668416</v>
      </c>
      <c r="F228" s="22">
        <f>('2012-2022'!F238-'2012-2022'!S$2)/'2012-2022'!S$3</f>
        <v>0.20780422598437603</v>
      </c>
      <c r="G228" s="22">
        <f>('2012-2022'!G238-'2012-2022'!T$2)/'2012-2022'!T$3</f>
        <v>-0.73001997670856122</v>
      </c>
      <c r="H228" s="22">
        <f>('2012-2022'!H238-'2012-2022'!U$2)/'2012-2022'!U$3</f>
        <v>-0.47217180191375868</v>
      </c>
      <c r="I228" s="22">
        <f>('2012-2022'!I238-'2012-2022'!V$2)/'2012-2022'!V$3</f>
        <v>-0.93018913446982854</v>
      </c>
      <c r="J228" s="22">
        <f>('2012-2022'!J238-'2012-2022'!W$2)/'2012-2022'!W$3</f>
        <v>-1.466975767091043</v>
      </c>
      <c r="K228" s="22">
        <f>('2012-2022'!K238-'2012-2022'!X$2)/'2012-2022'!X$3</f>
        <v>-0.93520229919300235</v>
      </c>
      <c r="L228" s="22">
        <f>('2012-2022'!L238-'2012-2022'!Y$2)/'2012-2022'!Y$3</f>
        <v>-0.44789992147640195</v>
      </c>
      <c r="M228" s="22">
        <f>('2012-2022'!M238-'2012-2022'!Z$2)/'2012-2022'!Z$3</f>
        <v>1.0719942270267853E-2</v>
      </c>
      <c r="N228" s="22">
        <f>('2012-2022'!N238-'2012-2022'!AA$2)/'2012-2022'!AA$3</f>
        <v>2.1562840772954659</v>
      </c>
      <c r="O228" s="22">
        <f>('2012-2022'!P238-'2012-2022'!AC$2)/'2012-2022'!AC$3</f>
        <v>1.1545697867908395</v>
      </c>
    </row>
    <row r="229" spans="1:15">
      <c r="A229" s="10" t="s">
        <v>28</v>
      </c>
      <c r="B229" s="11">
        <v>2018</v>
      </c>
      <c r="C229" s="14" t="s">
        <v>55</v>
      </c>
      <c r="D229" s="14" t="s">
        <v>54</v>
      </c>
      <c r="E229" s="22">
        <f>('2012-2022'!E239-'2012-2022'!R$2)/'2012-2022'!R$3</f>
        <v>-0.67652892065204939</v>
      </c>
      <c r="F229" s="22">
        <f>('2012-2022'!F239-'2012-2022'!S$2)/'2012-2022'!S$3</f>
        <v>1.0607960322143588</v>
      </c>
      <c r="G229" s="22">
        <f>('2012-2022'!G239-'2012-2022'!T$2)/'2012-2022'!T$3</f>
        <v>-0.442847432313905</v>
      </c>
      <c r="H229" s="22">
        <f>('2012-2022'!H239-'2012-2022'!U$2)/'2012-2022'!U$3</f>
        <v>-0.15306355697299559</v>
      </c>
      <c r="I229" s="22">
        <f>('2012-2022'!I239-'2012-2022'!V$2)/'2012-2022'!V$3</f>
        <v>-0.95022040962398857</v>
      </c>
      <c r="J229" s="22">
        <f>('2012-2022'!J239-'2012-2022'!W$2)/'2012-2022'!W$3</f>
        <v>-1.1270928113474876</v>
      </c>
      <c r="K229" s="22">
        <f>('2012-2022'!K239-'2012-2022'!X$2)/'2012-2022'!X$3</f>
        <v>-0.83214918692481143</v>
      </c>
      <c r="L229" s="22">
        <f>('2012-2022'!L239-'2012-2022'!Y$2)/'2012-2022'!Y$3</f>
        <v>-0.19831959477515823</v>
      </c>
      <c r="M229" s="22">
        <f>('2012-2022'!M239-'2012-2022'!Z$2)/'2012-2022'!Z$3</f>
        <v>-8.3770200289972188E-2</v>
      </c>
      <c r="N229" s="22">
        <f>('2012-2022'!N239-'2012-2022'!AA$2)/'2012-2022'!AA$3</f>
        <v>2.2848048259973068</v>
      </c>
      <c r="O229" s="22">
        <f>('2012-2022'!P239-'2012-2022'!AC$2)/'2012-2022'!AC$3</f>
        <v>1.1720046928467422</v>
      </c>
    </row>
    <row r="230" spans="1:15">
      <c r="A230" s="10" t="s">
        <v>28</v>
      </c>
      <c r="B230" s="11">
        <v>2019</v>
      </c>
      <c r="C230" s="14" t="s">
        <v>55</v>
      </c>
      <c r="D230" s="14" t="s">
        <v>54</v>
      </c>
      <c r="E230" s="22">
        <f>('2012-2022'!E240-'2012-2022'!R$2)/'2012-2022'!R$3</f>
        <v>-0.29218923513926337</v>
      </c>
      <c r="F230" s="22">
        <f>('2012-2022'!F240-'2012-2022'!S$2)/'2012-2022'!S$3</f>
        <v>1.1752379192814841</v>
      </c>
      <c r="G230" s="22">
        <f>('2012-2022'!G240-'2012-2022'!T$2)/'2012-2022'!T$3</f>
        <v>6.8721360425454708E-2</v>
      </c>
      <c r="H230" s="22">
        <f>('2012-2022'!H240-'2012-2022'!U$2)/'2012-2022'!U$3</f>
        <v>0.25001855333329759</v>
      </c>
      <c r="I230" s="22">
        <f>('2012-2022'!I240-'2012-2022'!V$2)/'2012-2022'!V$3</f>
        <v>-0.59600595176580218</v>
      </c>
      <c r="J230" s="22">
        <f>('2012-2022'!J240-'2012-2022'!W$2)/'2012-2022'!W$3</f>
        <v>-6.1644760473248753E-2</v>
      </c>
      <c r="K230" s="22">
        <f>('2012-2022'!K240-'2012-2022'!X$2)/'2012-2022'!X$3</f>
        <v>-0.53009469022790234</v>
      </c>
      <c r="L230" s="22">
        <f>('2012-2022'!L240-'2012-2022'!Y$2)/'2012-2022'!Y$3</f>
        <v>1.0283716433775936</v>
      </c>
      <c r="M230" s="22">
        <f>('2012-2022'!M240-'2012-2022'!Z$2)/'2012-2022'!Z$3</f>
        <v>0.15864953947639596</v>
      </c>
      <c r="N230" s="22">
        <f>('2012-2022'!N240-'2012-2022'!AA$2)/'2012-2022'!AA$3</f>
        <v>2.1751110984528017</v>
      </c>
      <c r="O230" s="22">
        <f>('2012-2022'!P240-'2012-2022'!AC$2)/'2012-2022'!AC$3</f>
        <v>1.1951662047394798</v>
      </c>
    </row>
    <row r="231" spans="1:15">
      <c r="A231" s="10" t="s">
        <v>28</v>
      </c>
      <c r="B231" s="11">
        <v>2020</v>
      </c>
      <c r="C231" s="14" t="s">
        <v>55</v>
      </c>
      <c r="D231" s="14" t="s">
        <v>54</v>
      </c>
      <c r="E231" s="22">
        <f>('2012-2022'!E241-'2012-2022'!R$2)/'2012-2022'!R$3</f>
        <v>-0.53136772059561466</v>
      </c>
      <c r="F231" s="22">
        <f>('2012-2022'!F241-'2012-2022'!S$2)/'2012-2022'!S$3</f>
        <v>0.63503592014701093</v>
      </c>
      <c r="G231" s="22">
        <f>('2012-2022'!G241-'2012-2022'!T$2)/'2012-2022'!T$3</f>
        <v>0.27610529041427645</v>
      </c>
      <c r="H231" s="22">
        <f>('2012-2022'!H241-'2012-2022'!U$2)/'2012-2022'!U$3</f>
        <v>-0.18370255125013554</v>
      </c>
      <c r="I231" s="22">
        <f>('2012-2022'!I241-'2012-2022'!V$2)/'2012-2022'!V$3</f>
        <v>-0.71461227046247455</v>
      </c>
      <c r="J231" s="22">
        <f>('2012-2022'!J241-'2012-2022'!W$2)/'2012-2022'!W$3</f>
        <v>6.0140984742700312E-2</v>
      </c>
      <c r="K231" s="22">
        <f>('2012-2022'!K241-'2012-2022'!X$2)/'2012-2022'!X$3</f>
        <v>-0.88949314405653057</v>
      </c>
      <c r="L231" s="22">
        <f>('2012-2022'!L241-'2012-2022'!Y$2)/'2012-2022'!Y$3</f>
        <v>0.53950281352894647</v>
      </c>
      <c r="M231" s="22">
        <f>('2012-2022'!M241-'2012-2022'!Z$2)/'2012-2022'!Z$3</f>
        <v>0.35677555107455122</v>
      </c>
      <c r="N231" s="22">
        <f>('2012-2022'!N241-'2012-2022'!AA$2)/'2012-2022'!AA$3</f>
        <v>1.0993550332575777</v>
      </c>
      <c r="O231" s="22">
        <f>('2012-2022'!P241-'2012-2022'!AC$2)/'2012-2022'!AC$3</f>
        <v>1.1165734113298302</v>
      </c>
    </row>
    <row r="232" spans="1:15">
      <c r="A232" s="10" t="s">
        <v>28</v>
      </c>
      <c r="B232" s="11">
        <v>2021</v>
      </c>
      <c r="C232" s="14" t="s">
        <v>55</v>
      </c>
      <c r="D232" s="14" t="s">
        <v>54</v>
      </c>
      <c r="E232" s="22">
        <f>('2012-2022'!E242-'2012-2022'!R$2)/'2012-2022'!R$3</f>
        <v>-0.62571445709350093</v>
      </c>
      <c r="F232" s="22">
        <f>('2012-2022'!F242-'2012-2022'!S$2)/'2012-2022'!S$3</f>
        <v>-1.051561253501924E-2</v>
      </c>
      <c r="G232" s="22">
        <f>('2012-2022'!G242-'2012-2022'!T$2)/'2012-2022'!T$3</f>
        <v>-0.98886100982090264</v>
      </c>
      <c r="H232" s="22">
        <f>('2012-2022'!H242-'2012-2022'!U$2)/'2012-2022'!U$3</f>
        <v>-0.21706234399901889</v>
      </c>
      <c r="I232" s="22">
        <f>('2012-2022'!I242-'2012-2022'!V$2)/'2012-2022'!V$3</f>
        <v>-0.83455397771327755</v>
      </c>
      <c r="J232" s="22">
        <f>('2012-2022'!J242-'2012-2022'!W$2)/'2012-2022'!W$3</f>
        <v>-0.13003914556749119</v>
      </c>
      <c r="K232" s="22">
        <f>('2012-2022'!K242-'2012-2022'!X$2)/'2012-2022'!X$3</f>
        <v>-0.55399662963260821</v>
      </c>
      <c r="L232" s="22">
        <f>('2012-2022'!L242-'2012-2022'!Y$2)/'2012-2022'!Y$3</f>
        <v>1.0627904385931093</v>
      </c>
      <c r="M232" s="22">
        <f>('2012-2022'!M242-'2012-2022'!Z$2)/'2012-2022'!Z$3</f>
        <v>0.11200547521609362</v>
      </c>
      <c r="N232" s="22">
        <f>('2012-2022'!N242-'2012-2022'!AA$2)/'2012-2022'!AA$3</f>
        <v>2.1636401479964302</v>
      </c>
      <c r="O232" s="22">
        <f>('2012-2022'!P242-'2012-2022'!AC$2)/'2012-2022'!AC$3</f>
        <v>1.0731603330701378</v>
      </c>
    </row>
    <row r="233" spans="1:15">
      <c r="A233" s="10" t="s">
        <v>28</v>
      </c>
      <c r="B233" s="11">
        <v>2022</v>
      </c>
      <c r="C233" s="14" t="s">
        <v>55</v>
      </c>
      <c r="D233" s="14" t="s">
        <v>54</v>
      </c>
      <c r="E233" s="22">
        <f>('2012-2022'!E243-'2012-2022'!R$2)/'2012-2022'!R$3</f>
        <v>-0.2134539266070142</v>
      </c>
      <c r="F233" s="22">
        <f>('2012-2022'!F243-'2012-2022'!S$2)/'2012-2022'!S$3</f>
        <v>1.3305585507301709</v>
      </c>
      <c r="G233" s="22">
        <f>('2012-2022'!G243-'2012-2022'!T$2)/'2012-2022'!T$3</f>
        <v>-0.51178042737517715</v>
      </c>
      <c r="H233" s="22">
        <f>('2012-2022'!H243-'2012-2022'!U$2)/'2012-2022'!U$3</f>
        <v>0.57712194258265137</v>
      </c>
      <c r="I233" s="22">
        <f>('2012-2022'!I243-'2012-2022'!V$2)/'2012-2022'!V$3</f>
        <v>-0.64988565448414148</v>
      </c>
      <c r="J233" s="22">
        <f>('2012-2022'!J243-'2012-2022'!W$2)/'2012-2022'!W$3</f>
        <v>-0.17214099853737599</v>
      </c>
      <c r="K233" s="22">
        <f>('2012-2022'!K243-'2012-2022'!X$2)/'2012-2022'!X$3</f>
        <v>-0.47992994575130427</v>
      </c>
      <c r="L233" s="22">
        <f>('2012-2022'!L243-'2012-2022'!Y$2)/'2012-2022'!Y$3</f>
        <v>0.96245925502581187</v>
      </c>
      <c r="M233" s="22">
        <f>('2012-2022'!M243-'2012-2022'!Z$2)/'2012-2022'!Z$3</f>
        <v>0.25970241005703426</v>
      </c>
      <c r="N233" s="22">
        <f>('2012-2022'!N243-'2012-2022'!AA$2)/'2012-2022'!AA$3</f>
        <v>1.9843733671104691</v>
      </c>
      <c r="O233" s="22">
        <f>('2012-2022'!P243-'2012-2022'!AC$2)/'2012-2022'!AC$3</f>
        <v>1.0018997323939685</v>
      </c>
    </row>
    <row r="234" spans="1:15">
      <c r="A234" s="10" t="s">
        <v>29</v>
      </c>
      <c r="B234" s="11">
        <v>2012</v>
      </c>
      <c r="C234" s="14" t="s">
        <v>55</v>
      </c>
      <c r="D234" s="14" t="s">
        <v>54</v>
      </c>
      <c r="E234" s="22">
        <f>('2012-2022'!E244-'2012-2022'!R$2)/'2012-2022'!R$3</f>
        <v>-1.3403190892798664</v>
      </c>
      <c r="F234" s="22">
        <f>('2012-2022'!F244-'2012-2022'!S$2)/'2012-2022'!S$3</f>
        <v>-1.3179461463880273</v>
      </c>
      <c r="G234" s="22">
        <f>('2012-2022'!G244-'2012-2022'!T$2)/'2012-2022'!T$3</f>
        <v>-1.988358399527242</v>
      </c>
      <c r="H234" s="22">
        <f>('2012-2022'!H244-'2012-2022'!U$2)/'2012-2022'!U$3</f>
        <v>-1.1741339992694182</v>
      </c>
      <c r="I234" s="22">
        <f>('2012-2022'!I244-'2012-2022'!V$2)/'2012-2022'!V$3</f>
        <v>-1.363410074819297</v>
      </c>
      <c r="J234" s="22">
        <f>('2012-2022'!J244-'2012-2022'!W$2)/'2012-2022'!W$3</f>
        <v>-1.2207595627372521</v>
      </c>
      <c r="K234" s="22">
        <f>('2012-2022'!K244-'2012-2022'!X$2)/'2012-2022'!X$3</f>
        <v>-1.0633842636078286</v>
      </c>
      <c r="L234" s="22">
        <f>('2012-2022'!L244-'2012-2022'!Y$2)/'2012-2022'!Y$3</f>
        <v>-0.74828757094135323</v>
      </c>
      <c r="M234" s="22">
        <f>('2012-2022'!M244-'2012-2022'!Z$2)/'2012-2022'!Z$3</f>
        <v>-1.1093623056052604</v>
      </c>
      <c r="N234" s="22">
        <f>('2012-2022'!N244-'2012-2022'!AA$2)/'2012-2022'!AA$3</f>
        <v>-0.56751024601100675</v>
      </c>
      <c r="O234" s="22">
        <f>('2012-2022'!P244-'2012-2022'!AC$2)/'2012-2022'!AC$3</f>
        <v>1.285008038409428</v>
      </c>
    </row>
    <row r="235" spans="1:15">
      <c r="A235" s="10" t="s">
        <v>29</v>
      </c>
      <c r="B235" s="11">
        <v>2013</v>
      </c>
      <c r="C235" s="14" t="s">
        <v>55</v>
      </c>
      <c r="D235" s="14" t="s">
        <v>54</v>
      </c>
      <c r="E235" s="22">
        <f>('2012-2022'!E245-'2012-2022'!R$2)/'2012-2022'!R$3</f>
        <v>-0.99928761335357363</v>
      </c>
      <c r="F235" s="22">
        <f>('2012-2022'!F245-'2012-2022'!S$2)/'2012-2022'!S$3</f>
        <v>-1.6697234728580153</v>
      </c>
      <c r="G235" s="22">
        <f>('2012-2022'!G245-'2012-2022'!T$2)/'2012-2022'!T$3</f>
        <v>-1.1108464173713002</v>
      </c>
      <c r="H235" s="22">
        <f>('2012-2022'!H245-'2012-2022'!U$2)/'2012-2022'!U$3</f>
        <v>-1.2078022813583715</v>
      </c>
      <c r="I235" s="22">
        <f>('2012-2022'!I245-'2012-2022'!V$2)/'2012-2022'!V$3</f>
        <v>-0.81867758889533537</v>
      </c>
      <c r="J235" s="22">
        <f>('2012-2022'!J245-'2012-2022'!W$2)/'2012-2022'!W$3</f>
        <v>-0.57965799201584978</v>
      </c>
      <c r="K235" s="22">
        <f>('2012-2022'!K245-'2012-2022'!X$2)/'2012-2022'!X$3</f>
        <v>-0.83501398305460584</v>
      </c>
      <c r="L235" s="22">
        <f>('2012-2022'!L245-'2012-2022'!Y$2)/'2012-2022'!Y$3</f>
        <v>-0.93402504531204422</v>
      </c>
      <c r="M235" s="22">
        <f>('2012-2022'!M245-'2012-2022'!Z$2)/'2012-2022'!Z$3</f>
        <v>-0.77214021428743551</v>
      </c>
      <c r="N235" s="22">
        <f>('2012-2022'!N245-'2012-2022'!AA$2)/'2012-2022'!AA$3</f>
        <v>-0.20419175651758759</v>
      </c>
      <c r="O235" s="22">
        <f>('2012-2022'!P245-'2012-2022'!AC$2)/'2012-2022'!AC$3</f>
        <v>1.2194025081426252</v>
      </c>
    </row>
    <row r="236" spans="1:15">
      <c r="A236" s="10" t="s">
        <v>29</v>
      </c>
      <c r="B236" s="11">
        <v>2014</v>
      </c>
      <c r="C236" s="14" t="s">
        <v>55</v>
      </c>
      <c r="D236" s="14" t="s">
        <v>54</v>
      </c>
      <c r="E236" s="22">
        <f>('2012-2022'!E246-'2012-2022'!R$2)/'2012-2022'!R$3</f>
        <v>-1.178946414939398</v>
      </c>
      <c r="F236" s="22">
        <f>('2012-2022'!F246-'2012-2022'!S$2)/'2012-2022'!S$3</f>
        <v>-1.3503982416058549</v>
      </c>
      <c r="G236" s="22">
        <f>('2012-2022'!G246-'2012-2022'!T$2)/'2012-2022'!T$3</f>
        <v>-1.7073707889326546</v>
      </c>
      <c r="H236" s="22">
        <f>('2012-2022'!H246-'2012-2022'!U$2)/'2012-2022'!U$3</f>
        <v>-1.1053226132832266</v>
      </c>
      <c r="I236" s="22">
        <f>('2012-2022'!I246-'2012-2022'!V$2)/'2012-2022'!V$3</f>
        <v>-1.1596739133069183</v>
      </c>
      <c r="J236" s="22">
        <f>('2012-2022'!J246-'2012-2022'!W$2)/'2012-2022'!W$3</f>
        <v>-0.85198455101040627</v>
      </c>
      <c r="K236" s="22">
        <f>('2012-2022'!K246-'2012-2022'!X$2)/'2012-2022'!X$3</f>
        <v>-1.0244644288136198</v>
      </c>
      <c r="L236" s="22">
        <f>('2012-2022'!L246-'2012-2022'!Y$2)/'2012-2022'!Y$3</f>
        <v>-1.0436308386638071</v>
      </c>
      <c r="M236" s="22">
        <f>('2012-2022'!M246-'2012-2022'!Z$2)/'2012-2022'!Z$3</f>
        <v>-0.92486683198987574</v>
      </c>
      <c r="N236" s="22">
        <f>('2012-2022'!N246-'2012-2022'!AA$2)/'2012-2022'!AA$3</f>
        <v>-7.0180047534026513E-2</v>
      </c>
      <c r="O236" s="22">
        <f>('2012-2022'!P246-'2012-2022'!AC$2)/'2012-2022'!AC$3</f>
        <v>1.3665516367717963</v>
      </c>
    </row>
    <row r="237" spans="1:15">
      <c r="A237" s="10" t="s">
        <v>29</v>
      </c>
      <c r="B237" s="11">
        <v>2015</v>
      </c>
      <c r="C237" s="14" t="s">
        <v>55</v>
      </c>
      <c r="D237" s="14" t="s">
        <v>54</v>
      </c>
      <c r="E237" s="22">
        <f>('2012-2022'!E247-'2012-2022'!R$2)/'2012-2022'!R$3</f>
        <v>-0.98210126775783679</v>
      </c>
      <c r="F237" s="22">
        <f>('2012-2022'!F247-'2012-2022'!S$2)/'2012-2022'!S$3</f>
        <v>-1.4580104360461859</v>
      </c>
      <c r="G237" s="22">
        <f>('2012-2022'!G247-'2012-2022'!T$2)/'2012-2022'!T$3</f>
        <v>-0.70792660808037133</v>
      </c>
      <c r="H237" s="22">
        <f>('2012-2022'!H247-'2012-2022'!U$2)/'2012-2022'!U$3</f>
        <v>-1.1364076802359631</v>
      </c>
      <c r="I237" s="22">
        <f>('2012-2022'!I247-'2012-2022'!V$2)/'2012-2022'!V$3</f>
        <v>-0.85029868068698489</v>
      </c>
      <c r="J237" s="22">
        <f>('2012-2022'!J247-'2012-2022'!W$2)/'2012-2022'!W$3</f>
        <v>-0.64275444663840886</v>
      </c>
      <c r="K237" s="22">
        <f>('2012-2022'!K247-'2012-2022'!X$2)/'2012-2022'!X$3</f>
        <v>-0.97065354466788889</v>
      </c>
      <c r="L237" s="22">
        <f>('2012-2022'!L247-'2012-2022'!Y$2)/'2012-2022'!Y$3</f>
        <v>-1.0151916997704749</v>
      </c>
      <c r="M237" s="22">
        <f>('2012-2022'!M247-'2012-2022'!Z$2)/'2012-2022'!Z$3</f>
        <v>-0.61068608350462861</v>
      </c>
      <c r="N237" s="22">
        <f>('2012-2022'!N247-'2012-2022'!AA$2)/'2012-2022'!AA$3</f>
        <v>-0.18705874427255992</v>
      </c>
      <c r="O237" s="22">
        <f>('2012-2022'!P247-'2012-2022'!AC$2)/'2012-2022'!AC$3</f>
        <v>1.218386554207006</v>
      </c>
    </row>
    <row r="238" spans="1:15">
      <c r="A238" s="10" t="s">
        <v>29</v>
      </c>
      <c r="B238" s="11">
        <v>2016</v>
      </c>
      <c r="C238" s="14" t="s">
        <v>55</v>
      </c>
      <c r="D238" s="14" t="s">
        <v>54</v>
      </c>
      <c r="E238" s="22">
        <f>('2012-2022'!E248-'2012-2022'!R$2)/'2012-2022'!R$3</f>
        <v>-1.0231578507915957</v>
      </c>
      <c r="F238" s="22">
        <f>('2012-2022'!F248-'2012-2022'!S$2)/'2012-2022'!S$3</f>
        <v>-1.5098068975550947</v>
      </c>
      <c r="G238" s="22">
        <f>('2012-2022'!G248-'2012-2022'!T$2)/'2012-2022'!T$3</f>
        <v>-1.3613926155421667</v>
      </c>
      <c r="H238" s="22">
        <f>('2012-2022'!H248-'2012-2022'!U$2)/'2012-2022'!U$3</f>
        <v>-1.1053043454532807</v>
      </c>
      <c r="I238" s="22">
        <f>('2012-2022'!I248-'2012-2022'!V$2)/'2012-2022'!V$3</f>
        <v>-0.93357605353021567</v>
      </c>
      <c r="J238" s="22">
        <f>('2012-2022'!J248-'2012-2022'!W$2)/'2012-2022'!W$3</f>
        <v>-0.70701928448691453</v>
      </c>
      <c r="K238" s="22">
        <f>('2012-2022'!K248-'2012-2022'!X$2)/'2012-2022'!X$3</f>
        <v>-0.86779266090662655</v>
      </c>
      <c r="L238" s="22">
        <f>('2012-2022'!L248-'2012-2022'!Y$2)/'2012-2022'!Y$3</f>
        <v>-0.83226787674677105</v>
      </c>
      <c r="M238" s="22">
        <f>('2012-2022'!M248-'2012-2022'!Z$2)/'2012-2022'!Z$3</f>
        <v>-0.70759321907507577</v>
      </c>
      <c r="N238" s="22">
        <f>('2012-2022'!N248-'2012-2022'!AA$2)/'2012-2022'!AA$3</f>
        <v>-0.21025381279024544</v>
      </c>
      <c r="O238" s="22">
        <f>('2012-2022'!P248-'2012-2022'!AC$2)/'2012-2022'!AC$3</f>
        <v>1.373006169014674</v>
      </c>
    </row>
    <row r="239" spans="1:15">
      <c r="A239" s="10" t="s">
        <v>29</v>
      </c>
      <c r="B239" s="11">
        <v>2017</v>
      </c>
      <c r="C239" s="14" t="s">
        <v>55</v>
      </c>
      <c r="D239" s="14" t="s">
        <v>54</v>
      </c>
      <c r="E239" s="22">
        <f>('2012-2022'!E249-'2012-2022'!R$2)/'2012-2022'!R$3</f>
        <v>-0.84738367270210391</v>
      </c>
      <c r="F239" s="22">
        <f>('2012-2022'!F249-'2012-2022'!S$2)/'2012-2022'!S$3</f>
        <v>-1.6198650288583076</v>
      </c>
      <c r="G239" s="22">
        <f>('2012-2022'!G249-'2012-2022'!T$2)/'2012-2022'!T$3</f>
        <v>-0.60286509813658251</v>
      </c>
      <c r="H239" s="22">
        <f>('2012-2022'!H249-'2012-2022'!U$2)/'2012-2022'!U$3</f>
        <v>-1.155897845706829</v>
      </c>
      <c r="I239" s="22">
        <f>('2012-2022'!I249-'2012-2022'!V$2)/'2012-2022'!V$3</f>
        <v>-0.639678678595334</v>
      </c>
      <c r="J239" s="22">
        <f>('2012-2022'!J249-'2012-2022'!W$2)/'2012-2022'!W$3</f>
        <v>-0.80783077126445835</v>
      </c>
      <c r="K239" s="22">
        <f>('2012-2022'!K249-'2012-2022'!X$2)/'2012-2022'!X$3</f>
        <v>-0.76311165629339572</v>
      </c>
      <c r="L239" s="22">
        <f>('2012-2022'!L249-'2012-2022'!Y$2)/'2012-2022'!Y$3</f>
        <v>-0.62757626031076297</v>
      </c>
      <c r="M239" s="22">
        <f>('2012-2022'!M249-'2012-2022'!Z$2)/'2012-2022'!Z$3</f>
        <v>-0.79665240147854766</v>
      </c>
      <c r="N239" s="22">
        <f>('2012-2022'!N249-'2012-2022'!AA$2)/'2012-2022'!AA$3</f>
        <v>0.14681782620043124</v>
      </c>
      <c r="O239" s="22">
        <f>('2012-2022'!P249-'2012-2022'!AC$2)/'2012-2022'!AC$3</f>
        <v>1.3582179480537668</v>
      </c>
    </row>
    <row r="240" spans="1:15">
      <c r="A240" s="10" t="s">
        <v>29</v>
      </c>
      <c r="B240" s="11">
        <v>2018</v>
      </c>
      <c r="C240" s="14" t="s">
        <v>55</v>
      </c>
      <c r="D240" s="14" t="s">
        <v>54</v>
      </c>
      <c r="E240" s="22">
        <f>('2012-2022'!E250-'2012-2022'!R$2)/'2012-2022'!R$3</f>
        <v>-0.88183053150735369</v>
      </c>
      <c r="F240" s="22">
        <f>('2012-2022'!F250-'2012-2022'!S$2)/'2012-2022'!S$3</f>
        <v>-1.7429228589500698</v>
      </c>
      <c r="G240" s="22">
        <f>('2012-2022'!G250-'2012-2022'!T$2)/'2012-2022'!T$3</f>
        <v>2.2404462646855257E-2</v>
      </c>
      <c r="H240" s="22">
        <f>('2012-2022'!H250-'2012-2022'!U$2)/'2012-2022'!U$3</f>
        <v>-1.269197435456098</v>
      </c>
      <c r="I240" s="22">
        <f>('2012-2022'!I250-'2012-2022'!V$2)/'2012-2022'!V$3</f>
        <v>-0.62729029276560366</v>
      </c>
      <c r="J240" s="22">
        <f>('2012-2022'!J250-'2012-2022'!W$2)/'2012-2022'!W$3</f>
        <v>-1.3142831467615168</v>
      </c>
      <c r="K240" s="22">
        <f>('2012-2022'!K250-'2012-2022'!X$2)/'2012-2022'!X$3</f>
        <v>-0.94989969019673903</v>
      </c>
      <c r="L240" s="22">
        <f>('2012-2022'!L250-'2012-2022'!Y$2)/'2012-2022'!Y$3</f>
        <v>-1.0611856845111731</v>
      </c>
      <c r="M240" s="22">
        <f>('2012-2022'!M250-'2012-2022'!Z$2)/'2012-2022'!Z$3</f>
        <v>-0.19068669011345515</v>
      </c>
      <c r="N240" s="22">
        <f>('2012-2022'!N250-'2012-2022'!AA$2)/'2012-2022'!AA$3</f>
        <v>4.2433079116924552E-2</v>
      </c>
      <c r="O240" s="22">
        <f>('2012-2022'!P250-'2012-2022'!AC$2)/'2012-2022'!AC$3</f>
        <v>1.2291765859511623</v>
      </c>
    </row>
    <row r="241" spans="1:15">
      <c r="A241" s="10" t="s">
        <v>29</v>
      </c>
      <c r="B241" s="11">
        <v>2019</v>
      </c>
      <c r="C241" s="14" t="s">
        <v>55</v>
      </c>
      <c r="D241" s="14" t="s">
        <v>54</v>
      </c>
      <c r="E241" s="22">
        <f>('2012-2022'!E251-'2012-2022'!R$2)/'2012-2022'!R$3</f>
        <v>-0.33894192642158988</v>
      </c>
      <c r="F241" s="22">
        <f>('2012-2022'!F251-'2012-2022'!S$2)/'2012-2022'!S$3</f>
        <v>0.13915644592560397</v>
      </c>
      <c r="G241" s="22">
        <f>('2012-2022'!G251-'2012-2022'!T$2)/'2012-2022'!T$3</f>
        <v>-0.95404992036646341</v>
      </c>
      <c r="H241" s="22">
        <f>('2012-2022'!H251-'2012-2022'!U$2)/'2012-2022'!U$3</f>
        <v>0.1034215488471882</v>
      </c>
      <c r="I241" s="22">
        <f>('2012-2022'!I251-'2012-2022'!V$2)/'2012-2022'!V$3</f>
        <v>-0.58572046480037854</v>
      </c>
      <c r="J241" s="22">
        <f>('2012-2022'!J251-'2012-2022'!W$2)/'2012-2022'!W$3</f>
        <v>-0.19561659367704867</v>
      </c>
      <c r="K241" s="22">
        <f>('2012-2022'!K251-'2012-2022'!X$2)/'2012-2022'!X$3</f>
        <v>-0.54964458157248697</v>
      </c>
      <c r="L241" s="22">
        <f>('2012-2022'!L251-'2012-2022'!Y$2)/'2012-2022'!Y$3</f>
        <v>1.0350578887628941</v>
      </c>
      <c r="M241" s="22">
        <f>('2012-2022'!M251-'2012-2022'!Z$2)/'2012-2022'!Z$3</f>
        <v>-1.6274049595787383</v>
      </c>
      <c r="N241" s="22">
        <f>('2012-2022'!N251-'2012-2022'!AA$2)/'2012-2022'!AA$3</f>
        <v>-0.25717704400938052</v>
      </c>
      <c r="O241" s="22">
        <f>('2012-2022'!P251-'2012-2022'!AC$2)/'2012-2022'!AC$3</f>
        <v>1.1817322537692283</v>
      </c>
    </row>
    <row r="242" spans="1:15">
      <c r="A242" s="10" t="s">
        <v>29</v>
      </c>
      <c r="B242" s="11">
        <v>2020</v>
      </c>
      <c r="C242" s="14" t="s">
        <v>55</v>
      </c>
      <c r="D242" s="14" t="s">
        <v>54</v>
      </c>
      <c r="E242" s="22">
        <f>('2012-2022'!E252-'2012-2022'!R$2)/'2012-2022'!R$3</f>
        <v>-0.90543269423182093</v>
      </c>
      <c r="F242" s="22">
        <f>('2012-2022'!F252-'2012-2022'!S$2)/'2012-2022'!S$3</f>
        <v>-1.0499878831423115</v>
      </c>
      <c r="G242" s="22">
        <f>('2012-2022'!G252-'2012-2022'!T$2)/'2012-2022'!T$3</f>
        <v>-1.7672736487655518</v>
      </c>
      <c r="H242" s="22">
        <f>('2012-2022'!H252-'2012-2022'!U$2)/'2012-2022'!U$3</f>
        <v>-0.73938598455944271</v>
      </c>
      <c r="I242" s="22">
        <f>('2012-2022'!I252-'2012-2022'!V$2)/'2012-2022'!V$3</f>
        <v>-0.96712308715213224</v>
      </c>
      <c r="J242" s="22">
        <f>('2012-2022'!J252-'2012-2022'!W$2)/'2012-2022'!W$3</f>
        <v>-0.59698058565747536</v>
      </c>
      <c r="K242" s="22">
        <f>('2012-2022'!K252-'2012-2022'!X$2)/'2012-2022'!X$3</f>
        <v>-0.92667330626099431</v>
      </c>
      <c r="L242" s="22">
        <f>('2012-2022'!L252-'2012-2022'!Y$2)/'2012-2022'!Y$3</f>
        <v>0.22755814522824663</v>
      </c>
      <c r="M242" s="22">
        <f>('2012-2022'!M252-'2012-2022'!Z$2)/'2012-2022'!Z$3</f>
        <v>0.25756224140150047</v>
      </c>
      <c r="N242" s="22">
        <f>('2012-2022'!N252-'2012-2022'!AA$2)/'2012-2022'!AA$3</f>
        <v>-1.1237667718302391</v>
      </c>
      <c r="O242" s="22">
        <f>('2012-2022'!P252-'2012-2022'!AC$2)/'2012-2022'!AC$3</f>
        <v>1.0259141376785188</v>
      </c>
    </row>
    <row r="243" spans="1:15">
      <c r="A243" s="10" t="s">
        <v>29</v>
      </c>
      <c r="B243" s="11">
        <v>2021</v>
      </c>
      <c r="C243" s="14" t="s">
        <v>55</v>
      </c>
      <c r="D243" s="14" t="s">
        <v>54</v>
      </c>
      <c r="E243" s="22">
        <f>('2012-2022'!E253-'2012-2022'!R$2)/'2012-2022'!R$3</f>
        <v>-0.67849188535879823</v>
      </c>
      <c r="F243" s="22">
        <f>('2012-2022'!F253-'2012-2022'!S$2)/'2012-2022'!S$3</f>
        <v>-0.73250791946902039</v>
      </c>
      <c r="G243" s="22">
        <f>('2012-2022'!G253-'2012-2022'!T$2)/'2012-2022'!T$3</f>
        <v>-1.4936654210846521</v>
      </c>
      <c r="H243" s="22">
        <f>('2012-2022'!H253-'2012-2022'!U$2)/'2012-2022'!U$3</f>
        <v>-0.44415142471724778</v>
      </c>
      <c r="I243" s="22">
        <f>('2012-2022'!I253-'2012-2022'!V$2)/'2012-2022'!V$3</f>
        <v>-0.79287203244462157</v>
      </c>
      <c r="J243" s="22">
        <f>('2012-2022'!J253-'2012-2022'!W$2)/'2012-2022'!W$3</f>
        <v>-0.15890043768303241</v>
      </c>
      <c r="K243" s="22">
        <f>('2012-2022'!K253-'2012-2022'!X$2)/'2012-2022'!X$3</f>
        <v>-0.29728805160592287</v>
      </c>
      <c r="L243" s="22">
        <f>('2012-2022'!L253-'2012-2022'!Y$2)/'2012-2022'!Y$3</f>
        <v>1.0360351098742044</v>
      </c>
      <c r="M243" s="22">
        <f>('2012-2022'!M253-'2012-2022'!Z$2)/'2012-2022'!Z$3</f>
        <v>-0.49311253429139945</v>
      </c>
      <c r="N243" s="22">
        <f>('2012-2022'!N253-'2012-2022'!AA$2)/'2012-2022'!AA$3</f>
        <v>0.61585540880378331</v>
      </c>
      <c r="O243" s="22">
        <f>('2012-2022'!P253-'2012-2022'!AC$2)/'2012-2022'!AC$3</f>
        <v>1.1726481345300119</v>
      </c>
    </row>
    <row r="244" spans="1:15">
      <c r="A244" s="10" t="s">
        <v>29</v>
      </c>
      <c r="B244" s="11">
        <v>2022</v>
      </c>
      <c r="C244" s="14" t="s">
        <v>55</v>
      </c>
      <c r="D244" s="14" t="s">
        <v>54</v>
      </c>
      <c r="E244" s="22">
        <f>('2012-2022'!E254-'2012-2022'!R$2)/'2012-2022'!R$3</f>
        <v>-0.99576408286779428</v>
      </c>
      <c r="F244" s="22">
        <f>('2012-2022'!F254-'2012-2022'!S$2)/'2012-2022'!S$3</f>
        <v>-0.66248043124721379</v>
      </c>
      <c r="G244" s="22">
        <f>('2012-2022'!G254-'2012-2022'!T$2)/'2012-2022'!T$3</f>
        <v>-1.6195101218525871</v>
      </c>
      <c r="H244" s="22">
        <f>('2012-2022'!H254-'2012-2022'!U$2)/'2012-2022'!U$3</f>
        <v>-0.68665841219348622</v>
      </c>
      <c r="I244" s="22">
        <f>('2012-2022'!I254-'2012-2022'!V$2)/'2012-2022'!V$3</f>
        <v>-1.128947868472393</v>
      </c>
      <c r="J244" s="22">
        <f>('2012-2022'!J254-'2012-2022'!W$2)/'2012-2022'!W$3</f>
        <v>-0.33327609920666379</v>
      </c>
      <c r="K244" s="22">
        <f>('2012-2022'!K254-'2012-2022'!X$2)/'2012-2022'!X$3</f>
        <v>-0.61285689760178219</v>
      </c>
      <c r="L244" s="22">
        <f>('2012-2022'!L254-'2012-2022'!Y$2)/'2012-2022'!Y$3</f>
        <v>0.82511204478134237</v>
      </c>
      <c r="M244" s="22">
        <f>('2012-2022'!M254-'2012-2022'!Z$2)/'2012-2022'!Z$3</f>
        <v>-0.11193857854278536</v>
      </c>
      <c r="N244" s="22">
        <f>('2012-2022'!N254-'2012-2022'!AA$2)/'2012-2022'!AA$3</f>
        <v>0.13347494448826888</v>
      </c>
      <c r="O244" s="22">
        <f>('2012-2022'!P254-'2012-2022'!AC$2)/'2012-2022'!AC$3</f>
        <v>1.1752958253955164</v>
      </c>
    </row>
    <row r="245" spans="1:15">
      <c r="A245" s="10" t="s">
        <v>30</v>
      </c>
      <c r="B245" s="11">
        <v>2012</v>
      </c>
      <c r="C245" s="14" t="s">
        <v>59</v>
      </c>
      <c r="D245" s="14" t="s">
        <v>54</v>
      </c>
      <c r="E245" s="22">
        <f>('2012-2022'!E255-'2012-2022'!R$2)/'2012-2022'!R$3</f>
        <v>-0.59580652518776867</v>
      </c>
      <c r="F245" s="22">
        <f>('2012-2022'!F255-'2012-2022'!S$2)/'2012-2022'!S$3</f>
        <v>-0.62946737998277369</v>
      </c>
      <c r="G245" s="22">
        <f>('2012-2022'!G255-'2012-2022'!T$2)/'2012-2022'!T$3</f>
        <v>0.81824503743015697</v>
      </c>
      <c r="H245" s="22">
        <f>('2012-2022'!H255-'2012-2022'!U$2)/'2012-2022'!U$3</f>
        <v>-0.7721799175082803</v>
      </c>
      <c r="I245" s="22">
        <f>('2012-2022'!I255-'2012-2022'!V$2)/'2012-2022'!V$3</f>
        <v>-0.48163231308123361</v>
      </c>
      <c r="J245" s="22">
        <f>('2012-2022'!J255-'2012-2022'!W$2)/'2012-2022'!W$3</f>
        <v>-2.1724903389234078</v>
      </c>
      <c r="K245" s="22">
        <f>('2012-2022'!K255-'2012-2022'!X$2)/'2012-2022'!X$3</f>
        <v>0.34691217779327427</v>
      </c>
      <c r="L245" s="22">
        <f>('2012-2022'!L255-'2012-2022'!Y$2)/'2012-2022'!Y$3</f>
        <v>-0.83053182587103613</v>
      </c>
      <c r="M245" s="22">
        <f>('2012-2022'!M255-'2012-2022'!Z$2)/'2012-2022'!Z$3</f>
        <v>-0.22452452235336443</v>
      </c>
      <c r="N245" s="22">
        <f>('2012-2022'!N255-'2012-2022'!AA$2)/'2012-2022'!AA$3</f>
        <v>-0.388724614224225</v>
      </c>
      <c r="O245" s="22">
        <f>('2012-2022'!P255-'2012-2022'!AC$2)/'2012-2022'!AC$3</f>
        <v>0.50888875548272361</v>
      </c>
    </row>
    <row r="246" spans="1:15">
      <c r="A246" s="10" t="s">
        <v>30</v>
      </c>
      <c r="B246" s="11">
        <v>2013</v>
      </c>
      <c r="C246" s="14" t="s">
        <v>59</v>
      </c>
      <c r="D246" s="14" t="s">
        <v>54</v>
      </c>
      <c r="E246" s="22">
        <f>('2012-2022'!E256-'2012-2022'!R$2)/'2012-2022'!R$3</f>
        <v>-0.42830579522257939</v>
      </c>
      <c r="F246" s="22">
        <f>('2012-2022'!F256-'2012-2022'!S$2)/'2012-2022'!S$3</f>
        <v>-0.45792238552460696</v>
      </c>
      <c r="G246" s="22">
        <f>('2012-2022'!G256-'2012-2022'!T$2)/'2012-2022'!T$3</f>
        <v>0.82912002718589728</v>
      </c>
      <c r="H246" s="22">
        <f>('2012-2022'!H256-'2012-2022'!U$2)/'2012-2022'!U$3</f>
        <v>-0.61927933178336148</v>
      </c>
      <c r="I246" s="22">
        <f>('2012-2022'!I256-'2012-2022'!V$2)/'2012-2022'!V$3</f>
        <v>-0.30949396582446959</v>
      </c>
      <c r="J246" s="22">
        <f>('2012-2022'!J256-'2012-2022'!W$2)/'2012-2022'!W$3</f>
        <v>-2.0992005102580888</v>
      </c>
      <c r="K246" s="22">
        <f>('2012-2022'!K256-'2012-2022'!X$2)/'2012-2022'!X$3</f>
        <v>0.52093122420752114</v>
      </c>
      <c r="L246" s="22">
        <f>('2012-2022'!L256-'2012-2022'!Y$2)/'2012-2022'!Y$3</f>
        <v>-0.5158048368005278</v>
      </c>
      <c r="M246" s="22">
        <f>('2012-2022'!M256-'2012-2022'!Z$2)/'2012-2022'!Z$3</f>
        <v>-0.17842274653153553</v>
      </c>
      <c r="N246" s="22">
        <f>('2012-2022'!N256-'2012-2022'!AA$2)/'2012-2022'!AA$3</f>
        <v>-0.17208092038685188</v>
      </c>
      <c r="O246" s="22">
        <f>('2012-2022'!P256-'2012-2022'!AC$2)/'2012-2022'!AC$3</f>
        <v>0.45380371046360807</v>
      </c>
    </row>
    <row r="247" spans="1:15">
      <c r="A247" s="10" t="s">
        <v>30</v>
      </c>
      <c r="B247" s="11">
        <v>2014</v>
      </c>
      <c r="C247" s="14" t="s">
        <v>59</v>
      </c>
      <c r="D247" s="14" t="s">
        <v>54</v>
      </c>
      <c r="E247" s="22">
        <f>('2012-2022'!E257-'2012-2022'!R$2)/'2012-2022'!R$3</f>
        <v>-0.40150699247055188</v>
      </c>
      <c r="F247" s="22">
        <f>('2012-2022'!F257-'2012-2022'!S$2)/'2012-2022'!S$3</f>
        <v>-0.40370536928966383</v>
      </c>
      <c r="G247" s="22">
        <f>('2012-2022'!G257-'2012-2022'!T$2)/'2012-2022'!T$3</f>
        <v>0.49896929729501638</v>
      </c>
      <c r="H247" s="22">
        <f>('2012-2022'!H257-'2012-2022'!U$2)/'2012-2022'!U$3</f>
        <v>-0.53322166017905903</v>
      </c>
      <c r="I247" s="22">
        <f>('2012-2022'!I257-'2012-2022'!V$2)/'2012-2022'!V$3</f>
        <v>-0.31854814190357916</v>
      </c>
      <c r="J247" s="22">
        <f>('2012-2022'!J257-'2012-2022'!W$2)/'2012-2022'!W$3</f>
        <v>-1.9450350647211343</v>
      </c>
      <c r="K247" s="22">
        <f>('2012-2022'!K257-'2012-2022'!X$2)/'2012-2022'!X$3</f>
        <v>0.44195215020562045</v>
      </c>
      <c r="L247" s="22">
        <f>('2012-2022'!L257-'2012-2022'!Y$2)/'2012-2022'!Y$3</f>
        <v>-0.45932611201638252</v>
      </c>
      <c r="M247" s="22">
        <f>('2012-2022'!M257-'2012-2022'!Z$2)/'2012-2022'!Z$3</f>
        <v>-0.30392794737193152</v>
      </c>
      <c r="N247" s="22">
        <f>('2012-2022'!N257-'2012-2022'!AA$2)/'2012-2022'!AA$3</f>
        <v>-0.70439724347804378</v>
      </c>
      <c r="O247" s="22">
        <f>('2012-2022'!P257-'2012-2022'!AC$2)/'2012-2022'!AC$3</f>
        <v>0.53684452395025462</v>
      </c>
    </row>
    <row r="248" spans="1:15">
      <c r="A248" s="10" t="s">
        <v>30</v>
      </c>
      <c r="B248" s="11">
        <v>2015</v>
      </c>
      <c r="C248" s="14" t="s">
        <v>59</v>
      </c>
      <c r="D248" s="14" t="s">
        <v>54</v>
      </c>
      <c r="E248" s="22">
        <f>('2012-2022'!E258-'2012-2022'!R$2)/'2012-2022'!R$3</f>
        <v>-0.34601131712228145</v>
      </c>
      <c r="F248" s="22">
        <f>('2012-2022'!F258-'2012-2022'!S$2)/'2012-2022'!S$3</f>
        <v>0.69415593279944188</v>
      </c>
      <c r="G248" s="22">
        <f>('2012-2022'!G258-'2012-2022'!T$2)/'2012-2022'!T$3</f>
        <v>0.7328744665402438</v>
      </c>
      <c r="H248" s="22">
        <f>('2012-2022'!H258-'2012-2022'!U$2)/'2012-2022'!U$3</f>
        <v>-0.17974043508201806</v>
      </c>
      <c r="I248" s="22">
        <f>('2012-2022'!I258-'2012-2022'!V$2)/'2012-2022'!V$3</f>
        <v>-0.43456462679453689</v>
      </c>
      <c r="J248" s="22">
        <f>('2012-2022'!J258-'2012-2022'!W$2)/'2012-2022'!W$3</f>
        <v>-2.2546916535425692</v>
      </c>
      <c r="K248" s="22">
        <f>('2012-2022'!K258-'2012-2022'!X$2)/'2012-2022'!X$3</f>
        <v>0.39575304032244291</v>
      </c>
      <c r="L248" s="22">
        <f>('2012-2022'!L258-'2012-2022'!Y$2)/'2012-2022'!Y$3</f>
        <v>-0.50948833516012826</v>
      </c>
      <c r="M248" s="22">
        <f>('2012-2022'!M258-'2012-2022'!Z$2)/'2012-2022'!Z$3</f>
        <v>-0.20901610297468581</v>
      </c>
      <c r="N248" s="22">
        <f>('2012-2022'!N258-'2012-2022'!AA$2)/'2012-2022'!AA$3</f>
        <v>-0.90649841489556171</v>
      </c>
      <c r="O248" s="22">
        <f>('2012-2022'!P258-'2012-2022'!AC$2)/'2012-2022'!AC$3</f>
        <v>0.62292729034201733</v>
      </c>
    </row>
    <row r="249" spans="1:15">
      <c r="A249" s="10" t="s">
        <v>30</v>
      </c>
      <c r="B249" s="11">
        <v>2016</v>
      </c>
      <c r="C249" s="14" t="s">
        <v>59</v>
      </c>
      <c r="D249" s="14" t="s">
        <v>54</v>
      </c>
      <c r="E249" s="22">
        <f>('2012-2022'!E259-'2012-2022'!R$2)/'2012-2022'!R$3</f>
        <v>-0.5733229519012959</v>
      </c>
      <c r="F249" s="22">
        <f>('2012-2022'!F259-'2012-2022'!S$2)/'2012-2022'!S$3</f>
        <v>-1.190788018081141</v>
      </c>
      <c r="G249" s="22">
        <f>('2012-2022'!G259-'2012-2022'!T$2)/'2012-2022'!T$3</f>
        <v>0.41487400353572884</v>
      </c>
      <c r="H249" s="22">
        <f>('2012-2022'!H259-'2012-2022'!U$2)/'2012-2022'!U$3</f>
        <v>-0.95892980315306031</v>
      </c>
      <c r="I249" s="22">
        <f>('2012-2022'!I259-'2012-2022'!V$2)/'2012-2022'!V$3</f>
        <v>-0.32040961514365007</v>
      </c>
      <c r="J249" s="22">
        <f>('2012-2022'!J259-'2012-2022'!W$2)/'2012-2022'!W$3</f>
        <v>-2.2710538635760935</v>
      </c>
      <c r="K249" s="22">
        <f>('2012-2022'!K259-'2012-2022'!X$2)/'2012-2022'!X$3</f>
        <v>0.45942618393519707</v>
      </c>
      <c r="L249" s="22">
        <f>('2012-2022'!L259-'2012-2022'!Y$2)/'2012-2022'!Y$3</f>
        <v>-0.41578127365335477</v>
      </c>
      <c r="M249" s="22">
        <f>('2012-2022'!M259-'2012-2022'!Z$2)/'2012-2022'!Z$3</f>
        <v>-0.12174391866154827</v>
      </c>
      <c r="N249" s="22">
        <f>('2012-2022'!N259-'2012-2022'!AA$2)/'2012-2022'!AA$3</f>
        <v>-1.1402168007832407</v>
      </c>
      <c r="O249" s="22">
        <f>('2012-2022'!P259-'2012-2022'!AC$2)/'2012-2022'!AC$3</f>
        <v>0.57522698956548823</v>
      </c>
    </row>
    <row r="250" spans="1:15">
      <c r="A250" s="10" t="s">
        <v>30</v>
      </c>
      <c r="B250" s="11">
        <v>2017</v>
      </c>
      <c r="C250" s="14" t="s">
        <v>59</v>
      </c>
      <c r="D250" s="14" t="s">
        <v>54</v>
      </c>
      <c r="E250" s="22">
        <f>('2012-2022'!E260-'2012-2022'!R$2)/'2012-2022'!R$3</f>
        <v>-0.26313740012415227</v>
      </c>
      <c r="F250" s="22">
        <f>('2012-2022'!F260-'2012-2022'!S$2)/'2012-2022'!S$3</f>
        <v>-0.15426326589877623</v>
      </c>
      <c r="G250" s="22">
        <f>('2012-2022'!G260-'2012-2022'!T$2)/'2012-2022'!T$3</f>
        <v>0.41561676356813287</v>
      </c>
      <c r="H250" s="22">
        <f>('2012-2022'!H260-'2012-2022'!U$2)/'2012-2022'!U$3</f>
        <v>-0.36637119711026289</v>
      </c>
      <c r="I250" s="22">
        <f>('2012-2022'!I260-'2012-2022'!V$2)/'2012-2022'!V$3</f>
        <v>-0.18977533084474979</v>
      </c>
      <c r="J250" s="22">
        <f>('2012-2022'!J260-'2012-2022'!W$2)/'2012-2022'!W$3</f>
        <v>-2.2147941063623624</v>
      </c>
      <c r="K250" s="22">
        <f>('2012-2022'!K260-'2012-2022'!X$2)/'2012-2022'!X$3</f>
        <v>0.55178146322666932</v>
      </c>
      <c r="L250" s="22">
        <f>('2012-2022'!L260-'2012-2022'!Y$2)/'2012-2022'!Y$3</f>
        <v>-5.621048198302462E-2</v>
      </c>
      <c r="M250" s="22">
        <f>('2012-2022'!M260-'2012-2022'!Z$2)/'2012-2022'!Z$3</f>
        <v>-7.4189721632791666E-2</v>
      </c>
      <c r="N250" s="22">
        <f>('2012-2022'!N260-'2012-2022'!AA$2)/'2012-2022'!AA$3</f>
        <v>-1.132905175785744</v>
      </c>
      <c r="O250" s="22">
        <f>('2012-2022'!P260-'2012-2022'!AC$2)/'2012-2022'!AC$3</f>
        <v>0.56359286492147465</v>
      </c>
    </row>
    <row r="251" spans="1:15">
      <c r="A251" s="10" t="s">
        <v>30</v>
      </c>
      <c r="B251" s="11">
        <v>2018</v>
      </c>
      <c r="C251" s="14" t="s">
        <v>59</v>
      </c>
      <c r="D251" s="14" t="s">
        <v>54</v>
      </c>
      <c r="E251" s="22">
        <f>('2012-2022'!E261-'2012-2022'!R$2)/'2012-2022'!R$3</f>
        <v>0.10619517005192897</v>
      </c>
      <c r="F251" s="22">
        <f>('2012-2022'!F261-'2012-2022'!S$2)/'2012-2022'!S$3</f>
        <v>6.4982815759718565E-2</v>
      </c>
      <c r="G251" s="22">
        <f>('2012-2022'!G261-'2012-2022'!T$2)/'2012-2022'!T$3</f>
        <v>0.80784343386037072</v>
      </c>
      <c r="H251" s="22">
        <f>('2012-2022'!H261-'2012-2022'!U$2)/'2012-2022'!U$3</f>
        <v>-7.967994932598671E-2</v>
      </c>
      <c r="I251" s="22">
        <f>('2012-2022'!I261-'2012-2022'!V$2)/'2012-2022'!V$3</f>
        <v>0.20705430642872519</v>
      </c>
      <c r="J251" s="22">
        <f>('2012-2022'!J261-'2012-2022'!W$2)/'2012-2022'!W$3</f>
        <v>-2.0159469878679772</v>
      </c>
      <c r="K251" s="22">
        <f>('2012-2022'!K261-'2012-2022'!X$2)/'2012-2022'!X$3</f>
        <v>0.38712438448982189</v>
      </c>
      <c r="L251" s="22">
        <f>('2012-2022'!L261-'2012-2022'!Y$2)/'2012-2022'!Y$3</f>
        <v>-5.576685090160631E-2</v>
      </c>
      <c r="M251" s="22">
        <f>('2012-2022'!M261-'2012-2022'!Z$2)/'2012-2022'!Z$3</f>
        <v>0.13952378948324709</v>
      </c>
      <c r="N251" s="22">
        <f>('2012-2022'!N261-'2012-2022'!AA$2)/'2012-2022'!AA$3</f>
        <v>-1.122808882560081</v>
      </c>
      <c r="O251" s="22">
        <f>('2012-2022'!P261-'2012-2022'!AC$2)/'2012-2022'!AC$3</f>
        <v>0.53773337363777207</v>
      </c>
    </row>
    <row r="252" spans="1:15">
      <c r="A252" s="10" t="s">
        <v>30</v>
      </c>
      <c r="B252" s="11">
        <v>2019</v>
      </c>
      <c r="C252" s="14" t="s">
        <v>59</v>
      </c>
      <c r="D252" s="14" t="s">
        <v>54</v>
      </c>
      <c r="E252" s="22">
        <f>('2012-2022'!E262-'2012-2022'!R$2)/'2012-2022'!R$3</f>
        <v>-0.58477095765448672</v>
      </c>
      <c r="F252" s="22">
        <f>('2012-2022'!F262-'2012-2022'!S$2)/'2012-2022'!S$3</f>
        <v>-0.76938529228182484</v>
      </c>
      <c r="G252" s="22">
        <f>('2012-2022'!G262-'2012-2022'!T$2)/'2012-2022'!T$3</f>
        <v>-0.41003778188747658</v>
      </c>
      <c r="H252" s="22">
        <f>('2012-2022'!H262-'2012-2022'!U$2)/'2012-2022'!U$3</f>
        <v>-0.70603660501559462</v>
      </c>
      <c r="I252" s="22">
        <f>('2012-2022'!I262-'2012-2022'!V$2)/'2012-2022'!V$3</f>
        <v>-0.47490606453131901</v>
      </c>
      <c r="J252" s="22">
        <f>('2012-2022'!J262-'2012-2022'!W$2)/'2012-2022'!W$3</f>
        <v>-0.81834908703838161</v>
      </c>
      <c r="K252" s="22">
        <f>('2012-2022'!K262-'2012-2022'!X$2)/'2012-2022'!X$3</f>
        <v>-0.41606370094897521</v>
      </c>
      <c r="L252" s="22">
        <f>('2012-2022'!L262-'2012-2022'!Y$2)/'2012-2022'!Y$3</f>
        <v>-0.49120050105071261</v>
      </c>
      <c r="M252" s="22">
        <f>('2012-2022'!M262-'2012-2022'!Z$2)/'2012-2022'!Z$3</f>
        <v>-0.70614613067871246</v>
      </c>
      <c r="N252" s="22">
        <f>('2012-2022'!N262-'2012-2022'!AA$2)/'2012-2022'!AA$3</f>
        <v>-0.22615174400031829</v>
      </c>
      <c r="O252" s="22">
        <f>('2012-2022'!P262-'2012-2022'!AC$2)/'2012-2022'!AC$3</f>
        <v>0.59716850183054959</v>
      </c>
    </row>
    <row r="253" spans="1:15">
      <c r="A253" s="10" t="s">
        <v>30</v>
      </c>
      <c r="B253" s="11">
        <v>2020</v>
      </c>
      <c r="C253" s="14" t="s">
        <v>59</v>
      </c>
      <c r="D253" s="14" t="s">
        <v>54</v>
      </c>
      <c r="E253" s="22">
        <f>('2012-2022'!E263-'2012-2022'!R$2)/'2012-2022'!R$3</f>
        <v>-0.6507510362348079</v>
      </c>
      <c r="F253" s="22">
        <f>('2012-2022'!F263-'2012-2022'!S$2)/'2012-2022'!S$3</f>
        <v>-0.77476642288742259</v>
      </c>
      <c r="G253" s="22">
        <f>('2012-2022'!G263-'2012-2022'!T$2)/'2012-2022'!T$3</f>
        <v>-0.80138559018649824</v>
      </c>
      <c r="H253" s="22">
        <f>('2012-2022'!H263-'2012-2022'!U$2)/'2012-2022'!U$3</f>
        <v>-0.6804639088298865</v>
      </c>
      <c r="I253" s="22">
        <f>('2012-2022'!I263-'2012-2022'!V$2)/'2012-2022'!V$3</f>
        <v>-0.59705874233770539</v>
      </c>
      <c r="J253" s="22">
        <f>('2012-2022'!J263-'2012-2022'!W$2)/'2012-2022'!W$3</f>
        <v>-0.57233573234389701</v>
      </c>
      <c r="K253" s="22">
        <f>('2012-2022'!K263-'2012-2022'!X$2)/'2012-2022'!X$3</f>
        <v>-0.37429634628323749</v>
      </c>
      <c r="L253" s="22">
        <f>('2012-2022'!L263-'2012-2022'!Y$2)/'2012-2022'!Y$3</f>
        <v>-0.74936183421479829</v>
      </c>
      <c r="M253" s="22">
        <f>('2012-2022'!M263-'2012-2022'!Z$2)/'2012-2022'!Z$3</f>
        <v>-9.4910473228833905E-2</v>
      </c>
      <c r="N253" s="22">
        <f>('2012-2022'!N263-'2012-2022'!AA$2)/'2012-2022'!AA$3</f>
        <v>-0.34481692910197559</v>
      </c>
      <c r="O253" s="22">
        <f>('2012-2022'!P263-'2012-2022'!AC$2)/'2012-2022'!AC$3</f>
        <v>0.5570865354973723</v>
      </c>
    </row>
    <row r="254" spans="1:15">
      <c r="A254" s="10" t="s">
        <v>30</v>
      </c>
      <c r="B254" s="11">
        <v>2022</v>
      </c>
      <c r="C254" s="14" t="s">
        <v>59</v>
      </c>
      <c r="D254" s="14" t="s">
        <v>54</v>
      </c>
      <c r="E254" s="22">
        <f>('2012-2022'!E265-'2012-2022'!R$2)/'2012-2022'!R$3</f>
        <v>-0.85992672456324182</v>
      </c>
      <c r="F254" s="22">
        <f>('2012-2022'!F265-'2012-2022'!S$2)/'2012-2022'!S$3</f>
        <v>-0.84819390024877661</v>
      </c>
      <c r="G254" s="22">
        <f>('2012-2022'!G265-'2012-2022'!T$2)/'2012-2022'!T$3</f>
        <v>0.52794229199464626</v>
      </c>
      <c r="H254" s="22">
        <f>('2012-2022'!H265-'2012-2022'!U$2)/'2012-2022'!U$3</f>
        <v>-0.9693642472441365</v>
      </c>
      <c r="I254" s="22">
        <f>('2012-2022'!I265-'2012-2022'!V$2)/'2012-2022'!V$3</f>
        <v>-0.76715721202233844</v>
      </c>
      <c r="J254" s="22">
        <f>('2012-2022'!J265-'2012-2022'!W$2)/'2012-2022'!W$3</f>
        <v>-0.99510627584938272</v>
      </c>
      <c r="K254" s="22">
        <f>('2012-2022'!K265-'2012-2022'!X$2)/'2012-2022'!X$3</f>
        <v>-0.41584774144231906</v>
      </c>
      <c r="L254" s="22">
        <f>('2012-2022'!L265-'2012-2022'!Y$2)/'2012-2022'!Y$3</f>
        <v>-1.0176066735884119</v>
      </c>
      <c r="M254" s="22">
        <f>('2012-2022'!M265-'2012-2022'!Z$2)/'2012-2022'!Z$3</f>
        <v>0.16241731683340507</v>
      </c>
      <c r="N254" s="22">
        <f>('2012-2022'!N265-'2012-2022'!AA$2)/'2012-2022'!AA$3</f>
        <v>0.12506797248478504</v>
      </c>
      <c r="O254" s="22">
        <f>('2012-2022'!P265-'2012-2022'!AC$2)/'2012-2022'!AC$3</f>
        <v>0.59245370112598394</v>
      </c>
    </row>
    <row r="255" spans="1:15">
      <c r="A255" s="10" t="s">
        <v>32</v>
      </c>
      <c r="B255" s="11">
        <v>2012</v>
      </c>
      <c r="C255" s="14" t="s">
        <v>55</v>
      </c>
      <c r="D255" s="14" t="s">
        <v>54</v>
      </c>
      <c r="E255" s="22">
        <f>('2012-2022'!E266-'2012-2022'!R$2)/'2012-2022'!R$3</f>
        <v>-0.66483682277476386</v>
      </c>
      <c r="F255" s="22">
        <f>('2012-2022'!F266-'2012-2022'!S$2)/'2012-2022'!S$3</f>
        <v>-0.15848844890302435</v>
      </c>
      <c r="G255" s="22">
        <f>('2012-2022'!G266-'2012-2022'!T$2)/'2012-2022'!T$3</f>
        <v>-0.95159282546922175</v>
      </c>
      <c r="H255" s="22">
        <f>('2012-2022'!H266-'2012-2022'!U$2)/'2012-2022'!U$3</f>
        <v>-0.58919541159638034</v>
      </c>
      <c r="I255" s="22">
        <f>('2012-2022'!I266-'2012-2022'!V$2)/'2012-2022'!V$3</f>
        <v>-0.63083622900842762</v>
      </c>
      <c r="J255" s="22">
        <f>('2012-2022'!J266-'2012-2022'!W$2)/'2012-2022'!W$3</f>
        <v>-0.37072267757995631</v>
      </c>
      <c r="K255" s="22">
        <f>('2012-2022'!K266-'2012-2022'!X$2)/'2012-2022'!X$3</f>
        <v>-0.82395597152274602</v>
      </c>
      <c r="L255" s="22">
        <f>('2012-2022'!L266-'2012-2022'!Y$2)/'2012-2022'!Y$3</f>
        <v>-0.92945828814836629</v>
      </c>
      <c r="M255" s="22">
        <f>('2012-2022'!M266-'2012-2022'!Z$2)/'2012-2022'!Z$3</f>
        <v>-0.2087453756447627</v>
      </c>
      <c r="N255" s="22">
        <f>('2012-2022'!N266-'2012-2022'!AA$2)/'2012-2022'!AA$3</f>
        <v>-0.74481390574277084</v>
      </c>
      <c r="O255" s="22">
        <f>('2012-2022'!P266-'2012-2022'!AC$2)/'2012-2022'!AC$3</f>
        <v>1.0284671603948436</v>
      </c>
    </row>
    <row r="256" spans="1:15">
      <c r="A256" s="10" t="s">
        <v>32</v>
      </c>
      <c r="B256" s="11">
        <v>2013</v>
      </c>
      <c r="C256" s="14" t="s">
        <v>55</v>
      </c>
      <c r="D256" s="14" t="s">
        <v>54</v>
      </c>
      <c r="E256" s="22">
        <f>('2012-2022'!E267-'2012-2022'!R$2)/'2012-2022'!R$3</f>
        <v>-0.93475785656899169</v>
      </c>
      <c r="F256" s="22">
        <f>('2012-2022'!F267-'2012-2022'!S$2)/'2012-2022'!S$3</f>
        <v>-0.36492327061822272</v>
      </c>
      <c r="G256" s="22">
        <f>('2012-2022'!G267-'2012-2022'!T$2)/'2012-2022'!T$3</f>
        <v>-0.99166581164892642</v>
      </c>
      <c r="H256" s="22">
        <f>('2012-2022'!H267-'2012-2022'!U$2)/'2012-2022'!U$3</f>
        <v>-0.77192981476744449</v>
      </c>
      <c r="I256" s="22">
        <f>('2012-2022'!I267-'2012-2022'!V$2)/'2012-2022'!V$3</f>
        <v>-0.97183661173480551</v>
      </c>
      <c r="J256" s="22">
        <f>('2012-2022'!J267-'2012-2022'!W$2)/'2012-2022'!W$3</f>
        <v>-0.65569404390854136</v>
      </c>
      <c r="K256" s="22">
        <f>('2012-2022'!K267-'2012-2022'!X$2)/'2012-2022'!X$3</f>
        <v>-1.1173725652944408</v>
      </c>
      <c r="L256" s="22">
        <f>('2012-2022'!L267-'2012-2022'!Y$2)/'2012-2022'!Y$3</f>
        <v>-0.99469407285873845</v>
      </c>
      <c r="M256" s="22">
        <f>('2012-2022'!M267-'2012-2022'!Z$2)/'2012-2022'!Z$3</f>
        <v>-0.32181624420079874</v>
      </c>
      <c r="N256" s="22">
        <f>('2012-2022'!N267-'2012-2022'!AA$2)/'2012-2022'!AA$3</f>
        <v>-0.57567244098147152</v>
      </c>
      <c r="O256" s="22">
        <f>('2012-2022'!P267-'2012-2022'!AC$2)/'2012-2022'!AC$3</f>
        <v>1.1321671287473041</v>
      </c>
    </row>
    <row r="257" spans="1:15">
      <c r="A257" s="10" t="s">
        <v>32</v>
      </c>
      <c r="B257" s="11">
        <v>2014</v>
      </c>
      <c r="C257" s="14" t="s">
        <v>55</v>
      </c>
      <c r="D257" s="14" t="s">
        <v>54</v>
      </c>
      <c r="E257" s="22">
        <f>('2012-2022'!E268-'2012-2022'!R$2)/'2012-2022'!R$3</f>
        <v>-0.26739049501881224</v>
      </c>
      <c r="F257" s="22">
        <f>('2012-2022'!F268-'2012-2022'!S$2)/'2012-2022'!S$3</f>
        <v>-0.76507700592775107</v>
      </c>
      <c r="G257" s="22">
        <f>('2012-2022'!G268-'2012-2022'!T$2)/'2012-2022'!T$3</f>
        <v>6.4066070832666369E-2</v>
      </c>
      <c r="H257" s="22">
        <f>('2012-2022'!H268-'2012-2022'!U$2)/'2012-2022'!U$3</f>
        <v>-0.61745129933425436</v>
      </c>
      <c r="I257" s="22">
        <f>('2012-2022'!I268-'2012-2022'!V$2)/'2012-2022'!V$3</f>
        <v>-8.478877953512421E-3</v>
      </c>
      <c r="J257" s="22">
        <f>('2012-2022'!J268-'2012-2022'!W$2)/'2012-2022'!W$3</f>
        <v>-0.43083310406112596</v>
      </c>
      <c r="K257" s="22">
        <f>('2012-2022'!K268-'2012-2022'!X$2)/'2012-2022'!X$3</f>
        <v>-1.0168619659498108</v>
      </c>
      <c r="L257" s="22">
        <f>('2012-2022'!L268-'2012-2022'!Y$2)/'2012-2022'!Y$3</f>
        <v>-0.85911690756238013</v>
      </c>
      <c r="M257" s="22">
        <f>('2012-2022'!M268-'2012-2022'!Z$2)/'2012-2022'!Z$3</f>
        <v>-0.54525641686487691</v>
      </c>
      <c r="N257" s="22">
        <f>('2012-2022'!N268-'2012-2022'!AA$2)/'2012-2022'!AA$3</f>
        <v>-0.23713447769302481</v>
      </c>
      <c r="O257" s="22">
        <f>('2012-2022'!P268-'2012-2022'!AC$2)/'2012-2022'!AC$3</f>
        <v>1.1393556220192804</v>
      </c>
    </row>
    <row r="258" spans="1:15">
      <c r="A258" s="10" t="s">
        <v>32</v>
      </c>
      <c r="B258" s="11">
        <v>2015</v>
      </c>
      <c r="C258" s="14" t="s">
        <v>55</v>
      </c>
      <c r="D258" s="14" t="s">
        <v>54</v>
      </c>
      <c r="E258" s="22">
        <f>('2012-2022'!E269-'2012-2022'!R$2)/'2012-2022'!R$3</f>
        <v>-1.083411389360156</v>
      </c>
      <c r="F258" s="22">
        <f>('2012-2022'!F269-'2012-2022'!S$2)/'2012-2022'!S$3</f>
        <v>-0.95737146046528554</v>
      </c>
      <c r="G258" s="22">
        <f>('2012-2022'!G269-'2012-2022'!T$2)/'2012-2022'!T$3</f>
        <v>-1.1496734424754107</v>
      </c>
      <c r="H258" s="22">
        <f>('2012-2022'!H269-'2012-2022'!U$2)/'2012-2022'!U$3</f>
        <v>-1.0248937371598417</v>
      </c>
      <c r="I258" s="22">
        <f>('2012-2022'!I269-'2012-2022'!V$2)/'2012-2022'!V$3</f>
        <v>-1.0406981741617267</v>
      </c>
      <c r="J258" s="22">
        <f>('2012-2022'!J269-'2012-2022'!W$2)/'2012-2022'!W$3</f>
        <v>-0.68004582096771471</v>
      </c>
      <c r="K258" s="22">
        <f>('2012-2022'!K269-'2012-2022'!X$2)/'2012-2022'!X$3</f>
        <v>-0.97904378816839299</v>
      </c>
      <c r="L258" s="22">
        <f>('2012-2022'!L269-'2012-2022'!Y$2)/'2012-2022'!Y$3</f>
        <v>-0.9556748703906609</v>
      </c>
      <c r="M258" s="22">
        <f>('2012-2022'!M269-'2012-2022'!Z$2)/'2012-2022'!Z$3</f>
        <v>-0.5975099581659904</v>
      </c>
      <c r="N258" s="22">
        <f>('2012-2022'!N269-'2012-2022'!AA$2)/'2012-2022'!AA$3</f>
        <v>-0.20175377134197781</v>
      </c>
      <c r="O258" s="22">
        <f>('2012-2022'!P269-'2012-2022'!AC$2)/'2012-2022'!AC$3</f>
        <v>1.2403269349802444</v>
      </c>
    </row>
    <row r="259" spans="1:15">
      <c r="A259" s="10" t="s">
        <v>32</v>
      </c>
      <c r="B259" s="11">
        <v>2016</v>
      </c>
      <c r="C259" s="14" t="s">
        <v>55</v>
      </c>
      <c r="D259" s="14" t="s">
        <v>54</v>
      </c>
      <c r="E259" s="22">
        <f>('2012-2022'!E270-'2012-2022'!R$2)/'2012-2022'!R$3</f>
        <v>-0.63282282107303378</v>
      </c>
      <c r="F259" s="22">
        <f>('2012-2022'!F270-'2012-2022'!S$2)/'2012-2022'!S$3</f>
        <v>-9.2648727543355847E-2</v>
      </c>
      <c r="G259" s="22">
        <f>('2012-2022'!G270-'2012-2022'!T$2)/'2012-2022'!T$3</f>
        <v>-0.84212533561396608</v>
      </c>
      <c r="H259" s="22">
        <f>('2012-2022'!H270-'2012-2022'!U$2)/'2012-2022'!U$3</f>
        <v>-0.43628539283386469</v>
      </c>
      <c r="I259" s="22">
        <f>('2012-2022'!I270-'2012-2022'!V$2)/'2012-2022'!V$3</f>
        <v>-0.71546149011946847</v>
      </c>
      <c r="J259" s="22">
        <f>('2012-2022'!J270-'2012-2022'!W$2)/'2012-2022'!W$3</f>
        <v>-0.29866044097111688</v>
      </c>
      <c r="K259" s="22">
        <f>('2012-2022'!K270-'2012-2022'!X$2)/'2012-2022'!X$3</f>
        <v>-0.83791043732681403</v>
      </c>
      <c r="L259" s="22">
        <f>('2012-2022'!L270-'2012-2022'!Y$2)/'2012-2022'!Y$3</f>
        <v>-0.68248502428089708</v>
      </c>
      <c r="M259" s="22">
        <f>('2012-2022'!M270-'2012-2022'!Z$2)/'2012-2022'!Z$3</f>
        <v>-0.69827173223183125</v>
      </c>
      <c r="N259" s="22">
        <f>('2012-2022'!N270-'2012-2022'!AA$2)/'2012-2022'!AA$3</f>
        <v>-0.15518819460092362</v>
      </c>
      <c r="O259" s="22">
        <f>('2012-2022'!P270-'2012-2022'!AC$2)/'2012-2022'!AC$3</f>
        <v>1.0734956318136466</v>
      </c>
    </row>
    <row r="260" spans="1:15">
      <c r="A260" s="10" t="s">
        <v>32</v>
      </c>
      <c r="B260" s="11">
        <v>2017</v>
      </c>
      <c r="C260" s="14" t="s">
        <v>55</v>
      </c>
      <c r="D260" s="14" t="s">
        <v>54</v>
      </c>
      <c r="E260" s="22">
        <f>('2012-2022'!E271-'2012-2022'!R$2)/'2012-2022'!R$3</f>
        <v>-0.56685372896887531</v>
      </c>
      <c r="F260" s="22">
        <f>('2012-2022'!F271-'2012-2022'!S$2)/'2012-2022'!S$3</f>
        <v>-0.41341502948299208</v>
      </c>
      <c r="G260" s="22">
        <f>('2012-2022'!G271-'2012-2022'!T$2)/'2012-2022'!T$3</f>
        <v>2.7696590177493662E-2</v>
      </c>
      <c r="H260" s="22">
        <f>('2012-2022'!H271-'2012-2022'!U$2)/'2012-2022'!U$3</f>
        <v>-0.63456914578907042</v>
      </c>
      <c r="I260" s="22">
        <f>('2012-2022'!I271-'2012-2022'!V$2)/'2012-2022'!V$3</f>
        <v>-0.4884594396478345</v>
      </c>
      <c r="J260" s="22">
        <f>('2012-2022'!J271-'2012-2022'!W$2)/'2012-2022'!W$3</f>
        <v>-0.27649451544083886</v>
      </c>
      <c r="K260" s="22">
        <f>('2012-2022'!K271-'2012-2022'!X$2)/'2012-2022'!X$3</f>
        <v>-0.99501851001417163</v>
      </c>
      <c r="L260" s="22">
        <f>('2012-2022'!L271-'2012-2022'!Y$2)/'2012-2022'!Y$3</f>
        <v>-0.68383176084698682</v>
      </c>
      <c r="M260" s="22">
        <f>('2012-2022'!M271-'2012-2022'!Z$2)/'2012-2022'!Z$3</f>
        <v>-0.58671020022781073</v>
      </c>
      <c r="N260" s="22">
        <f>('2012-2022'!N271-'2012-2022'!AA$2)/'2012-2022'!AA$3</f>
        <v>-0.11307327602630617</v>
      </c>
      <c r="O260" s="22">
        <f>('2012-2022'!P271-'2012-2022'!AC$2)/'2012-2022'!AC$3</f>
        <v>1.0589054219217406</v>
      </c>
    </row>
    <row r="261" spans="1:15">
      <c r="A261" s="10" t="s">
        <v>32</v>
      </c>
      <c r="B261" s="11">
        <v>2018</v>
      </c>
      <c r="C261" s="14" t="s">
        <v>55</v>
      </c>
      <c r="D261" s="14" t="s">
        <v>54</v>
      </c>
      <c r="E261" s="22">
        <f>('2012-2022'!E272-'2012-2022'!R$2)/'2012-2022'!R$3</f>
        <v>-0.52463352452336864</v>
      </c>
      <c r="F261" s="22">
        <f>('2012-2022'!F272-'2012-2022'!S$2)/'2012-2022'!S$3</f>
        <v>-0.11025472084441862</v>
      </c>
      <c r="G261" s="22">
        <f>('2012-2022'!G272-'2012-2022'!T$2)/'2012-2022'!T$3</f>
        <v>6.6975603745318593E-2</v>
      </c>
      <c r="H261" s="22">
        <f>('2012-2022'!H272-'2012-2022'!U$2)/'2012-2022'!U$3</f>
        <v>-0.49564116385495915</v>
      </c>
      <c r="I261" s="22">
        <f>('2012-2022'!I272-'2012-2022'!V$2)/'2012-2022'!V$3</f>
        <v>-0.51338176434029026</v>
      </c>
      <c r="J261" s="22">
        <f>('2012-2022'!J272-'2012-2022'!W$2)/'2012-2022'!W$3</f>
        <v>-0.41408535567758104</v>
      </c>
      <c r="K261" s="22">
        <f>('2012-2022'!K272-'2012-2022'!X$2)/'2012-2022'!X$3</f>
        <v>-1.0632309846343015</v>
      </c>
      <c r="L261" s="22">
        <f>('2012-2022'!L272-'2012-2022'!Y$2)/'2012-2022'!Y$3</f>
        <v>-0.67411424392667374</v>
      </c>
      <c r="M261" s="22">
        <f>('2012-2022'!M272-'2012-2022'!Z$2)/'2012-2022'!Z$3</f>
        <v>-0.32676946391900513</v>
      </c>
      <c r="N261" s="22">
        <f>('2012-2022'!N272-'2012-2022'!AA$2)/'2012-2022'!AA$3</f>
        <v>-4.8319415527300943E-2</v>
      </c>
      <c r="O261" s="22">
        <f>('2012-2022'!P272-'2012-2022'!AC$2)/'2012-2022'!AC$3</f>
        <v>1.0657685484339865</v>
      </c>
    </row>
    <row r="262" spans="1:15">
      <c r="A262" s="10" t="s">
        <v>32</v>
      </c>
      <c r="B262" s="11">
        <v>2019</v>
      </c>
      <c r="C262" s="14" t="s">
        <v>55</v>
      </c>
      <c r="D262" s="14" t="s">
        <v>54</v>
      </c>
      <c r="E262" s="22">
        <f>('2012-2022'!E273-'2012-2022'!R$2)/'2012-2022'!R$3</f>
        <v>-0.39979562358878379</v>
      </c>
      <c r="F262" s="22">
        <f>('2012-2022'!F273-'2012-2022'!S$2)/'2012-2022'!S$3</f>
        <v>0.65663202909247587</v>
      </c>
      <c r="G262" s="22">
        <f>('2012-2022'!G273-'2012-2022'!T$2)/'2012-2022'!T$3</f>
        <v>-0.93847474289191879</v>
      </c>
      <c r="H262" s="22">
        <f>('2012-2022'!H273-'2012-2022'!U$2)/'2012-2022'!U$3</f>
        <v>0.10955572600049618</v>
      </c>
      <c r="I262" s="22">
        <f>('2012-2022'!I273-'2012-2022'!V$2)/'2012-2022'!V$3</f>
        <v>-0.68925821461745995</v>
      </c>
      <c r="J262" s="22">
        <f>('2012-2022'!J273-'2012-2022'!W$2)/'2012-2022'!W$3</f>
        <v>0.32830331425788889</v>
      </c>
      <c r="K262" s="22">
        <f>('2012-2022'!K273-'2012-2022'!X$2)/'2012-2022'!X$3</f>
        <v>-0.94300088085943956</v>
      </c>
      <c r="L262" s="22">
        <f>('2012-2022'!L273-'2012-2022'!Y$2)/'2012-2022'!Y$3</f>
        <v>0.58686094884790019</v>
      </c>
      <c r="M262" s="22">
        <f>('2012-2022'!M273-'2012-2022'!Z$2)/'2012-2022'!Z$3</f>
        <v>0.5873913945420739</v>
      </c>
      <c r="N262" s="22">
        <f>('2012-2022'!N273-'2012-2022'!AA$2)/'2012-2022'!AA$3</f>
        <v>-5.9751361627027239E-2</v>
      </c>
      <c r="O262" s="22">
        <f>('2012-2022'!P273-'2012-2022'!AC$2)/'2012-2022'!AC$3</f>
        <v>1.1143087933070221</v>
      </c>
    </row>
    <row r="263" spans="1:15">
      <c r="A263" s="10" t="s">
        <v>32</v>
      </c>
      <c r="B263" s="11">
        <v>2020</v>
      </c>
      <c r="C263" s="14" t="s">
        <v>55</v>
      </c>
      <c r="D263" s="14" t="s">
        <v>54</v>
      </c>
      <c r="E263" s="22">
        <f>('2012-2022'!E274-'2012-2022'!R$2)/'2012-2022'!R$3</f>
        <v>-0.3138793050966926</v>
      </c>
      <c r="F263" s="22">
        <f>('2012-2022'!F274-'2012-2022'!S$2)/'2012-2022'!S$3</f>
        <v>0.48250447451044626</v>
      </c>
      <c r="G263" s="22">
        <f>('2012-2022'!G274-'2012-2022'!T$2)/'2012-2022'!T$3</f>
        <v>0.81016123157491016</v>
      </c>
      <c r="H263" s="22">
        <f>('2012-2022'!H274-'2012-2022'!U$2)/'2012-2022'!U$3</f>
        <v>-0.22563674158511474</v>
      </c>
      <c r="I263" s="22">
        <f>('2012-2022'!I274-'2012-2022'!V$2)/'2012-2022'!V$3</f>
        <v>-0.35890485424948515</v>
      </c>
      <c r="J263" s="22">
        <f>('2012-2022'!J274-'2012-2022'!W$2)/'2012-2022'!W$3</f>
        <v>0.26980120603798385</v>
      </c>
      <c r="K263" s="22">
        <f>('2012-2022'!K274-'2012-2022'!X$2)/'2012-2022'!X$3</f>
        <v>-0.9042937775809361</v>
      </c>
      <c r="L263" s="22">
        <f>('2012-2022'!L274-'2012-2022'!Y$2)/'2012-2022'!Y$3</f>
        <v>0.64416861631252098</v>
      </c>
      <c r="M263" s="22">
        <f>('2012-2022'!M274-'2012-2022'!Z$2)/'2012-2022'!Z$3</f>
        <v>1.3623051018088872</v>
      </c>
      <c r="N263" s="22">
        <f>('2012-2022'!N274-'2012-2022'!AA$2)/'2012-2022'!AA$3</f>
        <v>-1.0852292232804277</v>
      </c>
      <c r="O263" s="22">
        <f>('2012-2022'!P274-'2012-2022'!AC$2)/'2012-2022'!AC$3</f>
        <v>0.97334025017828207</v>
      </c>
    </row>
    <row r="264" spans="1:15">
      <c r="A264" s="10" t="s">
        <v>32</v>
      </c>
      <c r="B264" s="11">
        <v>2021</v>
      </c>
      <c r="C264" s="14" t="s">
        <v>55</v>
      </c>
      <c r="D264" s="14" t="s">
        <v>54</v>
      </c>
      <c r="E264" s="22">
        <f>('2012-2022'!E275-'2012-2022'!R$2)/'2012-2022'!R$3</f>
        <v>0.31621040812949353</v>
      </c>
      <c r="F264" s="22">
        <f>('2012-2022'!F275-'2012-2022'!S$2)/'2012-2022'!S$3</f>
        <v>0.72999776687300544</v>
      </c>
      <c r="G264" s="22">
        <f>('2012-2022'!G275-'2012-2022'!T$2)/'2012-2022'!T$3</f>
        <v>-0.44443349530599702</v>
      </c>
      <c r="H264" s="22">
        <f>('2012-2022'!H275-'2012-2022'!U$2)/'2012-2022'!U$3</f>
        <v>0.77402690015098485</v>
      </c>
      <c r="I264" s="22">
        <f>('2012-2022'!I275-'2012-2022'!V$2)/'2012-2022'!V$3</f>
        <v>1.198476209077873E-2</v>
      </c>
      <c r="J264" s="22">
        <f>('2012-2022'!J275-'2012-2022'!W$2)/'2012-2022'!W$3</f>
        <v>-3.0043385938917047E-2</v>
      </c>
      <c r="K264" s="22">
        <f>('2012-2022'!K275-'2012-2022'!X$2)/'2012-2022'!X$3</f>
        <v>-0.77288280942315202</v>
      </c>
      <c r="L264" s="22">
        <f>('2012-2022'!L275-'2012-2022'!Y$2)/'2012-2022'!Y$3</f>
        <v>0.64275270614433444</v>
      </c>
      <c r="M264" s="22">
        <f>('2012-2022'!M275-'2012-2022'!Z$2)/'2012-2022'!Z$3</f>
        <v>1.5857477600638075</v>
      </c>
      <c r="N264" s="22">
        <f>('2012-2022'!N275-'2012-2022'!AA$2)/'2012-2022'!AA$3</f>
        <v>1.0207652810761414</v>
      </c>
      <c r="O264" s="22">
        <f>('2012-2022'!P275-'2012-2022'!AC$2)/'2012-2022'!AC$3</f>
        <v>0.97257850473886642</v>
      </c>
    </row>
    <row r="265" spans="1:15">
      <c r="A265" s="10" t="s">
        <v>32</v>
      </c>
      <c r="B265" s="11">
        <v>2022</v>
      </c>
      <c r="C265" s="14" t="s">
        <v>55</v>
      </c>
      <c r="D265" s="14" t="s">
        <v>54</v>
      </c>
      <c r="E265" s="22">
        <f>('2012-2022'!E276-'2012-2022'!R$2)/'2012-2022'!R$3</f>
        <v>0.29602488246760195</v>
      </c>
      <c r="F265" s="22">
        <f>('2012-2022'!F276-'2012-2022'!S$2)/'2012-2022'!S$3</f>
        <v>0.24157156738605912</v>
      </c>
      <c r="G265" s="22">
        <f>('2012-2022'!G276-'2012-2022'!T$2)/'2012-2022'!T$3</f>
        <v>-0.27203489750113169</v>
      </c>
      <c r="H265" s="22">
        <f>('2012-2022'!H276-'2012-2022'!U$2)/'2012-2022'!U$3</f>
        <v>0.47497653961652614</v>
      </c>
      <c r="I265" s="22">
        <f>('2012-2022'!I276-'2012-2022'!V$2)/'2012-2022'!V$3</f>
        <v>0.1573774290179247</v>
      </c>
      <c r="J265" s="22">
        <f>('2012-2022'!J276-'2012-2022'!W$2)/'2012-2022'!W$3</f>
        <v>0.18125377309568627</v>
      </c>
      <c r="K265" s="22">
        <f>('2012-2022'!K276-'2012-2022'!X$2)/'2012-2022'!X$3</f>
        <v>-0.70512976108894054</v>
      </c>
      <c r="L265" s="22">
        <f>('2012-2022'!L276-'2012-2022'!Y$2)/'2012-2022'!Y$3</f>
        <v>0.4669341206622632</v>
      </c>
      <c r="M265" s="22">
        <f>('2012-2022'!M276-'2012-2022'!Z$2)/'2012-2022'!Z$3</f>
        <v>1.714547677548123</v>
      </c>
      <c r="N265" s="22">
        <f>('2012-2022'!N276-'2012-2022'!AA$2)/'2012-2022'!AA$3</f>
        <v>-2.7749794544629655E-2</v>
      </c>
      <c r="O265" s="22">
        <f>('2012-2022'!P276-'2012-2022'!AC$2)/'2012-2022'!AC$3</f>
        <v>1.0334717487273766</v>
      </c>
    </row>
    <row r="266" spans="1:15">
      <c r="A266" s="10" t="s">
        <v>33</v>
      </c>
      <c r="B266" s="11">
        <v>2012</v>
      </c>
      <c r="C266" s="14" t="s">
        <v>53</v>
      </c>
      <c r="D266" s="14" t="s">
        <v>54</v>
      </c>
      <c r="E266" s="22">
        <f>('2012-2022'!E277-'2012-2022'!R$2)/'2012-2022'!R$3</f>
        <v>-0.18150351574337836</v>
      </c>
      <c r="F266" s="22">
        <f>('2012-2022'!F277-'2012-2022'!S$2)/'2012-2022'!S$3</f>
        <v>-0.44075508995548562</v>
      </c>
      <c r="G266" s="22">
        <f>('2012-2022'!G277-'2012-2022'!T$2)/'2012-2022'!T$3</f>
        <v>-1.036730058306276</v>
      </c>
      <c r="H266" s="22">
        <f>('2012-2022'!H277-'2012-2022'!U$2)/'2012-2022'!U$3</f>
        <v>-0.17392962920008842</v>
      </c>
      <c r="I266" s="22">
        <f>('2012-2022'!I277-'2012-2022'!V$2)/'2012-2022'!V$3</f>
        <v>-0.16589287552069792</v>
      </c>
      <c r="J266" s="22">
        <f>('2012-2022'!J277-'2012-2022'!W$2)/'2012-2022'!W$3</f>
        <v>0.38880861766213065</v>
      </c>
      <c r="K266" s="22">
        <f>('2012-2022'!K277-'2012-2022'!X$2)/'2012-2022'!X$3</f>
        <v>-0.43763681475362071</v>
      </c>
      <c r="L266" s="22">
        <f>('2012-2022'!L277-'2012-2022'!Y$2)/'2012-2022'!Y$3</f>
        <v>-1.0189918874661255</v>
      </c>
      <c r="M266" s="22">
        <f>('2012-2022'!M277-'2012-2022'!Z$2)/'2012-2022'!Z$3</f>
        <v>-0.52852133349331276</v>
      </c>
      <c r="N266" s="22">
        <f>('2012-2022'!N277-'2012-2022'!AA$2)/'2012-2022'!AA$3</f>
        <v>-8.1696990739252281E-2</v>
      </c>
      <c r="O266" s="22">
        <f>('2012-2022'!P277-'2012-2022'!AC$2)/'2012-2022'!AC$3</f>
        <v>0.77333071517506236</v>
      </c>
    </row>
    <row r="267" spans="1:15">
      <c r="A267" s="10" t="s">
        <v>33</v>
      </c>
      <c r="B267" s="11">
        <v>2013</v>
      </c>
      <c r="C267" s="14" t="s">
        <v>53</v>
      </c>
      <c r="D267" s="14" t="s">
        <v>54</v>
      </c>
      <c r="E267" s="22">
        <f>('2012-2022'!E278-'2012-2022'!R$2)/'2012-2022'!R$3</f>
        <v>1.3432278401109811E-2</v>
      </c>
      <c r="F267" s="22">
        <f>('2012-2022'!F278-'2012-2022'!S$2)/'2012-2022'!S$3</f>
        <v>-2.9946347471193006E-4</v>
      </c>
      <c r="G267" s="22">
        <f>('2012-2022'!G278-'2012-2022'!T$2)/'2012-2022'!T$3</f>
        <v>-0.79615418525614845</v>
      </c>
      <c r="H267" s="22">
        <f>('2012-2022'!H278-'2012-2022'!U$2)/'2012-2022'!U$3</f>
        <v>0.1298245692061015</v>
      </c>
      <c r="I267" s="22">
        <f>('2012-2022'!I278-'2012-2022'!V$2)/'2012-2022'!V$3</f>
        <v>-5.5050334743847879E-2</v>
      </c>
      <c r="J267" s="22">
        <f>('2012-2022'!J278-'2012-2022'!W$2)/'2012-2022'!W$3</f>
        <v>0.37721927307630815</v>
      </c>
      <c r="K267" s="22">
        <f>('2012-2022'!K278-'2012-2022'!X$2)/'2012-2022'!X$3</f>
        <v>-0.4299159254482442</v>
      </c>
      <c r="L267" s="22">
        <f>('2012-2022'!L278-'2012-2022'!Y$2)/'2012-2022'!Y$3</f>
        <v>-1.1578615358867546</v>
      </c>
      <c r="M267" s="22">
        <f>('2012-2022'!M278-'2012-2022'!Z$2)/'2012-2022'!Z$3</f>
        <v>-0.81770126950550293</v>
      </c>
      <c r="N267" s="22">
        <f>('2012-2022'!N278-'2012-2022'!AA$2)/'2012-2022'!AA$3</f>
        <v>0.14682983042811784</v>
      </c>
      <c r="O267" s="22">
        <f>('2012-2022'!P278-'2012-2022'!AC$2)/'2012-2022'!AC$3</f>
        <v>0.70870040513825572</v>
      </c>
    </row>
    <row r="268" spans="1:15">
      <c r="A268" s="10" t="s">
        <v>33</v>
      </c>
      <c r="B268" s="11">
        <v>2014</v>
      </c>
      <c r="C268" s="14" t="s">
        <v>53</v>
      </c>
      <c r="D268" s="14" t="s">
        <v>54</v>
      </c>
      <c r="E268" s="22">
        <f>('2012-2022'!E279-'2012-2022'!R$2)/'2012-2022'!R$3</f>
        <v>0.34010172459119059</v>
      </c>
      <c r="F268" s="22">
        <f>('2012-2022'!F279-'2012-2022'!S$2)/'2012-2022'!S$3</f>
        <v>6.6383222062062264E-2</v>
      </c>
      <c r="G268" s="22">
        <f>('2012-2022'!G279-'2012-2022'!T$2)/'2012-2022'!T$3</f>
        <v>-0.3170369372814843</v>
      </c>
      <c r="H268" s="22">
        <f>('2012-2022'!H279-'2012-2022'!U$2)/'2012-2022'!U$3</f>
        <v>0.28911425960998677</v>
      </c>
      <c r="I268" s="22">
        <f>('2012-2022'!I279-'2012-2022'!V$2)/'2012-2022'!V$3</f>
        <v>0.36381303740320703</v>
      </c>
      <c r="J268" s="22">
        <f>('2012-2022'!J279-'2012-2022'!W$2)/'2012-2022'!W$3</f>
        <v>0.16817287843344972</v>
      </c>
      <c r="K268" s="22">
        <f>('2012-2022'!K279-'2012-2022'!X$2)/'2012-2022'!X$3</f>
        <v>-0.46075698221479833</v>
      </c>
      <c r="L268" s="22">
        <f>('2012-2022'!L279-'2012-2022'!Y$2)/'2012-2022'!Y$3</f>
        <v>-1.0298378695196571</v>
      </c>
      <c r="M268" s="22">
        <f>('2012-2022'!M279-'2012-2022'!Z$2)/'2012-2022'!Z$3</f>
        <v>-1.0454166905320563</v>
      </c>
      <c r="N268" s="22">
        <f>('2012-2022'!N279-'2012-2022'!AA$2)/'2012-2022'!AA$3</f>
        <v>0.37622115264543993</v>
      </c>
      <c r="O268" s="22">
        <f>('2012-2022'!P279-'2012-2022'!AC$2)/'2012-2022'!AC$3</f>
        <v>0.57642750238954821</v>
      </c>
    </row>
    <row r="269" spans="1:15">
      <c r="A269" s="10" t="s">
        <v>33</v>
      </c>
      <c r="B269" s="11">
        <v>2015</v>
      </c>
      <c r="C269" s="14" t="s">
        <v>53</v>
      </c>
      <c r="D269" s="14" t="s">
        <v>54</v>
      </c>
      <c r="E269" s="22">
        <f>('2012-2022'!E280-'2012-2022'!R$2)/'2012-2022'!R$3</f>
        <v>-0.20747629319542887</v>
      </c>
      <c r="F269" s="22">
        <f>('2012-2022'!F280-'2012-2022'!S$2)/'2012-2022'!S$3</f>
        <v>-0.17352645160067712</v>
      </c>
      <c r="G269" s="22">
        <f>('2012-2022'!G280-'2012-2022'!T$2)/'2012-2022'!T$3</f>
        <v>-0.8685377426278974</v>
      </c>
      <c r="H269" s="22">
        <f>('2012-2022'!H280-'2012-2022'!U$2)/'2012-2022'!U$3</f>
        <v>-0.16730315383457223</v>
      </c>
      <c r="I269" s="22">
        <f>('2012-2022'!I280-'2012-2022'!V$2)/'2012-2022'!V$3</f>
        <v>-0.1999973139103039</v>
      </c>
      <c r="J269" s="22">
        <f>('2012-2022'!J280-'2012-2022'!W$2)/'2012-2022'!W$3</f>
        <v>0.37450230707869947</v>
      </c>
      <c r="K269" s="22">
        <f>('2012-2022'!K280-'2012-2022'!X$2)/'2012-2022'!X$3</f>
        <v>-0.3917521172322046</v>
      </c>
      <c r="L269" s="22">
        <f>('2012-2022'!L280-'2012-2022'!Y$2)/'2012-2022'!Y$3</f>
        <v>-0.94776572076448795</v>
      </c>
      <c r="M269" s="22">
        <f>('2012-2022'!M280-'2012-2022'!Z$2)/'2012-2022'!Z$3</f>
        <v>-1.1756848234272765</v>
      </c>
      <c r="N269" s="22">
        <f>('2012-2022'!N280-'2012-2022'!AA$2)/'2012-2022'!AA$3</f>
        <v>0.11404752159294881</v>
      </c>
      <c r="O269" s="22">
        <f>('2012-2022'!P280-'2012-2022'!AC$2)/'2012-2022'!AC$3</f>
        <v>0.58433373864116211</v>
      </c>
    </row>
    <row r="270" spans="1:15">
      <c r="A270" s="10" t="s">
        <v>33</v>
      </c>
      <c r="B270" s="11">
        <v>2016</v>
      </c>
      <c r="C270" s="14" t="s">
        <v>53</v>
      </c>
      <c r="D270" s="14" t="s">
        <v>54</v>
      </c>
      <c r="E270" s="22">
        <f>('2012-2022'!E281-'2012-2022'!R$2)/'2012-2022'!R$3</f>
        <v>-2.936257513111927E-2</v>
      </c>
      <c r="F270" s="22">
        <f>('2012-2022'!F281-'2012-2022'!S$2)/'2012-2022'!S$3</f>
        <v>-0.19505556216493894</v>
      </c>
      <c r="G270" s="22">
        <f>('2012-2022'!G281-'2012-2022'!T$2)/'2012-2022'!T$3</f>
        <v>-0.62788429720448224</v>
      </c>
      <c r="H270" s="22">
        <f>('2012-2022'!H281-'2012-2022'!U$2)/'2012-2022'!U$3</f>
        <v>-9.3519980687946744E-2</v>
      </c>
      <c r="I270" s="22">
        <f>('2012-2022'!I281-'2012-2022'!V$2)/'2012-2022'!V$3</f>
        <v>3.9385382123821443E-2</v>
      </c>
      <c r="J270" s="22">
        <f>('2012-2022'!J281-'2012-2022'!W$2)/'2012-2022'!W$3</f>
        <v>0.31689969433448434</v>
      </c>
      <c r="K270" s="22">
        <f>('2012-2022'!K281-'2012-2022'!X$2)/'2012-2022'!X$3</f>
        <v>-0.44708300777504156</v>
      </c>
      <c r="L270" s="22">
        <f>('2012-2022'!L281-'2012-2022'!Y$2)/'2012-2022'!Y$3</f>
        <v>-0.88709867176621526</v>
      </c>
      <c r="M270" s="22">
        <f>('2012-2022'!M281-'2012-2022'!Z$2)/'2012-2022'!Z$3</f>
        <v>-0.83087512372345573</v>
      </c>
      <c r="N270" s="22">
        <f>('2012-2022'!N281-'2012-2022'!AA$2)/'2012-2022'!AA$3</f>
        <v>0.77520557357026076</v>
      </c>
      <c r="O270" s="22">
        <f>('2012-2022'!P281-'2012-2022'!AC$2)/'2012-2022'!AC$3</f>
        <v>0.72980260191337831</v>
      </c>
    </row>
    <row r="271" spans="1:15">
      <c r="A271" s="10" t="s">
        <v>33</v>
      </c>
      <c r="B271" s="11">
        <v>2017</v>
      </c>
      <c r="C271" s="14" t="s">
        <v>53</v>
      </c>
      <c r="D271" s="14" t="s">
        <v>54</v>
      </c>
      <c r="E271" s="22">
        <f>('2012-2022'!E282-'2012-2022'!R$2)/'2012-2022'!R$3</f>
        <v>0.14921596110495466</v>
      </c>
      <c r="F271" s="22">
        <f>('2012-2022'!F282-'2012-2022'!S$2)/'2012-2022'!S$3</f>
        <v>-0.22329752356304045</v>
      </c>
      <c r="G271" s="22">
        <f>('2012-2022'!G282-'2012-2022'!T$2)/'2012-2022'!T$3</f>
        <v>-0.518075321126795</v>
      </c>
      <c r="H271" s="22">
        <f>('2012-2022'!H282-'2012-2022'!U$2)/'2012-2022'!U$3</f>
        <v>3.1753486234285624E-3</v>
      </c>
      <c r="I271" s="22">
        <f>('2012-2022'!I282-'2012-2022'!V$2)/'2012-2022'!V$3</f>
        <v>0.26352416395528205</v>
      </c>
      <c r="J271" s="22">
        <f>('2012-2022'!J282-'2012-2022'!W$2)/'2012-2022'!W$3</f>
        <v>0.25241503955496752</v>
      </c>
      <c r="K271" s="22">
        <f>('2012-2022'!K282-'2012-2022'!X$2)/'2012-2022'!X$3</f>
        <v>-0.25246870085929507</v>
      </c>
      <c r="L271" s="22">
        <f>('2012-2022'!L282-'2012-2022'!Y$2)/'2012-2022'!Y$3</f>
        <v>-0.71379216812274504</v>
      </c>
      <c r="M271" s="22">
        <f>('2012-2022'!M282-'2012-2022'!Z$2)/'2012-2022'!Z$3</f>
        <v>-0.87703713684864903</v>
      </c>
      <c r="N271" s="22">
        <f>('2012-2022'!N282-'2012-2022'!AA$2)/'2012-2022'!AA$3</f>
        <v>1.1677834842692045</v>
      </c>
      <c r="O271" s="22">
        <f>('2012-2022'!P282-'2012-2022'!AC$2)/'2012-2022'!AC$3</f>
        <v>0.85725057208676103</v>
      </c>
    </row>
    <row r="272" spans="1:15">
      <c r="A272" s="10" t="s">
        <v>33</v>
      </c>
      <c r="B272" s="11">
        <v>2018</v>
      </c>
      <c r="C272" s="14" t="s">
        <v>53</v>
      </c>
      <c r="D272" s="14" t="s">
        <v>54</v>
      </c>
      <c r="E272" s="22">
        <f>('2012-2022'!E283-'2012-2022'!R$2)/'2012-2022'!R$3</f>
        <v>0.41142024549152567</v>
      </c>
      <c r="F272" s="22">
        <f>('2012-2022'!F283-'2012-2022'!S$2)/'2012-2022'!S$3</f>
        <v>2.9964846210217234E-3</v>
      </c>
      <c r="G272" s="22">
        <f>('2012-2022'!G283-'2012-2022'!T$2)/'2012-2022'!T$3</f>
        <v>-0.81977268372466039</v>
      </c>
      <c r="H272" s="22">
        <f>('2012-2022'!H283-'2012-2022'!U$2)/'2012-2022'!U$3</f>
        <v>0.46414458796036523</v>
      </c>
      <c r="I272" s="22">
        <f>('2012-2022'!I283-'2012-2022'!V$2)/'2012-2022'!V$3</f>
        <v>0.36328887954370725</v>
      </c>
      <c r="J272" s="22">
        <f>('2012-2022'!J283-'2012-2022'!W$2)/'2012-2022'!W$3</f>
        <v>0.36629220755099351</v>
      </c>
      <c r="K272" s="22">
        <f>('2012-2022'!K283-'2012-2022'!X$2)/'2012-2022'!X$3</f>
        <v>-0.28485122689922737</v>
      </c>
      <c r="L272" s="22">
        <f>('2012-2022'!L283-'2012-2022'!Y$2)/'2012-2022'!Y$3</f>
        <v>-0.25665826218818011</v>
      </c>
      <c r="M272" s="22">
        <f>('2012-2022'!M283-'2012-2022'!Z$2)/'2012-2022'!Z$3</f>
        <v>-0.36303069712097902</v>
      </c>
      <c r="N272" s="22">
        <f>('2012-2022'!N283-'2012-2022'!AA$2)/'2012-2022'!AA$3</f>
        <v>1.5556337554328425</v>
      </c>
      <c r="O272" s="22">
        <f>('2012-2022'!P283-'2012-2022'!AC$2)/'2012-2022'!AC$3</f>
        <v>0.82606162859604981</v>
      </c>
    </row>
    <row r="273" spans="1:15">
      <c r="A273" s="10" t="s">
        <v>33</v>
      </c>
      <c r="B273" s="11">
        <v>2019</v>
      </c>
      <c r="C273" s="14" t="s">
        <v>53</v>
      </c>
      <c r="D273" s="14" t="s">
        <v>54</v>
      </c>
      <c r="E273" s="22">
        <f>('2012-2022'!E284-'2012-2022'!R$2)/'2012-2022'!R$3</f>
        <v>0.7857836956895996</v>
      </c>
      <c r="F273" s="22">
        <f>('2012-2022'!F284-'2012-2022'!S$2)/'2012-2022'!S$3</f>
        <v>-5.1152626819316566E-2</v>
      </c>
      <c r="G273" s="22">
        <f>('2012-2022'!G284-'2012-2022'!T$2)/'2012-2022'!T$3</f>
        <v>-0.53810274298614302</v>
      </c>
      <c r="H273" s="22">
        <f>('2012-2022'!H284-'2012-2022'!U$2)/'2012-2022'!U$3</f>
        <v>0.61219199519483714</v>
      </c>
      <c r="I273" s="22">
        <f>('2012-2022'!I284-'2012-2022'!V$2)/'2012-2022'!V$3</f>
        <v>0.87609861396564426</v>
      </c>
      <c r="J273" s="22">
        <f>('2012-2022'!J284-'2012-2022'!W$2)/'2012-2022'!W$3</f>
        <v>1.2248540872462403</v>
      </c>
      <c r="K273" s="22">
        <f>('2012-2022'!K284-'2012-2022'!X$2)/'2012-2022'!X$3</f>
        <v>-0.14041623465933822</v>
      </c>
      <c r="L273" s="22">
        <f>('2012-2022'!L284-'2012-2022'!Y$2)/'2012-2022'!Y$3</f>
        <v>1.5241478294743653</v>
      </c>
      <c r="M273" s="22">
        <f>('2012-2022'!M284-'2012-2022'!Z$2)/'2012-2022'!Z$3</f>
        <v>5.4779627492963168E-2</v>
      </c>
      <c r="N273" s="22">
        <f>('2012-2022'!N284-'2012-2022'!AA$2)/'2012-2022'!AA$3</f>
        <v>1.3947728799538741</v>
      </c>
      <c r="O273" s="22">
        <f>('2012-2022'!P284-'2012-2022'!AC$2)/'2012-2022'!AC$3</f>
        <v>0.67939589841786974</v>
      </c>
    </row>
    <row r="274" spans="1:15">
      <c r="A274" s="10" t="s">
        <v>33</v>
      </c>
      <c r="B274" s="11">
        <v>2020</v>
      </c>
      <c r="C274" s="14" t="s">
        <v>53</v>
      </c>
      <c r="D274" s="14" t="s">
        <v>54</v>
      </c>
      <c r="E274" s="22">
        <f>('2012-2022'!E285-'2012-2022'!R$2)/'2012-2022'!R$3</f>
        <v>0.45869076915791612</v>
      </c>
      <c r="F274" s="22">
        <f>('2012-2022'!F285-'2012-2022'!S$2)/'2012-2022'!S$3</f>
        <v>0.13571023140072644</v>
      </c>
      <c r="G274" s="22">
        <f>('2012-2022'!G285-'2012-2022'!T$2)/'2012-2022'!T$3</f>
        <v>-0.74400419615534163</v>
      </c>
      <c r="H274" s="22">
        <f>('2012-2022'!H285-'2012-2022'!U$2)/'2012-2022'!U$3</f>
        <v>0.50844384471910364</v>
      </c>
      <c r="I274" s="22">
        <f>('2012-2022'!I285-'2012-2022'!V$2)/'2012-2022'!V$3</f>
        <v>0.41608861357428478</v>
      </c>
      <c r="J274" s="22">
        <f>('2012-2022'!J285-'2012-2022'!W$2)/'2012-2022'!W$3</f>
        <v>1.0939028170803839</v>
      </c>
      <c r="K274" s="22">
        <f>('2012-2022'!K285-'2012-2022'!X$2)/'2012-2022'!X$3</f>
        <v>-0.28430331926242891</v>
      </c>
      <c r="L274" s="22">
        <f>('2012-2022'!L285-'2012-2022'!Y$2)/'2012-2022'!Y$3</f>
        <v>1.5302286466171078</v>
      </c>
      <c r="M274" s="22">
        <f>('2012-2022'!M285-'2012-2022'!Z$2)/'2012-2022'!Z$3</f>
        <v>0.77909881733437214</v>
      </c>
      <c r="N274" s="22">
        <f>('2012-2022'!N285-'2012-2022'!AA$2)/'2012-2022'!AA$3</f>
        <v>0.23676756544221356</v>
      </c>
      <c r="O274" s="22">
        <f>('2012-2022'!P285-'2012-2022'!AC$2)/'2012-2022'!AC$3</f>
        <v>0.56663180051506334</v>
      </c>
    </row>
    <row r="275" spans="1:15">
      <c r="A275" s="10" t="s">
        <v>33</v>
      </c>
      <c r="B275" s="11">
        <v>2021</v>
      </c>
      <c r="C275" s="14" t="s">
        <v>53</v>
      </c>
      <c r="D275" s="14" t="s">
        <v>54</v>
      </c>
      <c r="E275" s="22">
        <f>('2012-2022'!E286-'2012-2022'!R$2)/'2012-2022'!R$3</f>
        <v>0.71787865058958</v>
      </c>
      <c r="F275" s="22">
        <f>('2012-2022'!F286-'2012-2022'!S$2)/'2012-2022'!S$3</f>
        <v>0.4404465372212007</v>
      </c>
      <c r="G275" s="22">
        <f>('2012-2022'!G286-'2012-2022'!T$2)/'2012-2022'!T$3</f>
        <v>-0.63371838541168579</v>
      </c>
      <c r="H275" s="22">
        <f>('2012-2022'!H286-'2012-2022'!U$2)/'2012-2022'!U$3</f>
        <v>1.0454592514184977</v>
      </c>
      <c r="I275" s="22">
        <f>('2012-2022'!I286-'2012-2022'!V$2)/'2012-2022'!V$3</f>
        <v>0.46462668115798883</v>
      </c>
      <c r="J275" s="22">
        <f>('2012-2022'!J286-'2012-2022'!W$2)/'2012-2022'!W$3</f>
        <v>1.1417671764032882</v>
      </c>
      <c r="K275" s="22">
        <f>('2012-2022'!K286-'2012-2022'!X$2)/'2012-2022'!X$3</f>
        <v>-0.13485544695103202</v>
      </c>
      <c r="L275" s="22">
        <f>('2012-2022'!L286-'2012-2022'!Y$2)/'2012-2022'!Y$3</f>
        <v>1.3626064360359116</v>
      </c>
      <c r="M275" s="22">
        <f>('2012-2022'!M286-'2012-2022'!Z$2)/'2012-2022'!Z$3</f>
        <v>0.55661780150165985</v>
      </c>
      <c r="N275" s="22">
        <f>('2012-2022'!N286-'2012-2022'!AA$2)/'2012-2022'!AA$3</f>
        <v>1.1407999277341625</v>
      </c>
      <c r="O275" s="22">
        <f>('2012-2022'!P286-'2012-2022'!AC$2)/'2012-2022'!AC$3</f>
        <v>0.80094867047281104</v>
      </c>
    </row>
    <row r="276" spans="1:15">
      <c r="A276" s="10" t="s">
        <v>33</v>
      </c>
      <c r="B276" s="11">
        <v>2022</v>
      </c>
      <c r="C276" s="14" t="s">
        <v>53</v>
      </c>
      <c r="D276" s="14" t="s">
        <v>54</v>
      </c>
      <c r="E276" s="22">
        <f>('2012-2022'!E287-'2012-2022'!R$2)/'2012-2022'!R$3</f>
        <v>1.8373359927334878</v>
      </c>
      <c r="F276" s="22">
        <f>('2012-2022'!F287-'2012-2022'!S$2)/'2012-2022'!S$3</f>
        <v>1.2161330966208113</v>
      </c>
      <c r="G276" s="22">
        <f>('2012-2022'!G287-'2012-2022'!T$2)/'2012-2022'!T$3</f>
        <v>0.12612848947161662</v>
      </c>
      <c r="H276" s="22">
        <f>('2012-2022'!H287-'2012-2022'!U$2)/'2012-2022'!U$3</f>
        <v>2.3091621570353866</v>
      </c>
      <c r="I276" s="22">
        <f>('2012-2022'!I287-'2012-2022'!V$2)/'2012-2022'!V$3</f>
        <v>1.4226163120159381</v>
      </c>
      <c r="J276" s="22">
        <f>('2012-2022'!J287-'2012-2022'!W$2)/'2012-2022'!W$3</f>
        <v>1.3371989137902975</v>
      </c>
      <c r="K276" s="22">
        <f>('2012-2022'!K287-'2012-2022'!X$2)/'2012-2022'!X$3</f>
        <v>1.6976523347733963E-2</v>
      </c>
      <c r="L276" s="22">
        <f>('2012-2022'!L287-'2012-2022'!Y$2)/'2012-2022'!Y$3</f>
        <v>1.1072666872916486</v>
      </c>
      <c r="M276" s="22">
        <f>('2012-2022'!M287-'2012-2022'!Z$2)/'2012-2022'!Z$3</f>
        <v>1.2537209202349133</v>
      </c>
      <c r="N276" s="22">
        <f>('2012-2022'!N287-'2012-2022'!AA$2)/'2012-2022'!AA$3</f>
        <v>7.5448803057335617E-2</v>
      </c>
      <c r="O276" s="22">
        <f>('2012-2022'!P287-'2012-2022'!AC$2)/'2012-2022'!AC$3</f>
        <v>0.794144130092727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D99A-ACE9-4D41-B6E3-5B76D56BD2D6}">
  <sheetPr>
    <tabColor theme="2" tint="-0.499984740745262"/>
  </sheetPr>
  <dimension ref="A1:P113"/>
  <sheetViews>
    <sheetView workbookViewId="0">
      <selection activeCell="E1" sqref="E1"/>
    </sheetView>
  </sheetViews>
  <sheetFormatPr defaultRowHeight="14.4"/>
  <cols>
    <col min="1" max="1" width="18" bestFit="1" customWidth="1"/>
    <col min="2" max="2" width="5" bestFit="1" customWidth="1"/>
    <col min="3" max="3" width="23.33203125" bestFit="1" customWidth="1"/>
    <col min="4" max="4" width="18.44140625" bestFit="1" customWidth="1"/>
    <col min="5" max="15" width="12.6640625" bestFit="1" customWidth="1"/>
    <col min="16" max="16" width="10.44140625" customWidth="1"/>
  </cols>
  <sheetData>
    <row r="1" spans="1:16">
      <c r="A1" s="1" t="s">
        <v>50</v>
      </c>
      <c r="B1" s="1" t="s">
        <v>49</v>
      </c>
      <c r="C1" s="1" t="s">
        <v>47</v>
      </c>
      <c r="D1" s="1" t="s">
        <v>48</v>
      </c>
      <c r="E1" s="13" t="s">
        <v>77</v>
      </c>
      <c r="F1" s="1" t="s">
        <v>34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78</v>
      </c>
    </row>
    <row r="2" spans="1:16">
      <c r="A2" s="4" t="s">
        <v>1</v>
      </c>
      <c r="B2" s="5">
        <v>2019</v>
      </c>
      <c r="C2" s="14" t="s">
        <v>53</v>
      </c>
      <c r="D2" s="14" t="s">
        <v>54</v>
      </c>
      <c r="E2" s="22">
        <f>('2019-2022'!E2-'2019-2022'!R$2)/'2019-2022'!R$3</f>
        <v>1.7958544347749572</v>
      </c>
      <c r="F2" s="22">
        <f>('2019-2022'!F2-'2019-2022'!S$2)/'2019-2022'!S$3</f>
        <v>0.58609373556356692</v>
      </c>
      <c r="G2" s="22">
        <f>('2019-2022'!G2-'2019-2022'!T$2)/'2019-2022'!T$3</f>
        <v>0.22405915342628033</v>
      </c>
      <c r="H2" s="22">
        <f>('2019-2022'!H2-'2019-2022'!U$2)/'2019-2022'!U$3</f>
        <v>1.6773182004575942</v>
      </c>
      <c r="I2" s="22">
        <f>('2019-2022'!I2-'2019-2022'!V$2)/'2019-2022'!V$3</f>
        <v>1.806289507718932</v>
      </c>
      <c r="J2" s="22">
        <f>('2019-2022'!J2-'2019-2022'!W$2)/'2019-2022'!W$3</f>
        <v>-0.11045832654493597</v>
      </c>
      <c r="K2" s="22">
        <f>('2019-2022'!K2-'2019-2022'!X$2)/'2019-2022'!X$3</f>
        <v>-0.36791176998945629</v>
      </c>
      <c r="L2" s="22">
        <f>('2019-2022'!L2-'2019-2022'!Y$2)/'2019-2022'!Y$3</f>
        <v>0.23137475549736136</v>
      </c>
      <c r="M2" s="22">
        <f>('2019-2022'!M2-'2019-2022'!Z$2)/'2019-2022'!Z$3</f>
        <v>0.46218952402691854</v>
      </c>
      <c r="N2" s="22">
        <f>('2019-2022'!N2-'2019-2022'!AA$2)/'2019-2022'!AA$3</f>
        <v>0.79944608877473344</v>
      </c>
      <c r="O2" s="22">
        <f>('2019-2022'!O2-'2019-2022'!AB$2)/'2019-2022'!AB$3</f>
        <v>0.39708795161508847</v>
      </c>
      <c r="P2" s="22">
        <f>('2019-2022'!P2-'2019-2022'!AC$2)/'2019-2022'!AC$3</f>
        <v>1.3893187985192879</v>
      </c>
    </row>
    <row r="3" spans="1:16">
      <c r="A3" s="4" t="s">
        <v>1</v>
      </c>
      <c r="B3" s="5">
        <v>2020</v>
      </c>
      <c r="C3" s="14" t="s">
        <v>53</v>
      </c>
      <c r="D3" s="14" t="s">
        <v>54</v>
      </c>
      <c r="E3" s="22">
        <f>('2019-2022'!E3-'2019-2022'!R$2)/'2019-2022'!R$3</f>
        <v>1.0001681832621268</v>
      </c>
      <c r="F3" s="22">
        <f>('2019-2022'!F3-'2019-2022'!S$2)/'2019-2022'!S$3</f>
        <v>0.62270171937765484</v>
      </c>
      <c r="G3" s="22">
        <f>('2019-2022'!G3-'2019-2022'!T$2)/'2019-2022'!T$3</f>
        <v>-0.39959859032778233</v>
      </c>
      <c r="H3" s="22">
        <f>('2019-2022'!H3-'2019-2022'!U$2)/'2019-2022'!U$3</f>
        <v>1.2679238547043583</v>
      </c>
      <c r="I3" s="22">
        <f>('2019-2022'!I3-'2019-2022'!V$2)/'2019-2022'!V$3</f>
        <v>0.78911847814240943</v>
      </c>
      <c r="J3" s="22">
        <f>('2019-2022'!J3-'2019-2022'!W$2)/'2019-2022'!W$3</f>
        <v>-0.19137817442321284</v>
      </c>
      <c r="K3" s="22">
        <f>('2019-2022'!K3-'2019-2022'!X$2)/'2019-2022'!X$3</f>
        <v>-0.58880109854518903</v>
      </c>
      <c r="L3" s="22">
        <f>('2019-2022'!L3-'2019-2022'!Y$2)/'2019-2022'!Y$3</f>
        <v>-4.8201589333267923E-2</v>
      </c>
      <c r="M3" s="22">
        <f>('2019-2022'!M3-'2019-2022'!Z$2)/'2019-2022'!Z$3</f>
        <v>1.3478618435253344</v>
      </c>
      <c r="N3" s="22">
        <f>('2019-2022'!N3-'2019-2022'!AA$2)/'2019-2022'!AA$3</f>
        <v>-0.15236175145266395</v>
      </c>
      <c r="O3" s="22">
        <f>('2019-2022'!O3-'2019-2022'!AB$2)/'2019-2022'!AB$3</f>
        <v>0.52054186884214027</v>
      </c>
      <c r="P3" s="22">
        <f>('2019-2022'!P3-'2019-2022'!AC$2)/'2019-2022'!AC$3</f>
        <v>1.2672546093828327</v>
      </c>
    </row>
    <row r="4" spans="1:16">
      <c r="A4" s="4" t="s">
        <v>1</v>
      </c>
      <c r="B4" s="5">
        <v>2021</v>
      </c>
      <c r="C4" s="14" t="s">
        <v>53</v>
      </c>
      <c r="D4" s="14" t="s">
        <v>54</v>
      </c>
      <c r="E4" s="22">
        <f>('2019-2022'!E4-'2019-2022'!R$2)/'2019-2022'!R$3</f>
        <v>2.1987042432711617</v>
      </c>
      <c r="F4" s="22">
        <f>('2019-2022'!F4-'2019-2022'!S$2)/'2019-2022'!S$3</f>
        <v>0.84017536023230865</v>
      </c>
      <c r="G4" s="22">
        <f>('2019-2022'!G4-'2019-2022'!T$2)/'2019-2022'!T$3</f>
        <v>3.1103035622454232E-2</v>
      </c>
      <c r="H4" s="22">
        <f>('2019-2022'!H4-'2019-2022'!U$2)/'2019-2022'!U$3</f>
        <v>2.330864374989321</v>
      </c>
      <c r="I4" s="22">
        <f>('2019-2022'!I4-'2019-2022'!V$2)/'2019-2022'!V$3</f>
        <v>2.0247472765673313</v>
      </c>
      <c r="J4" s="22">
        <f>('2019-2022'!J4-'2019-2022'!W$2)/'2019-2022'!W$3</f>
        <v>3.4575735555609423E-2</v>
      </c>
      <c r="K4" s="22">
        <f>('2019-2022'!K4-'2019-2022'!X$2)/'2019-2022'!X$3</f>
        <v>-0.2909177535379936</v>
      </c>
      <c r="L4" s="22">
        <f>('2019-2022'!L4-'2019-2022'!Y$2)/'2019-2022'!Y$3</f>
        <v>1.6708999311920206E-3</v>
      </c>
      <c r="M4" s="22">
        <f>('2019-2022'!M4-'2019-2022'!Z$2)/'2019-2022'!Z$3</f>
        <v>0.83989714595900644</v>
      </c>
      <c r="N4" s="22">
        <f>('2019-2022'!N4-'2019-2022'!AA$2)/'2019-2022'!AA$3</f>
        <v>0.98041100529358705</v>
      </c>
      <c r="O4" s="22">
        <f>('2019-2022'!O4-'2019-2022'!AB$2)/'2019-2022'!AB$3</f>
        <v>0.44852891696434111</v>
      </c>
      <c r="P4" s="22">
        <f>('2019-2022'!P4-'2019-2022'!AC$2)/'2019-2022'!AC$3</f>
        <v>1.3200061588238878</v>
      </c>
    </row>
    <row r="5" spans="1:16">
      <c r="A5" s="4" t="s">
        <v>1</v>
      </c>
      <c r="B5" s="5">
        <v>2022</v>
      </c>
      <c r="C5" s="14" t="s">
        <v>53</v>
      </c>
      <c r="D5" s="14" t="s">
        <v>54</v>
      </c>
      <c r="E5" s="22">
        <f>('2019-2022'!E5-'2019-2022'!R$2)/'2019-2022'!R$3</f>
        <v>1.2982117287994348</v>
      </c>
      <c r="F5" s="22">
        <f>('2019-2022'!F5-'2019-2022'!S$2)/'2019-2022'!S$3</f>
        <v>0.16293787266101126</v>
      </c>
      <c r="G5" s="22">
        <f>('2019-2022'!G5-'2019-2022'!T$2)/'2019-2022'!T$3</f>
        <v>0.31846898590301503</v>
      </c>
      <c r="H5" s="22">
        <f>('2019-2022'!H5-'2019-2022'!U$2)/'2019-2022'!U$3</f>
        <v>1.058900106212016</v>
      </c>
      <c r="I5" s="22">
        <f>('2019-2022'!I5-'2019-2022'!V$2)/'2019-2022'!V$3</f>
        <v>1.3848751516498599</v>
      </c>
      <c r="J5" s="22">
        <f>('2019-2022'!J5-'2019-2022'!W$2)/'2019-2022'!W$3</f>
        <v>-0.20602746035881006</v>
      </c>
      <c r="K5" s="22">
        <f>('2019-2022'!K5-'2019-2022'!X$2)/'2019-2022'!X$3</f>
        <v>-0.44119963871893081</v>
      </c>
      <c r="L5" s="22">
        <f>('2019-2022'!L5-'2019-2022'!Y$2)/'2019-2022'!Y$3</f>
        <v>-0.29721701204018519</v>
      </c>
      <c r="M5" s="22">
        <f>('2019-2022'!M5-'2019-2022'!Z$2)/'2019-2022'!Z$3</f>
        <v>0.75601591574440385</v>
      </c>
      <c r="N5" s="22">
        <f>('2019-2022'!N5-'2019-2022'!AA$2)/'2019-2022'!AA$3</f>
        <v>0.36299559664436187</v>
      </c>
      <c r="O5" s="22">
        <f>('2019-2022'!O5-'2019-2022'!AB$2)/'2019-2022'!AB$3</f>
        <v>0.376515965086542</v>
      </c>
      <c r="P5" s="22">
        <f>('2019-2022'!P5-'2019-2022'!AC$2)/'2019-2022'!AC$3</f>
        <v>1.3207417842459166</v>
      </c>
    </row>
    <row r="6" spans="1:16">
      <c r="A6" s="4" t="s">
        <v>3</v>
      </c>
      <c r="B6" s="5">
        <v>2019</v>
      </c>
      <c r="C6" s="14" t="s">
        <v>51</v>
      </c>
      <c r="D6" s="14" t="s">
        <v>52</v>
      </c>
      <c r="E6" s="22">
        <f>('2019-2022'!E6-'2019-2022'!R$2)/'2019-2022'!R$3</f>
        <v>1.536899121244641</v>
      </c>
      <c r="F6" s="22">
        <f>('2019-2022'!F6-'2019-2022'!S$2)/'2019-2022'!S$3</f>
        <v>0.61103549262194989</v>
      </c>
      <c r="G6" s="22">
        <f>('2019-2022'!G6-'2019-2022'!T$2)/'2019-2022'!T$3</f>
        <v>-0.2608011900487624</v>
      </c>
      <c r="H6" s="22">
        <f>('2019-2022'!H6-'2019-2022'!U$2)/'2019-2022'!U$3</f>
        <v>1.5878681708306295</v>
      </c>
      <c r="I6" s="22">
        <f>('2019-2022'!I6-'2019-2022'!V$2)/'2019-2022'!V$3</f>
        <v>1.4524704654816245</v>
      </c>
      <c r="J6" s="22">
        <f>('2019-2022'!J6-'2019-2022'!W$2)/'2019-2022'!W$3</f>
        <v>0.95161128514573667</v>
      </c>
      <c r="K6" s="22">
        <f>('2019-2022'!K6-'2019-2022'!X$2)/'2019-2022'!X$3</f>
        <v>0.94284229253337259</v>
      </c>
      <c r="L6" s="22">
        <f>('2019-2022'!L6-'2019-2022'!Y$2)/'2019-2022'!Y$3</f>
        <v>1.000337166206567</v>
      </c>
      <c r="M6" s="22">
        <f>('2019-2022'!M6-'2019-2022'!Z$2)/'2019-2022'!Z$3</f>
        <v>-0.82456183681193262</v>
      </c>
      <c r="N6" s="22">
        <f>('2019-2022'!N6-'2019-2022'!AA$2)/'2019-2022'!AA$3</f>
        <v>-0.28051875865003412</v>
      </c>
      <c r="O6" s="22">
        <f>('2019-2022'!O6-'2019-2022'!AB$2)/'2019-2022'!AB$3</f>
        <v>-0.83861609257715419</v>
      </c>
      <c r="P6" s="22">
        <f>('2019-2022'!P6-'2019-2022'!AC$2)/'2019-2022'!AC$3</f>
        <v>-0.58274637675624663</v>
      </c>
    </row>
    <row r="7" spans="1:16">
      <c r="A7" s="4" t="s">
        <v>3</v>
      </c>
      <c r="B7" s="5">
        <v>2020</v>
      </c>
      <c r="C7" s="14" t="s">
        <v>51</v>
      </c>
      <c r="D7" s="14" t="s">
        <v>52</v>
      </c>
      <c r="E7" s="22">
        <f>('2019-2022'!E7-'2019-2022'!R$2)/'2019-2022'!R$3</f>
        <v>2.7601597536785079</v>
      </c>
      <c r="F7" s="22">
        <f>('2019-2022'!F7-'2019-2022'!S$2)/'2019-2022'!S$3</f>
        <v>0.58174736979273867</v>
      </c>
      <c r="G7" s="22">
        <f>('2019-2022'!G7-'2019-2022'!T$2)/'2019-2022'!T$3</f>
        <v>-0.10565463299333114</v>
      </c>
      <c r="H7" s="22">
        <f>('2019-2022'!H7-'2019-2022'!U$2)/'2019-2022'!U$3</f>
        <v>2.6218729715374316</v>
      </c>
      <c r="I7" s="22">
        <f>('2019-2022'!I7-'2019-2022'!V$2)/'2019-2022'!V$3</f>
        <v>2.7512573731667156</v>
      </c>
      <c r="J7" s="22">
        <f>('2019-2022'!J7-'2019-2022'!W$2)/'2019-2022'!W$3</f>
        <v>0.43516390733002025</v>
      </c>
      <c r="K7" s="22">
        <f>('2019-2022'!K7-'2019-2022'!X$2)/'2019-2022'!X$3</f>
        <v>1.0105369159528517</v>
      </c>
      <c r="L7" s="22">
        <f>('2019-2022'!L7-'2019-2022'!Y$2)/'2019-2022'!Y$3</f>
        <v>1.0253920795098259</v>
      </c>
      <c r="M7" s="22">
        <f>('2019-2022'!M7-'2019-2022'!Z$2)/'2019-2022'!Z$3</f>
        <v>-0.35355671071414924</v>
      </c>
      <c r="N7" s="22">
        <f>('2019-2022'!N7-'2019-2022'!AA$2)/'2019-2022'!AA$3</f>
        <v>-0.2168830606271219</v>
      </c>
      <c r="O7" s="22">
        <f>('2019-2022'!O7-'2019-2022'!AB$2)/'2019-2022'!AB$3</f>
        <v>-1.4478117737669154</v>
      </c>
      <c r="P7" s="22">
        <f>('2019-2022'!P7-'2019-2022'!AC$2)/'2019-2022'!AC$3</f>
        <v>-0.67996328754352853</v>
      </c>
    </row>
    <row r="8" spans="1:16">
      <c r="A8" s="4" t="s">
        <v>3</v>
      </c>
      <c r="B8" s="5">
        <v>2022</v>
      </c>
      <c r="C8" s="14" t="s">
        <v>51</v>
      </c>
      <c r="D8" s="14" t="s">
        <v>52</v>
      </c>
      <c r="E8" s="22">
        <f>('2019-2022'!E9-'2019-2022'!R$2)/'2019-2022'!R$3</f>
        <v>1.917402546823489</v>
      </c>
      <c r="F8" s="22">
        <f>('2019-2022'!F9-'2019-2022'!S$2)/'2019-2022'!S$3</f>
        <v>-0.22388902914479317</v>
      </c>
      <c r="G8" s="22">
        <f>('2019-2022'!G9-'2019-2022'!T$2)/'2019-2022'!T$3</f>
        <v>-8.5823281283939581E-2</v>
      </c>
      <c r="H8" s="22">
        <f>('2019-2022'!H9-'2019-2022'!U$2)/'2019-2022'!U$3</f>
        <v>1.2792831722317268</v>
      </c>
      <c r="I8" s="22">
        <f>('2019-2022'!I9-'2019-2022'!V$2)/'2019-2022'!V$3</f>
        <v>2.2592223879690967</v>
      </c>
      <c r="J8" s="22">
        <f>('2019-2022'!J9-'2019-2022'!W$2)/'2019-2022'!W$3</f>
        <v>0.55536653525705593</v>
      </c>
      <c r="K8" s="22">
        <f>('2019-2022'!K9-'2019-2022'!X$2)/'2019-2022'!X$3</f>
        <v>-4.596987051496846E-2</v>
      </c>
      <c r="L8" s="22">
        <f>('2019-2022'!L9-'2019-2022'!Y$2)/'2019-2022'!Y$3</f>
        <v>0.81635841655136065</v>
      </c>
      <c r="M8" s="22">
        <f>('2019-2022'!M9-'2019-2022'!Z$2)/'2019-2022'!Z$3</f>
        <v>-0.80395590372828707</v>
      </c>
      <c r="N8" s="22">
        <f>('2019-2022'!N9-'2019-2022'!AA$2)/'2019-2022'!AA$3</f>
        <v>7.7254142048757704E-2</v>
      </c>
      <c r="O8" s="22">
        <f>('2019-2022'!O9-'2019-2022'!AB$2)/'2019-2022'!AB$3</f>
        <v>-1.1607914792515885</v>
      </c>
      <c r="P8" s="22">
        <f>('2019-2022'!P9-'2019-2022'!AC$2)/'2019-2022'!AC$3</f>
        <v>-0.64517772334025747</v>
      </c>
    </row>
    <row r="9" spans="1:16">
      <c r="A9" s="4" t="s">
        <v>4</v>
      </c>
      <c r="B9" s="5">
        <v>2019</v>
      </c>
      <c r="C9" s="14" t="s">
        <v>55</v>
      </c>
      <c r="D9" s="14" t="s">
        <v>54</v>
      </c>
      <c r="E9" s="22">
        <f>('2019-2022'!E10-'2019-2022'!R$2)/'2019-2022'!R$3</f>
        <v>0.24739207066805338</v>
      </c>
      <c r="F9" s="22">
        <f>('2019-2022'!F10-'2019-2022'!S$2)/'2019-2022'!S$3</f>
        <v>0.20286515386295678</v>
      </c>
      <c r="G9" s="22">
        <f>('2019-2022'!G10-'2019-2022'!T$2)/'2019-2022'!T$3</f>
        <v>0.53846938921707943</v>
      </c>
      <c r="H9" s="22">
        <f>('2019-2022'!H10-'2019-2022'!U$2)/'2019-2022'!U$3</f>
        <v>0.13252523922703655</v>
      </c>
      <c r="I9" s="22">
        <f>('2019-2022'!I10-'2019-2022'!V$2)/'2019-2022'!V$3</f>
        <v>0.30626053726192859</v>
      </c>
      <c r="J9" s="22">
        <f>('2019-2022'!J10-'2019-2022'!W$2)/'2019-2022'!W$3</f>
        <v>0.87102133562019823</v>
      </c>
      <c r="K9" s="22">
        <f>('2019-2022'!K10-'2019-2022'!X$2)/'2019-2022'!X$3</f>
        <v>-9.4410821915832707E-2</v>
      </c>
      <c r="L9" s="22">
        <f>('2019-2022'!L10-'2019-2022'!Y$2)/'2019-2022'!Y$3</f>
        <v>0.97884747065227884</v>
      </c>
      <c r="M9" s="22">
        <f>('2019-2022'!M10-'2019-2022'!Z$2)/'2019-2022'!Z$3</f>
        <v>0.61724363611785227</v>
      </c>
      <c r="N9" s="22">
        <f>('2019-2022'!N10-'2019-2022'!AA$2)/'2019-2022'!AA$3</f>
        <v>0.19457161143759583</v>
      </c>
      <c r="O9" s="22">
        <f>('2019-2022'!O10-'2019-2022'!AB$2)/'2019-2022'!AB$3</f>
        <v>-2.457303361794918</v>
      </c>
      <c r="P9" s="22">
        <f>('2019-2022'!P10-'2019-2022'!AC$2)/'2019-2022'!AC$3</f>
        <v>-0.37545923461456215</v>
      </c>
    </row>
    <row r="10" spans="1:16">
      <c r="A10" s="4" t="s">
        <v>4</v>
      </c>
      <c r="B10" s="5">
        <v>2020</v>
      </c>
      <c r="C10" s="14" t="s">
        <v>55</v>
      </c>
      <c r="D10" s="14" t="s">
        <v>54</v>
      </c>
      <c r="E10" s="22">
        <f>('2019-2022'!E11-'2019-2022'!R$2)/'2019-2022'!R$3</f>
        <v>0.60718257580371726</v>
      </c>
      <c r="F10" s="22">
        <f>('2019-2022'!F11-'2019-2022'!S$2)/'2019-2022'!S$3</f>
        <v>-0.11149740501895726</v>
      </c>
      <c r="G10" s="22">
        <f>('2019-2022'!G11-'2019-2022'!T$2)/'2019-2022'!T$3</f>
        <v>0.59851265393823816</v>
      </c>
      <c r="H10" s="22">
        <f>('2019-2022'!H11-'2019-2022'!U$2)/'2019-2022'!U$3</f>
        <v>0.22374382440058052</v>
      </c>
      <c r="I10" s="22">
        <f>('2019-2022'!I11-'2019-2022'!V$2)/'2019-2022'!V$3</f>
        <v>0.81585717838542948</v>
      </c>
      <c r="J10" s="22">
        <f>('2019-2022'!J11-'2019-2022'!W$2)/'2019-2022'!W$3</f>
        <v>1.1301929738037915</v>
      </c>
      <c r="K10" s="22">
        <f>('2019-2022'!K11-'2019-2022'!X$2)/'2019-2022'!X$3</f>
        <v>0.20794566208800144</v>
      </c>
      <c r="L10" s="22">
        <f>('2019-2022'!L11-'2019-2022'!Y$2)/'2019-2022'!Y$3</f>
        <v>1.0829400559916438</v>
      </c>
      <c r="M10" s="22">
        <f>('2019-2022'!M11-'2019-2022'!Z$2)/'2019-2022'!Z$3</f>
        <v>1.1134131508052505</v>
      </c>
      <c r="N10" s="22">
        <f>('2019-2022'!N11-'2019-2022'!AA$2)/'2019-2022'!AA$3</f>
        <v>-0.25576586319917399</v>
      </c>
      <c r="O10" s="22">
        <f>('2019-2022'!O11-'2019-2022'!AB$2)/'2019-2022'!AB$3</f>
        <v>-1.8576540526708225</v>
      </c>
      <c r="P10" s="22">
        <f>('2019-2022'!P11-'2019-2022'!AC$2)/'2019-2022'!AC$3</f>
        <v>-0.6242956155884567</v>
      </c>
    </row>
    <row r="11" spans="1:16">
      <c r="A11" s="4" t="s">
        <v>4</v>
      </c>
      <c r="B11" s="5">
        <v>2021</v>
      </c>
      <c r="C11" s="14" t="s">
        <v>55</v>
      </c>
      <c r="D11" s="14" t="s">
        <v>54</v>
      </c>
      <c r="E11" s="22">
        <f>('2019-2022'!E12-'2019-2022'!R$2)/'2019-2022'!R$3</f>
        <v>0.48938568605431509</v>
      </c>
      <c r="F11" s="22">
        <f>('2019-2022'!F12-'2019-2022'!S$2)/'2019-2022'!S$3</f>
        <v>-0.30475644592269807</v>
      </c>
      <c r="G11" s="22">
        <f>('2019-2022'!G12-'2019-2022'!T$2)/'2019-2022'!T$3</f>
        <v>0.60589606721498535</v>
      </c>
      <c r="H11" s="22">
        <f>('2019-2022'!H12-'2019-2022'!U$2)/'2019-2022'!U$3</f>
        <v>-3.3489407865821406E-2</v>
      </c>
      <c r="I11" s="22">
        <f>('2019-2022'!I12-'2019-2022'!V$2)/'2019-2022'!V$3</f>
        <v>0.81728113042478645</v>
      </c>
      <c r="J11" s="22">
        <f>('2019-2022'!J12-'2019-2022'!W$2)/'2019-2022'!W$3</f>
        <v>0.86250341076464943</v>
      </c>
      <c r="K11" s="22">
        <f>('2019-2022'!K12-'2019-2022'!X$2)/'2019-2022'!X$3</f>
        <v>4.9823113130093591E-2</v>
      </c>
      <c r="L11" s="22">
        <f>('2019-2022'!L12-'2019-2022'!Y$2)/'2019-2022'!Y$3</f>
        <v>1.0962084279425861</v>
      </c>
      <c r="M11" s="22">
        <f>('2019-2022'!M12-'2019-2022'!Z$2)/'2019-2022'!Z$3</f>
        <v>0.48955847494184185</v>
      </c>
      <c r="N11" s="22">
        <f>('2019-2022'!N12-'2019-2022'!AA$2)/'2019-2022'!AA$3</f>
        <v>0.3360964854328467</v>
      </c>
      <c r="O11" s="22">
        <f>('2019-2022'!O12-'2019-2022'!AB$2)/'2019-2022'!AB$3</f>
        <v>-1.8577133297002997</v>
      </c>
      <c r="P11" s="22">
        <f>('2019-2022'!P12-'2019-2022'!AC$2)/'2019-2022'!AC$3</f>
        <v>-0.44749871945106523</v>
      </c>
    </row>
    <row r="12" spans="1:16">
      <c r="A12" s="4" t="s">
        <v>4</v>
      </c>
      <c r="B12" s="5">
        <v>2022</v>
      </c>
      <c r="C12" s="14" t="s">
        <v>55</v>
      </c>
      <c r="D12" s="14" t="s">
        <v>54</v>
      </c>
      <c r="E12" s="22">
        <f>('2019-2022'!E13-'2019-2022'!R$2)/'2019-2022'!R$3</f>
        <v>0.90451946963041796</v>
      </c>
      <c r="F12" s="22">
        <f>('2019-2022'!F13-'2019-2022'!S$2)/'2019-2022'!S$3</f>
        <v>-0.89334961895291853</v>
      </c>
      <c r="G12" s="22">
        <f>('2019-2022'!G13-'2019-2022'!T$2)/'2019-2022'!T$3</f>
        <v>1.0588243710162752</v>
      </c>
      <c r="H12" s="22">
        <f>('2019-2022'!H13-'2019-2022'!U$2)/'2019-2022'!U$3</f>
        <v>6.7297084260977663E-2</v>
      </c>
      <c r="I12" s="22">
        <f>('2019-2022'!I13-'2019-2022'!V$2)/'2019-2022'!V$3</f>
        <v>1.1960148722195685</v>
      </c>
      <c r="J12" s="22">
        <f>('2019-2022'!J13-'2019-2022'!W$2)/'2019-2022'!W$3</f>
        <v>1.0361615903306922</v>
      </c>
      <c r="K12" s="22">
        <f>('2019-2022'!K13-'2019-2022'!X$2)/'2019-2022'!X$3</f>
        <v>-4.3137584140313393E-2</v>
      </c>
      <c r="L12" s="22">
        <f>('2019-2022'!L13-'2019-2022'!Y$2)/'2019-2022'!Y$3</f>
        <v>0.99704229749730022</v>
      </c>
      <c r="M12" s="22">
        <f>('2019-2022'!M13-'2019-2022'!Z$2)/'2019-2022'!Z$3</f>
        <v>0.75213397746139998</v>
      </c>
      <c r="N12" s="22">
        <f>('2019-2022'!N13-'2019-2022'!AA$2)/'2019-2022'!AA$3</f>
        <v>0.42531382104000898</v>
      </c>
      <c r="O12" s="22">
        <f>('2019-2022'!O13-'2019-2022'!AB$2)/'2019-2022'!AB$3</f>
        <v>-1.742307333243686</v>
      </c>
      <c r="P12" s="22">
        <f>('2019-2022'!P13-'2019-2022'!AC$2)/'2019-2022'!AC$3</f>
        <v>-0.49164889045935078</v>
      </c>
    </row>
    <row r="13" spans="1:16">
      <c r="A13" s="4" t="s">
        <v>5</v>
      </c>
      <c r="B13" s="5">
        <v>2019</v>
      </c>
      <c r="C13" s="14" t="s">
        <v>55</v>
      </c>
      <c r="D13" s="14" t="s">
        <v>54</v>
      </c>
      <c r="E13" s="22">
        <f>('2019-2022'!E14-'2019-2022'!R$2)/'2019-2022'!R$3</f>
        <v>6.8272761437453604E-3</v>
      </c>
      <c r="F13" s="22">
        <f>('2019-2022'!F14-'2019-2022'!S$2)/'2019-2022'!S$3</f>
        <v>-0.26503243611881472</v>
      </c>
      <c r="G13" s="22">
        <f>('2019-2022'!G14-'2019-2022'!T$2)/'2019-2022'!T$3</f>
        <v>0.367679065566129</v>
      </c>
      <c r="H13" s="22">
        <f>('2019-2022'!H14-'2019-2022'!U$2)/'2019-2022'!U$3</f>
        <v>-0.23080698154583251</v>
      </c>
      <c r="I13" s="22">
        <f>('2019-2022'!I14-'2019-2022'!V$2)/'2019-2022'!V$3</f>
        <v>0.15029029297807675</v>
      </c>
      <c r="J13" s="22">
        <f>('2019-2022'!J14-'2019-2022'!W$2)/'2019-2022'!W$3</f>
        <v>-1.75827369004634E-2</v>
      </c>
      <c r="K13" s="22">
        <f>('2019-2022'!K14-'2019-2022'!X$2)/'2019-2022'!X$3</f>
        <v>-0.14134244564605702</v>
      </c>
      <c r="L13" s="22">
        <f>('2019-2022'!L14-'2019-2022'!Y$2)/'2019-2022'!Y$3</f>
        <v>0.29060138071632452</v>
      </c>
      <c r="M13" s="22">
        <f>('2019-2022'!M14-'2019-2022'!Z$2)/'2019-2022'!Z$3</f>
        <v>-0.32246256046995009</v>
      </c>
      <c r="N13" s="22">
        <f>('2019-2022'!N14-'2019-2022'!AA$2)/'2019-2022'!AA$3</f>
        <v>-0.71264665906853353</v>
      </c>
      <c r="O13" s="22">
        <f>('2019-2022'!O14-'2019-2022'!AB$2)/'2019-2022'!AB$3</f>
        <v>0.1233341043927982</v>
      </c>
      <c r="P13" s="22">
        <f>('2019-2022'!P14-'2019-2022'!AC$2)/'2019-2022'!AC$3</f>
        <v>0.51486495026401724</v>
      </c>
    </row>
    <row r="14" spans="1:16">
      <c r="A14" s="4" t="s">
        <v>5</v>
      </c>
      <c r="B14" s="5">
        <v>2020</v>
      </c>
      <c r="C14" s="14" t="s">
        <v>55</v>
      </c>
      <c r="D14" s="14" t="s">
        <v>54</v>
      </c>
      <c r="E14" s="22">
        <f>('2019-2022'!E15-'2019-2022'!R$2)/'2019-2022'!R$3</f>
        <v>-0.6357532530484522</v>
      </c>
      <c r="F14" s="22">
        <f>('2019-2022'!F15-'2019-2022'!S$2)/'2019-2022'!S$3</f>
        <v>-0.91104183557594742</v>
      </c>
      <c r="G14" s="22">
        <f>('2019-2022'!G15-'2019-2022'!T$2)/'2019-2022'!T$3</f>
        <v>6.6875310464098534E-3</v>
      </c>
      <c r="H14" s="22">
        <f>('2019-2022'!H15-'2019-2022'!U$2)/'2019-2022'!U$3</f>
        <v>-0.88389191482055285</v>
      </c>
      <c r="I14" s="22">
        <f>('2019-2022'!I15-'2019-2022'!V$2)/'2019-2022'!V$3</f>
        <v>-0.44941259730396438</v>
      </c>
      <c r="J14" s="22">
        <f>('2019-2022'!J15-'2019-2022'!W$2)/'2019-2022'!W$3</f>
        <v>-2.1888706448107153E-2</v>
      </c>
      <c r="K14" s="22">
        <f>('2019-2022'!K15-'2019-2022'!X$2)/'2019-2022'!X$3</f>
        <v>-0.28052129250199564</v>
      </c>
      <c r="L14" s="22">
        <f>('2019-2022'!L15-'2019-2022'!Y$2)/'2019-2022'!Y$3</f>
        <v>1.1055114395765859</v>
      </c>
      <c r="M14" s="22">
        <f>('2019-2022'!M15-'2019-2022'!Z$2)/'2019-2022'!Z$3</f>
        <v>1.1615493020484555</v>
      </c>
      <c r="N14" s="22">
        <f>('2019-2022'!N15-'2019-2022'!AA$2)/'2019-2022'!AA$3</f>
        <v>-1.6353514130278795</v>
      </c>
      <c r="O14" s="22">
        <f>('2019-2022'!O15-'2019-2022'!AB$2)/'2019-2022'!AB$3</f>
        <v>-0.39184194283636942</v>
      </c>
      <c r="P14" s="22">
        <f>('2019-2022'!P15-'2019-2022'!AC$2)/'2019-2022'!AC$3</f>
        <v>0.32228270195595415</v>
      </c>
    </row>
    <row r="15" spans="1:16">
      <c r="A15" s="4" t="s">
        <v>5</v>
      </c>
      <c r="B15" s="5">
        <v>2021</v>
      </c>
      <c r="C15" s="14" t="s">
        <v>55</v>
      </c>
      <c r="D15" s="14" t="s">
        <v>54</v>
      </c>
      <c r="E15" s="22">
        <f>('2019-2022'!E16-'2019-2022'!R$2)/'2019-2022'!R$3</f>
        <v>-0.80898777188862869</v>
      </c>
      <c r="F15" s="22">
        <f>('2019-2022'!F16-'2019-2022'!S$2)/'2019-2022'!S$3</f>
        <v>-1.2230952590962854</v>
      </c>
      <c r="G15" s="22">
        <f>('2019-2022'!G16-'2019-2022'!T$2)/'2019-2022'!T$3</f>
        <v>0.11054683241079283</v>
      </c>
      <c r="H15" s="22">
        <f>('2019-2022'!H16-'2019-2022'!U$2)/'2019-2022'!U$3</f>
        <v>-1.0984602360203692</v>
      </c>
      <c r="I15" s="22">
        <f>('2019-2022'!I16-'2019-2022'!V$2)/'2019-2022'!V$3</f>
        <v>-0.59491133471662838</v>
      </c>
      <c r="J15" s="22">
        <f>('2019-2022'!J16-'2019-2022'!W$2)/'2019-2022'!W$3</f>
        <v>0.38377277328611481</v>
      </c>
      <c r="K15" s="22">
        <f>('2019-2022'!K16-'2019-2022'!X$2)/'2019-2022'!X$3</f>
        <v>-0.61542631176821327</v>
      </c>
      <c r="L15" s="22">
        <f>('2019-2022'!L16-'2019-2022'!Y$2)/'2019-2022'!Y$3</f>
        <v>1.43015854541428</v>
      </c>
      <c r="M15" s="22">
        <f>('2019-2022'!M16-'2019-2022'!Z$2)/'2019-2022'!Z$3</f>
        <v>0.85182888823245162</v>
      </c>
      <c r="N15" s="22">
        <f>('2019-2022'!N16-'2019-2022'!AA$2)/'2019-2022'!AA$3</f>
        <v>-9.5727586421630581E-2</v>
      </c>
      <c r="O15" s="22">
        <f>('2019-2022'!O16-'2019-2022'!AB$2)/'2019-2022'!AB$3</f>
        <v>1.305876758026539E-2</v>
      </c>
      <c r="P15" s="22">
        <f>('2019-2022'!P16-'2019-2022'!AC$2)/'2019-2022'!AC$3</f>
        <v>0.25506734257651964</v>
      </c>
    </row>
    <row r="16" spans="1:16">
      <c r="A16" s="4" t="s">
        <v>5</v>
      </c>
      <c r="B16" s="5">
        <v>2022</v>
      </c>
      <c r="C16" s="14" t="s">
        <v>55</v>
      </c>
      <c r="D16" s="14" t="s">
        <v>54</v>
      </c>
      <c r="E16" s="22">
        <f>('2019-2022'!E17-'2019-2022'!R$2)/'2019-2022'!R$3</f>
        <v>-0.24935442239664468</v>
      </c>
      <c r="F16" s="22">
        <f>('2019-2022'!F17-'2019-2022'!S$2)/'2019-2022'!S$3</f>
        <v>0.54815455749072273</v>
      </c>
      <c r="G16" s="22">
        <f>('2019-2022'!G17-'2019-2022'!T$2)/'2019-2022'!T$3</f>
        <v>0.58082192875932992</v>
      </c>
      <c r="H16" s="22">
        <f>('2019-2022'!H17-'2019-2022'!U$2)/'2019-2022'!U$3</f>
        <v>-0.18009424774991226</v>
      </c>
      <c r="I16" s="22">
        <f>('2019-2022'!I17-'2019-2022'!V$2)/'2019-2022'!V$3</f>
        <v>-0.27929614292260457</v>
      </c>
      <c r="J16" s="22">
        <f>('2019-2022'!J17-'2019-2022'!W$2)/'2019-2022'!W$3</f>
        <v>-0.39302630879610811</v>
      </c>
      <c r="K16" s="22">
        <f>('2019-2022'!K17-'2019-2022'!X$2)/'2019-2022'!X$3</f>
        <v>-0.37883072022681663</v>
      </c>
      <c r="L16" s="22">
        <f>('2019-2022'!L17-'2019-2022'!Y$2)/'2019-2022'!Y$3</f>
        <v>2.0684010542910043</v>
      </c>
      <c r="M16" s="22">
        <f>('2019-2022'!M17-'2019-2022'!Z$2)/'2019-2022'!Z$3</f>
        <v>1.2113773295975521</v>
      </c>
      <c r="N16" s="22">
        <f>('2019-2022'!N17-'2019-2022'!AA$2)/'2019-2022'!AA$3</f>
        <v>-1.3342202113658703</v>
      </c>
      <c r="O16" s="22">
        <f>('2019-2022'!O17-'2019-2022'!AB$2)/'2019-2022'!AB$3</f>
        <v>-0.30257347833059317</v>
      </c>
      <c r="P16" s="22">
        <f>('2019-2022'!P17-'2019-2022'!AC$2)/'2019-2022'!AC$3</f>
        <v>9.8211878281576584E-2</v>
      </c>
    </row>
    <row r="17" spans="1:16">
      <c r="A17" s="4" t="s">
        <v>6</v>
      </c>
      <c r="B17" s="5">
        <v>2019</v>
      </c>
      <c r="C17" s="14" t="s">
        <v>56</v>
      </c>
      <c r="D17" s="14" t="s">
        <v>57</v>
      </c>
      <c r="E17" s="22">
        <f>('2019-2022'!E18-'2019-2022'!R$2)/'2019-2022'!R$3</f>
        <v>-0.8451192016356478</v>
      </c>
      <c r="F17" s="22">
        <f>('2019-2022'!F18-'2019-2022'!S$2)/'2019-2022'!S$3</f>
        <v>2.7545574200403147</v>
      </c>
      <c r="G17" s="22">
        <f>('2019-2022'!G18-'2019-2022'!T$2)/'2019-2022'!T$3</f>
        <v>-0.17696690687003358</v>
      </c>
      <c r="H17" s="22">
        <f>('2019-2022'!H18-'2019-2022'!U$2)/'2019-2022'!U$3</f>
        <v>-0.57202420338362248</v>
      </c>
      <c r="I17" s="22">
        <f>('2019-2022'!I18-'2019-2022'!V$2)/'2019-2022'!V$3</f>
        <v>-0.98023123550347979</v>
      </c>
      <c r="J17" s="22">
        <f>('2019-2022'!J18-'2019-2022'!W$2)/'2019-2022'!W$3</f>
        <v>0.6027271720621421</v>
      </c>
      <c r="K17" s="22">
        <f>('2019-2022'!K18-'2019-2022'!X$2)/'2019-2022'!X$3</f>
        <v>2.2408227531945482</v>
      </c>
      <c r="L17" s="22">
        <f>('2019-2022'!L18-'2019-2022'!Y$2)/'2019-2022'!Y$3</f>
        <v>1.9654572808080119E-2</v>
      </c>
      <c r="M17" s="22">
        <f>('2019-2022'!M18-'2019-2022'!Z$2)/'2019-2022'!Z$3</f>
        <v>0.53079838542801605</v>
      </c>
      <c r="N17" s="22">
        <f>('2019-2022'!N18-'2019-2022'!AA$2)/'2019-2022'!AA$3</f>
        <v>1.1409392407262497</v>
      </c>
      <c r="O17" s="22">
        <f>('2019-2022'!O18-'2019-2022'!AB$2)/'2019-2022'!AB$3</f>
        <v>0.93102633688921743</v>
      </c>
      <c r="P17" s="22">
        <f>('2019-2022'!P18-'2019-2022'!AC$2)/'2019-2022'!AC$3</f>
        <v>-1.8543569117330805</v>
      </c>
    </row>
    <row r="18" spans="1:16">
      <c r="A18" s="4" t="s">
        <v>6</v>
      </c>
      <c r="B18" s="5">
        <v>2020</v>
      </c>
      <c r="C18" s="14" t="s">
        <v>56</v>
      </c>
      <c r="D18" s="14" t="s">
        <v>57</v>
      </c>
      <c r="E18" s="22">
        <f>('2019-2022'!E19-'2019-2022'!R$2)/'2019-2022'!R$3</f>
        <v>-0.25625363935408935</v>
      </c>
      <c r="F18" s="22">
        <f>('2019-2022'!F19-'2019-2022'!S$2)/'2019-2022'!S$3</f>
        <v>2.6576840804483775</v>
      </c>
      <c r="G18" s="22">
        <f>('2019-2022'!G19-'2019-2022'!T$2)/'2019-2022'!T$3</f>
        <v>-0.62072084393054006</v>
      </c>
      <c r="H18" s="22">
        <f>('2019-2022'!H19-'2019-2022'!U$2)/'2019-2022'!U$3</f>
        <v>7.9131118021389169E-2</v>
      </c>
      <c r="I18" s="22">
        <f>('2019-2022'!I19-'2019-2022'!V$2)/'2019-2022'!V$3</f>
        <v>-0.49282732302759091</v>
      </c>
      <c r="J18" s="22">
        <f>('2019-2022'!J19-'2019-2022'!W$2)/'2019-2022'!W$3</f>
        <v>-0.15749047057027299</v>
      </c>
      <c r="K18" s="22">
        <f>('2019-2022'!K19-'2019-2022'!X$2)/'2019-2022'!X$3</f>
        <v>1.8612410825384107</v>
      </c>
      <c r="L18" s="22">
        <f>('2019-2022'!L19-'2019-2022'!Y$2)/'2019-2022'!Y$3</f>
        <v>-1.1290498717411874</v>
      </c>
      <c r="M18" s="22">
        <f>('2019-2022'!M19-'2019-2022'!Z$2)/'2019-2022'!Z$3</f>
        <v>-0.91608697926164617</v>
      </c>
      <c r="N18" s="22">
        <f>('2019-2022'!N19-'2019-2022'!AA$2)/'2019-2022'!AA$3</f>
        <v>0.72444636015798991</v>
      </c>
      <c r="O18" s="22">
        <f>('2019-2022'!O19-'2019-2022'!AB$2)/'2019-2022'!AB$3</f>
        <v>4.2191598568434116E-2</v>
      </c>
      <c r="P18" s="22">
        <f>('2019-2022'!P19-'2019-2022'!AC$2)/'2019-2022'!AC$3</f>
        <v>-1.7629098333918158</v>
      </c>
    </row>
    <row r="19" spans="1:16">
      <c r="A19" s="4" t="s">
        <v>6</v>
      </c>
      <c r="B19" s="5">
        <v>2021</v>
      </c>
      <c r="C19" s="14" t="s">
        <v>56</v>
      </c>
      <c r="D19" s="14" t="s">
        <v>57</v>
      </c>
      <c r="E19" s="22">
        <f>('2019-2022'!E20-'2019-2022'!R$2)/'2019-2022'!R$3</f>
        <v>-0.47900937575562996</v>
      </c>
      <c r="F19" s="22">
        <f>('2019-2022'!F20-'2019-2022'!S$2)/'2019-2022'!S$3</f>
        <v>2.3754848687997883</v>
      </c>
      <c r="G19" s="22">
        <f>('2019-2022'!G20-'2019-2022'!T$2)/'2019-2022'!T$3</f>
        <v>3.5973191541191996E-2</v>
      </c>
      <c r="H19" s="22">
        <f>('2019-2022'!H20-'2019-2022'!U$2)/'2019-2022'!U$3</f>
        <v>-0.3022130764510374</v>
      </c>
      <c r="I19" s="22">
        <f>('2019-2022'!I20-'2019-2022'!V$2)/'2019-2022'!V$3</f>
        <v>-0.52774209724775523</v>
      </c>
      <c r="J19" s="22">
        <f>('2019-2022'!J20-'2019-2022'!W$2)/'2019-2022'!W$3</f>
        <v>0.5027529218240292</v>
      </c>
      <c r="K19" s="22">
        <f>('2019-2022'!K20-'2019-2022'!X$2)/'2019-2022'!X$3</f>
        <v>1.8299989302185493</v>
      </c>
      <c r="L19" s="22">
        <f>('2019-2022'!L20-'2019-2022'!Y$2)/'2019-2022'!Y$3</f>
        <v>-1.4089199976783358</v>
      </c>
      <c r="M19" s="22">
        <f>('2019-2022'!M20-'2019-2022'!Z$2)/'2019-2022'!Z$3</f>
        <v>0.29727100075073343</v>
      </c>
      <c r="N19" s="22">
        <f>('2019-2022'!N20-'2019-2022'!AA$2)/'2019-2022'!AA$3</f>
        <v>1.1254542467008055</v>
      </c>
      <c r="O19" s="22">
        <f>('2019-2022'!O20-'2019-2022'!AB$2)/'2019-2022'!AB$3</f>
        <v>0.57354445290514455</v>
      </c>
      <c r="P19" s="22">
        <f>('2019-2022'!P20-'2019-2022'!AC$2)/'2019-2022'!AC$3</f>
        <v>-1.6739100353362582</v>
      </c>
    </row>
    <row r="20" spans="1:16">
      <c r="A20" s="4" t="s">
        <v>6</v>
      </c>
      <c r="B20" s="5">
        <v>2022</v>
      </c>
      <c r="C20" s="14" t="s">
        <v>56</v>
      </c>
      <c r="D20" s="14" t="s">
        <v>57</v>
      </c>
      <c r="E20" s="22">
        <f>('2019-2022'!E21-'2019-2022'!R$2)/'2019-2022'!R$3</f>
        <v>-0.88549226792505698</v>
      </c>
      <c r="F20" s="22">
        <f>('2019-2022'!F21-'2019-2022'!S$2)/'2019-2022'!S$3</f>
        <v>1.0659567243197219</v>
      </c>
      <c r="G20" s="22">
        <f>('2019-2022'!G21-'2019-2022'!T$2)/'2019-2022'!T$3</f>
        <v>1.0254161083923055</v>
      </c>
      <c r="H20" s="22">
        <f>('2019-2022'!H21-'2019-2022'!U$2)/'2019-2022'!U$3</f>
        <v>-0.91151722116059453</v>
      </c>
      <c r="I20" s="22">
        <f>('2019-2022'!I21-'2019-2022'!V$2)/'2019-2022'!V$3</f>
        <v>-0.69294170799041122</v>
      </c>
      <c r="J20" s="22">
        <f>('2019-2022'!J21-'2019-2022'!W$2)/'2019-2022'!W$3</f>
        <v>0.29572243210634003</v>
      </c>
      <c r="K20" s="22">
        <f>('2019-2022'!K21-'2019-2022'!X$2)/'2019-2022'!X$3</f>
        <v>1.3257414697950245</v>
      </c>
      <c r="L20" s="22">
        <f>('2019-2022'!L21-'2019-2022'!Y$2)/'2019-2022'!Y$3</f>
        <v>-1.2617079051033002</v>
      </c>
      <c r="M20" s="22">
        <f>('2019-2022'!M21-'2019-2022'!Z$2)/'2019-2022'!Z$3</f>
        <v>-0.24695308694490326</v>
      </c>
      <c r="N20" s="22">
        <f>('2019-2022'!N21-'2019-2022'!AA$2)/'2019-2022'!AA$3</f>
        <v>0.62117154361774918</v>
      </c>
      <c r="O20" s="22">
        <f>('2019-2022'!O21-'2019-2022'!AB$2)/'2019-2022'!AB$3</f>
        <v>0.26155811869807216</v>
      </c>
      <c r="P20" s="22">
        <f>('2019-2022'!P21-'2019-2022'!AC$2)/'2019-2022'!AC$3</f>
        <v>-1.8076603345735316</v>
      </c>
    </row>
    <row r="21" spans="1:16">
      <c r="A21" s="4" t="s">
        <v>7</v>
      </c>
      <c r="B21" s="5">
        <v>2019</v>
      </c>
      <c r="C21" s="14" t="s">
        <v>55</v>
      </c>
      <c r="D21" s="14" t="s">
        <v>54</v>
      </c>
      <c r="E21" s="22">
        <f>('2019-2022'!E22-'2019-2022'!R$2)/'2019-2022'!R$3</f>
        <v>-0.41242708655351568</v>
      </c>
      <c r="F21" s="22">
        <f>('2019-2022'!F22-'2019-2022'!S$2)/'2019-2022'!S$3</f>
        <v>8.5774538715162427E-2</v>
      </c>
      <c r="G21" s="22">
        <f>('2019-2022'!G22-'2019-2022'!T$2)/'2019-2022'!T$3</f>
        <v>-4.9557637539363771E-2</v>
      </c>
      <c r="H21" s="22">
        <f>('2019-2022'!H22-'2019-2022'!U$2)/'2019-2022'!U$3</f>
        <v>-0.28762885232682273</v>
      </c>
      <c r="I21" s="22">
        <f>('2019-2022'!I22-'2019-2022'!V$2)/'2019-2022'!V$3</f>
        <v>-0.47662211711876112</v>
      </c>
      <c r="J21" s="22">
        <f>('2019-2022'!J22-'2019-2022'!W$2)/'2019-2022'!W$3</f>
        <v>-0.8613281417093076</v>
      </c>
      <c r="K21" s="22">
        <f>('2019-2022'!K22-'2019-2022'!X$2)/'2019-2022'!X$3</f>
        <v>-0.91393484037418049</v>
      </c>
      <c r="L21" s="22">
        <f>('2019-2022'!L22-'2019-2022'!Y$2)/'2019-2022'!Y$3</f>
        <v>-0.35775700389541748</v>
      </c>
      <c r="M21" s="22">
        <f>('2019-2022'!M22-'2019-2022'!Z$2)/'2019-2022'!Z$3</f>
        <v>-0.93602963406779871</v>
      </c>
      <c r="N21" s="22">
        <f>('2019-2022'!N22-'2019-2022'!AA$2)/'2019-2022'!AA$3</f>
        <v>1.0367382376660388E-2</v>
      </c>
      <c r="O21" s="22">
        <f>('2019-2022'!O22-'2019-2022'!AB$2)/'2019-2022'!AB$3</f>
        <v>0.46436583465611964</v>
      </c>
      <c r="P21" s="22">
        <f>('2019-2022'!P22-'2019-2022'!AC$2)/'2019-2022'!AC$3</f>
        <v>1.3655090103679115</v>
      </c>
    </row>
    <row r="22" spans="1:16">
      <c r="A22" s="4" t="s">
        <v>7</v>
      </c>
      <c r="B22" s="5">
        <v>2020</v>
      </c>
      <c r="C22" s="14" t="s">
        <v>55</v>
      </c>
      <c r="D22" s="14" t="s">
        <v>54</v>
      </c>
      <c r="E22" s="22">
        <f>('2019-2022'!E23-'2019-2022'!R$2)/'2019-2022'!R$3</f>
        <v>-1.006029187123304</v>
      </c>
      <c r="F22" s="22">
        <f>('2019-2022'!F23-'2019-2022'!S$2)/'2019-2022'!S$3</f>
        <v>9.9450152728153163E-2</v>
      </c>
      <c r="G22" s="22">
        <f>('2019-2022'!G23-'2019-2022'!T$2)/'2019-2022'!T$3</f>
        <v>-0.62077898244475793</v>
      </c>
      <c r="H22" s="22">
        <f>('2019-2022'!H23-'2019-2022'!U$2)/'2019-2022'!U$3</f>
        <v>-0.71154761965691649</v>
      </c>
      <c r="I22" s="22">
        <f>('2019-2022'!I23-'2019-2022'!V$2)/'2019-2022'!V$3</f>
        <v>-1.1441024000829214</v>
      </c>
      <c r="J22" s="22">
        <f>('2019-2022'!J23-'2019-2022'!W$2)/'2019-2022'!W$3</f>
        <v>-0.73939303322421102</v>
      </c>
      <c r="K22" s="22">
        <f>('2019-2022'!K23-'2019-2022'!X$2)/'2019-2022'!X$3</f>
        <v>-0.90597155553074515</v>
      </c>
      <c r="L22" s="22">
        <f>('2019-2022'!L23-'2019-2022'!Y$2)/'2019-2022'!Y$3</f>
        <v>-0.48895993705284402</v>
      </c>
      <c r="M22" s="22">
        <f>('2019-2022'!M23-'2019-2022'!Z$2)/'2019-2022'!Z$3</f>
        <v>-0.81874430089467864</v>
      </c>
      <c r="N22" s="22">
        <f>('2019-2022'!N23-'2019-2022'!AA$2)/'2019-2022'!AA$3</f>
        <v>-0.84540314250537874</v>
      </c>
      <c r="O22" s="22">
        <f>('2019-2022'!O23-'2019-2022'!AB$2)/'2019-2022'!AB$3</f>
        <v>0.5615973293575901</v>
      </c>
      <c r="P22" s="22">
        <f>('2019-2022'!P23-'2019-2022'!AC$2)/'2019-2022'!AC$3</f>
        <v>1.2255587893667139</v>
      </c>
    </row>
    <row r="23" spans="1:16">
      <c r="A23" s="4" t="s">
        <v>7</v>
      </c>
      <c r="B23" s="5">
        <v>2021</v>
      </c>
      <c r="C23" s="14" t="s">
        <v>55</v>
      </c>
      <c r="D23" s="14" t="s">
        <v>54</v>
      </c>
      <c r="E23" s="22">
        <f>('2019-2022'!E24-'2019-2022'!R$2)/'2019-2022'!R$3</f>
        <v>-0.64404905955775382</v>
      </c>
      <c r="F23" s="22">
        <f>('2019-2022'!F24-'2019-2022'!S$2)/'2019-2022'!S$3</f>
        <v>-0.15190975764664308</v>
      </c>
      <c r="G23" s="22">
        <f>('2019-2022'!G24-'2019-2022'!T$2)/'2019-2022'!T$3</f>
        <v>-0.3075061165250666</v>
      </c>
      <c r="H23" s="22">
        <f>('2019-2022'!H24-'2019-2022'!U$2)/'2019-2022'!U$3</f>
        <v>-0.51757429492867157</v>
      </c>
      <c r="I23" s="22">
        <f>('2019-2022'!I24-'2019-2022'!V$2)/'2019-2022'!V$3</f>
        <v>-0.69981569899984053</v>
      </c>
      <c r="J23" s="22">
        <f>('2019-2022'!J24-'2019-2022'!W$2)/'2019-2022'!W$3</f>
        <v>-1.4521032054508467</v>
      </c>
      <c r="K23" s="22">
        <f>('2019-2022'!K24-'2019-2022'!X$2)/'2019-2022'!X$3</f>
        <v>-1.1570783847778319</v>
      </c>
      <c r="L23" s="22">
        <f>('2019-2022'!L24-'2019-2022'!Y$2)/'2019-2022'!Y$3</f>
        <v>-0.79446096057431648</v>
      </c>
      <c r="M23" s="22">
        <f>('2019-2022'!M24-'2019-2022'!Z$2)/'2019-2022'!Z$3</f>
        <v>-1.2210796869994028E-2</v>
      </c>
      <c r="N23" s="22">
        <f>('2019-2022'!N24-'2019-2022'!AA$2)/'2019-2022'!AA$3</f>
        <v>-0.20175253385732422</v>
      </c>
      <c r="O23" s="22">
        <f>('2019-2022'!O24-'2019-2022'!AB$2)/'2019-2022'!AB$3</f>
        <v>0.6320701892866506</v>
      </c>
      <c r="P23" s="22">
        <f>('2019-2022'!P24-'2019-2022'!AC$2)/'2019-2022'!AC$3</f>
        <v>1.294492738341162</v>
      </c>
    </row>
    <row r="24" spans="1:16">
      <c r="A24" s="4" t="s">
        <v>7</v>
      </c>
      <c r="B24" s="5">
        <v>2022</v>
      </c>
      <c r="C24" s="14" t="s">
        <v>55</v>
      </c>
      <c r="D24" s="14" t="s">
        <v>54</v>
      </c>
      <c r="E24" s="22">
        <f>('2019-2022'!E25-'2019-2022'!R$2)/'2019-2022'!R$3</f>
        <v>-6.4954132812403767E-2</v>
      </c>
      <c r="F24" s="22">
        <f>('2019-2022'!F25-'2019-2022'!S$2)/'2019-2022'!S$3</f>
        <v>0.57017015899234014</v>
      </c>
      <c r="G24" s="22">
        <f>('2019-2022'!G25-'2019-2022'!T$2)/'2019-2022'!T$3</f>
        <v>-0.33118228256694332</v>
      </c>
      <c r="H24" s="22">
        <f>('2019-2022'!H25-'2019-2022'!U$2)/'2019-2022'!U$3</f>
        <v>0.346432302991799</v>
      </c>
      <c r="I24" s="22">
        <f>('2019-2022'!I25-'2019-2022'!V$2)/'2019-2022'!V$3</f>
        <v>-0.30859790016454669</v>
      </c>
      <c r="J24" s="22">
        <f>('2019-2022'!J25-'2019-2022'!W$2)/'2019-2022'!W$3</f>
        <v>-1.5169638768731124</v>
      </c>
      <c r="K24" s="22">
        <f>('2019-2022'!K25-'2019-2022'!X$2)/'2019-2022'!X$3</f>
        <v>-1.0528267227323882</v>
      </c>
      <c r="L24" s="22">
        <f>('2019-2022'!L25-'2019-2022'!Y$2)/'2019-2022'!Y$3</f>
        <v>-1.1764194820607692</v>
      </c>
      <c r="M24" s="22">
        <f>('2019-2022'!M25-'2019-2022'!Z$2)/'2019-2022'!Z$3</f>
        <v>0.20448397293989234</v>
      </c>
      <c r="N24" s="22">
        <f>('2019-2022'!N25-'2019-2022'!AA$2)/'2019-2022'!AA$3</f>
        <v>-0.65993139301904724</v>
      </c>
      <c r="O24" s="22">
        <f>('2019-2022'!O25-'2019-2022'!AB$2)/'2019-2022'!AB$3</f>
        <v>0.38698401107857516</v>
      </c>
      <c r="P24" s="22">
        <f>('2019-2022'!P25-'2019-2022'!AC$2)/'2019-2022'!AC$3</f>
        <v>1.2274697837624984</v>
      </c>
    </row>
    <row r="25" spans="1:16">
      <c r="A25" s="4" t="s">
        <v>8</v>
      </c>
      <c r="B25" s="5">
        <v>2019</v>
      </c>
      <c r="C25" s="14" t="s">
        <v>55</v>
      </c>
      <c r="D25" s="14" t="s">
        <v>54</v>
      </c>
      <c r="E25" s="22">
        <f>('2019-2022'!E26-'2019-2022'!R$2)/'2019-2022'!R$3</f>
        <v>-0.69473330423180246</v>
      </c>
      <c r="F25" s="22">
        <f>('2019-2022'!F26-'2019-2022'!S$2)/'2019-2022'!S$3</f>
        <v>1.4644663597358352</v>
      </c>
      <c r="G25" s="22">
        <f>('2019-2022'!G26-'2019-2022'!T$2)/'2019-2022'!T$3</f>
        <v>-1.6902234743084135</v>
      </c>
      <c r="H25" s="22">
        <f>('2019-2022'!H26-'2019-2022'!U$2)/'2019-2022'!U$3</f>
        <v>9.3981377993853199E-2</v>
      </c>
      <c r="I25" s="22">
        <f>('2019-2022'!I26-'2019-2022'!V$2)/'2019-2022'!V$3</f>
        <v>-1.1712025422133532</v>
      </c>
      <c r="J25" s="22">
        <f>('2019-2022'!J26-'2019-2022'!W$2)/'2019-2022'!W$3</f>
        <v>-0.46276157117991779</v>
      </c>
      <c r="K25" s="22">
        <f>('2019-2022'!K26-'2019-2022'!X$2)/'2019-2022'!X$3</f>
        <v>-0.7940759889625465</v>
      </c>
      <c r="L25" s="22">
        <f>('2019-2022'!L26-'2019-2022'!Y$2)/'2019-2022'!Y$3</f>
        <v>-1.452094534893954</v>
      </c>
      <c r="M25" s="22">
        <f>('2019-2022'!M26-'2019-2022'!Z$2)/'2019-2022'!Z$3</f>
        <v>0.12832302169817905</v>
      </c>
      <c r="N25" s="22">
        <f>('2019-2022'!N26-'2019-2022'!AA$2)/'2019-2022'!AA$3</f>
        <v>-0.11263495639769051</v>
      </c>
      <c r="O25" s="22">
        <f>('2019-2022'!O26-'2019-2022'!AB$2)/'2019-2022'!AB$3</f>
        <v>-2.2116301106950456</v>
      </c>
      <c r="P25" s="22">
        <f>('2019-2022'!P26-'2019-2022'!AC$2)/'2019-2022'!AC$3</f>
        <v>-0.32937250588713879</v>
      </c>
    </row>
    <row r="26" spans="1:16">
      <c r="A26" s="4" t="s">
        <v>8</v>
      </c>
      <c r="B26" s="5">
        <v>2020</v>
      </c>
      <c r="C26" s="14" t="s">
        <v>55</v>
      </c>
      <c r="D26" s="14" t="s">
        <v>54</v>
      </c>
      <c r="E26" s="22">
        <f>('2019-2022'!E27-'2019-2022'!R$2)/'2019-2022'!R$3</f>
        <v>-0.16868091846387828</v>
      </c>
      <c r="F26" s="22">
        <f>('2019-2022'!F27-'2019-2022'!S$2)/'2019-2022'!S$3</f>
        <v>2.5910082180688705</v>
      </c>
      <c r="G26" s="22">
        <f>('2019-2022'!G27-'2019-2022'!T$2)/'2019-2022'!T$3</f>
        <v>-0.58951272932022802</v>
      </c>
      <c r="H26" s="22">
        <f>('2019-2022'!H27-'2019-2022'!U$2)/'2019-2022'!U$3</f>
        <v>0.7326995758912519</v>
      </c>
      <c r="I26" s="22">
        <f>('2019-2022'!I27-'2019-2022'!V$2)/'2019-2022'!V$3</f>
        <v>-0.73694943091169673</v>
      </c>
      <c r="J26" s="22">
        <f>('2019-2022'!J27-'2019-2022'!W$2)/'2019-2022'!W$3</f>
        <v>-0.35280726162815057</v>
      </c>
      <c r="K26" s="22">
        <f>('2019-2022'!K27-'2019-2022'!X$2)/'2019-2022'!X$3</f>
        <v>-0.90768108986151663</v>
      </c>
      <c r="L26" s="22">
        <f>('2019-2022'!L27-'2019-2022'!Y$2)/'2019-2022'!Y$3</f>
        <v>-1.2930807716320165</v>
      </c>
      <c r="M26" s="22">
        <f>('2019-2022'!M27-'2019-2022'!Z$2)/'2019-2022'!Z$3</f>
        <v>1.9570797688419939</v>
      </c>
      <c r="N26" s="22">
        <f>('2019-2022'!N27-'2019-2022'!AA$2)/'2019-2022'!AA$3</f>
        <v>-1.2751098585373672</v>
      </c>
      <c r="O26" s="22">
        <f>('2019-2022'!O27-'2019-2022'!AB$2)/'2019-2022'!AB$3</f>
        <v>-0.42510541156896026</v>
      </c>
      <c r="P26" s="22">
        <f>('2019-2022'!P27-'2019-2022'!AC$2)/'2019-2022'!AC$3</f>
        <v>-0.29756928408337979</v>
      </c>
    </row>
    <row r="27" spans="1:16">
      <c r="A27" s="4" t="s">
        <v>8</v>
      </c>
      <c r="B27" s="5">
        <v>2021</v>
      </c>
      <c r="C27" s="14" t="s">
        <v>55</v>
      </c>
      <c r="D27" s="14" t="s">
        <v>54</v>
      </c>
      <c r="E27" s="22">
        <f>('2019-2022'!E28-'2019-2022'!R$2)/'2019-2022'!R$3</f>
        <v>-0.98766103335512323</v>
      </c>
      <c r="F27" s="22">
        <f>('2019-2022'!F28-'2019-2022'!S$2)/'2019-2022'!S$3</f>
        <v>0.89644424585179805</v>
      </c>
      <c r="G27" s="22">
        <f>('2019-2022'!G28-'2019-2022'!T$2)/'2019-2022'!T$3</f>
        <v>-0.57327075252366244</v>
      </c>
      <c r="H27" s="22">
        <f>('2019-2022'!H28-'2019-2022'!U$2)/'2019-2022'!U$3</f>
        <v>-0.62204999174678088</v>
      </c>
      <c r="I27" s="22">
        <f>('2019-2022'!I28-'2019-2022'!V$2)/'2019-2022'!V$3</f>
        <v>-1.1748806910217935</v>
      </c>
      <c r="J27" s="22">
        <f>('2019-2022'!J28-'2019-2022'!W$2)/'2019-2022'!W$3</f>
        <v>-0.36315548900885847</v>
      </c>
      <c r="K27" s="22">
        <f>('2019-2022'!K28-'2019-2022'!X$2)/'2019-2022'!X$3</f>
        <v>-1.0129707439873503</v>
      </c>
      <c r="L27" s="22">
        <f>('2019-2022'!L28-'2019-2022'!Y$2)/'2019-2022'!Y$3</f>
        <v>-1.2871461590167634</v>
      </c>
      <c r="M27" s="22">
        <f>('2019-2022'!M28-'2019-2022'!Z$2)/'2019-2022'!Z$3</f>
        <v>1.1637816319181875</v>
      </c>
      <c r="N27" s="22">
        <f>('2019-2022'!N28-'2019-2022'!AA$2)/'2019-2022'!AA$3</f>
        <v>-0.17728291007949612</v>
      </c>
      <c r="O27" s="22">
        <f>('2019-2022'!O28-'2019-2022'!AB$2)/'2019-2022'!AB$3</f>
        <v>-0.95007561943061014</v>
      </c>
      <c r="P27" s="22">
        <f>('2019-2022'!P28-'2019-2022'!AC$2)/'2019-2022'!AC$3</f>
        <v>-0.35980564233925949</v>
      </c>
    </row>
    <row r="28" spans="1:16">
      <c r="A28" s="4" t="s">
        <v>8</v>
      </c>
      <c r="B28" s="5">
        <v>2022</v>
      </c>
      <c r="C28" s="14" t="s">
        <v>55</v>
      </c>
      <c r="D28" s="14" t="s">
        <v>54</v>
      </c>
      <c r="E28" s="22">
        <f>('2019-2022'!E29-'2019-2022'!R$2)/'2019-2022'!R$3</f>
        <v>-1.1985997767949246</v>
      </c>
      <c r="F28" s="22">
        <f>('2019-2022'!F29-'2019-2022'!S$2)/'2019-2022'!S$3</f>
        <v>9.2569576327866568E-2</v>
      </c>
      <c r="G28" s="22">
        <f>('2019-2022'!G29-'2019-2022'!T$2)/'2019-2022'!T$3</f>
        <v>-0.67216404371827443</v>
      </c>
      <c r="H28" s="22">
        <f>('2019-2022'!H29-'2019-2022'!U$2)/'2019-2022'!U$3</f>
        <v>-0.95030946854485721</v>
      </c>
      <c r="I28" s="22">
        <f>('2019-2022'!I29-'2019-2022'!V$2)/'2019-2022'!V$3</f>
        <v>-1.3001607859307258</v>
      </c>
      <c r="J28" s="22">
        <f>('2019-2022'!J29-'2019-2022'!W$2)/'2019-2022'!W$3</f>
        <v>-0.31713344368138613</v>
      </c>
      <c r="K28" s="22">
        <f>('2019-2022'!K29-'2019-2022'!X$2)/'2019-2022'!X$3</f>
        <v>-1.1041201992291838</v>
      </c>
      <c r="L28" s="22">
        <f>('2019-2022'!L29-'2019-2022'!Y$2)/'2019-2022'!Y$3</f>
        <v>-1.5611571296915876</v>
      </c>
      <c r="M28" s="22">
        <f>('2019-2022'!M29-'2019-2022'!Z$2)/'2019-2022'!Z$3</f>
        <v>1.7022706320175682</v>
      </c>
      <c r="N28" s="22">
        <f>('2019-2022'!N29-'2019-2022'!AA$2)/'2019-2022'!AA$3</f>
        <v>-0.82791740233659328</v>
      </c>
      <c r="O28" s="22">
        <f>('2019-2022'!O29-'2019-2022'!AB$2)/'2019-2022'!AB$3</f>
        <v>-0.27674601159099416</v>
      </c>
      <c r="P28" s="22">
        <f>('2019-2022'!P29-'2019-2022'!AC$2)/'2019-2022'!AC$3</f>
        <v>-0.32588705552801372</v>
      </c>
    </row>
    <row r="29" spans="1:16">
      <c r="A29" s="4" t="s">
        <v>9</v>
      </c>
      <c r="B29" s="5">
        <v>2019</v>
      </c>
      <c r="C29" s="14" t="s">
        <v>51</v>
      </c>
      <c r="D29" s="14" t="s">
        <v>52</v>
      </c>
      <c r="E29" s="22">
        <f>('2019-2022'!E30-'2019-2022'!R$2)/'2019-2022'!R$3</f>
        <v>1.7343853596902308</v>
      </c>
      <c r="F29" s="22">
        <f>('2019-2022'!F30-'2019-2022'!S$2)/'2019-2022'!S$3</f>
        <v>1.2902734590279601</v>
      </c>
      <c r="G29" s="22">
        <f>('2019-2022'!G30-'2019-2022'!T$2)/'2019-2022'!T$3</f>
        <v>0.83063882064429406</v>
      </c>
      <c r="H29" s="22">
        <f>('2019-2022'!H30-'2019-2022'!U$2)/'2019-2022'!U$3</f>
        <v>1.2539697889141965</v>
      </c>
      <c r="I29" s="22">
        <f>('2019-2022'!I30-'2019-2022'!V$2)/'2019-2022'!V$3</f>
        <v>2.15767226441799</v>
      </c>
      <c r="J29" s="22">
        <f>('2019-2022'!J30-'2019-2022'!W$2)/'2019-2022'!W$3</f>
        <v>1.2960032336124769</v>
      </c>
      <c r="K29" s="22">
        <f>('2019-2022'!K30-'2019-2022'!X$2)/'2019-2022'!X$3</f>
        <v>1.5342626229447986</v>
      </c>
      <c r="L29" s="22">
        <f>('2019-2022'!L30-'2019-2022'!Y$2)/'2019-2022'!Y$3</f>
        <v>1.1282152505922678</v>
      </c>
      <c r="M29" s="22">
        <f>('2019-2022'!M30-'2019-2022'!Z$2)/'2019-2022'!Z$3</f>
        <v>-0.64095182892809843</v>
      </c>
      <c r="N29" s="22">
        <f>('2019-2022'!N30-'2019-2022'!AA$2)/'2019-2022'!AA$3</f>
        <v>0.80834251117735401</v>
      </c>
      <c r="O29" s="22">
        <f>('2019-2022'!O30-'2019-2022'!AB$2)/'2019-2022'!AB$3</f>
        <v>0.47380516743049911</v>
      </c>
      <c r="P29" s="22">
        <f>('2019-2022'!P30-'2019-2022'!AC$2)/'2019-2022'!AC$3</f>
        <v>-1.4740400642705129</v>
      </c>
    </row>
    <row r="30" spans="1:16">
      <c r="A30" s="4" t="s">
        <v>9</v>
      </c>
      <c r="B30" s="5">
        <v>2020</v>
      </c>
      <c r="C30" s="14" t="s">
        <v>51</v>
      </c>
      <c r="D30" s="14" t="s">
        <v>52</v>
      </c>
      <c r="E30" s="22">
        <f>('2019-2022'!E31-'2019-2022'!R$2)/'2019-2022'!R$3</f>
        <v>2.301513570355703</v>
      </c>
      <c r="F30" s="22">
        <f>('2019-2022'!F31-'2019-2022'!S$2)/'2019-2022'!S$3</f>
        <v>2.1209488158733487</v>
      </c>
      <c r="G30" s="22">
        <f>('2019-2022'!G31-'2019-2022'!T$2)/'2019-2022'!T$3</f>
        <v>0.14117356391975797</v>
      </c>
      <c r="H30" s="22">
        <f>('2019-2022'!H31-'2019-2022'!U$2)/'2019-2022'!U$3</f>
        <v>2.5978023760614564</v>
      </c>
      <c r="I30" s="22">
        <f>('2019-2022'!I31-'2019-2022'!V$2)/'2019-2022'!V$3</f>
        <v>1.9932785990293618</v>
      </c>
      <c r="J30" s="22">
        <f>('2019-2022'!J31-'2019-2022'!W$2)/'2019-2022'!W$3</f>
        <v>1.09113945744639</v>
      </c>
      <c r="K30" s="22">
        <f>('2019-2022'!K31-'2019-2022'!X$2)/'2019-2022'!X$3</f>
        <v>1.4316872688346716</v>
      </c>
      <c r="L30" s="22">
        <f>('2019-2022'!L31-'2019-2022'!Y$2)/'2019-2022'!Y$3</f>
        <v>1.3261677204678195</v>
      </c>
      <c r="M30" s="22">
        <f>('2019-2022'!M31-'2019-2022'!Z$2)/'2019-2022'!Z$3</f>
        <v>-0.52822339977971788</v>
      </c>
      <c r="N30" s="22">
        <f>('2019-2022'!N31-'2019-2022'!AA$2)/'2019-2022'!AA$3</f>
        <v>0.56470091204698802</v>
      </c>
      <c r="O30" s="22">
        <f>('2019-2022'!O31-'2019-2022'!AB$2)/'2019-2022'!AB$3</f>
        <v>0.28662254830894757</v>
      </c>
      <c r="P30" s="22">
        <f>('2019-2022'!P31-'2019-2022'!AC$2)/'2019-2022'!AC$3</f>
        <v>-1.4113946928409804</v>
      </c>
    </row>
    <row r="31" spans="1:16">
      <c r="A31" s="4" t="s">
        <v>9</v>
      </c>
      <c r="B31" s="5">
        <v>2021</v>
      </c>
      <c r="C31" s="14" t="s">
        <v>51</v>
      </c>
      <c r="D31" s="14" t="s">
        <v>52</v>
      </c>
      <c r="E31" s="22">
        <f>('2019-2022'!E32-'2019-2022'!R$2)/'2019-2022'!R$3</f>
        <v>2.181941862050659</v>
      </c>
      <c r="F31" s="22">
        <f>('2019-2022'!F32-'2019-2022'!S$2)/'2019-2022'!S$3</f>
        <v>1.5085915407594057</v>
      </c>
      <c r="G31" s="22">
        <f>('2019-2022'!G32-'2019-2022'!T$2)/'2019-2022'!T$3</f>
        <v>0.36185401049979793</v>
      </c>
      <c r="H31" s="22">
        <f>('2019-2022'!H32-'2019-2022'!U$2)/'2019-2022'!U$3</f>
        <v>2.0372473164488767</v>
      </c>
      <c r="I31" s="22">
        <f>('2019-2022'!I32-'2019-2022'!V$2)/'2019-2022'!V$3</f>
        <v>2.2584554705706092</v>
      </c>
      <c r="J31" s="22">
        <f>('2019-2022'!J32-'2019-2022'!W$2)/'2019-2022'!W$3</f>
        <v>1.2214051136574062</v>
      </c>
      <c r="K31" s="22">
        <f>('2019-2022'!K32-'2019-2022'!X$2)/'2019-2022'!X$3</f>
        <v>1.2020449399958306</v>
      </c>
      <c r="L31" s="22">
        <f>('2019-2022'!L32-'2019-2022'!Y$2)/'2019-2022'!Y$3</f>
        <v>1.3088986600472203</v>
      </c>
      <c r="M31" s="22">
        <f>('2019-2022'!M32-'2019-2022'!Z$2)/'2019-2022'!Z$3</f>
        <v>-0.60823353150741355</v>
      </c>
      <c r="N31" s="22">
        <f>('2019-2022'!N32-'2019-2022'!AA$2)/'2019-2022'!AA$3</f>
        <v>0.90687842808693109</v>
      </c>
      <c r="O31" s="22">
        <f>('2019-2022'!O32-'2019-2022'!AB$2)/'2019-2022'!AB$3</f>
        <v>0.39156208337665804</v>
      </c>
      <c r="P31" s="22">
        <f>('2019-2022'!P32-'2019-2022'!AC$2)/'2019-2022'!AC$3</f>
        <v>-1.423518506866662</v>
      </c>
    </row>
    <row r="32" spans="1:16">
      <c r="A32" s="4" t="s">
        <v>9</v>
      </c>
      <c r="B32" s="5">
        <v>2022</v>
      </c>
      <c r="C32" s="14" t="s">
        <v>51</v>
      </c>
      <c r="D32" s="14" t="s">
        <v>52</v>
      </c>
      <c r="E32" s="22">
        <f>('2019-2022'!E33-'2019-2022'!R$2)/'2019-2022'!R$3</f>
        <v>2.7000173205374294</v>
      </c>
      <c r="F32" s="22">
        <f>('2019-2022'!F33-'2019-2022'!S$2)/'2019-2022'!S$3</f>
        <v>1.8567063517149693</v>
      </c>
      <c r="G32" s="22">
        <f>('2019-2022'!G33-'2019-2022'!T$2)/'2019-2022'!T$3</f>
        <v>0.65533273980667994</v>
      </c>
      <c r="H32" s="22">
        <f>('2019-2022'!H33-'2019-2022'!U$2)/'2019-2022'!U$3</f>
        <v>2.6322682396902426</v>
      </c>
      <c r="I32" s="22">
        <f>('2019-2022'!I33-'2019-2022'!V$2)/'2019-2022'!V$3</f>
        <v>2.6776446013624682</v>
      </c>
      <c r="J32" s="22">
        <f>('2019-2022'!J33-'2019-2022'!W$2)/'2019-2022'!W$3</f>
        <v>1.303269360520628</v>
      </c>
      <c r="K32" s="22">
        <f>('2019-2022'!K33-'2019-2022'!X$2)/'2019-2022'!X$3</f>
        <v>1.2620573742486789</v>
      </c>
      <c r="L32" s="22">
        <f>('2019-2022'!L33-'2019-2022'!Y$2)/'2019-2022'!Y$3</f>
        <v>1.3353302920940442</v>
      </c>
      <c r="M32" s="22">
        <f>('2019-2022'!M33-'2019-2022'!Z$2)/'2019-2022'!Z$3</f>
        <v>-0.38178688048608628</v>
      </c>
      <c r="N32" s="22">
        <f>('2019-2022'!N33-'2019-2022'!AA$2)/'2019-2022'!AA$3</f>
        <v>0.86215747733410442</v>
      </c>
      <c r="O32" s="22">
        <f>('2019-2022'!O33-'2019-2022'!AB$2)/'2019-2022'!AB$3</f>
        <v>0.47339222171140932</v>
      </c>
      <c r="P32" s="22">
        <f>('2019-2022'!P33-'2019-2022'!AC$2)/'2019-2022'!AC$3</f>
        <v>-1.4176838142863926</v>
      </c>
    </row>
    <row r="33" spans="1:16">
      <c r="A33" s="4" t="s">
        <v>10</v>
      </c>
      <c r="B33" s="5">
        <v>2019</v>
      </c>
      <c r="C33" s="14" t="s">
        <v>58</v>
      </c>
      <c r="D33" s="14" t="s">
        <v>57</v>
      </c>
      <c r="E33" s="22">
        <f>('2019-2022'!E34-'2019-2022'!R$2)/'2019-2022'!R$3</f>
        <v>0.19146627641492167</v>
      </c>
      <c r="F33" s="22">
        <f>('2019-2022'!F34-'2019-2022'!S$2)/'2019-2022'!S$3</f>
        <v>1.0586679007967059</v>
      </c>
      <c r="G33" s="22">
        <f>('2019-2022'!G34-'2019-2022'!T$2)/'2019-2022'!T$3</f>
        <v>-0.11554096548128504</v>
      </c>
      <c r="H33" s="22">
        <f>('2019-2022'!H34-'2019-2022'!U$2)/'2019-2022'!U$3</f>
        <v>0.27410525466480051</v>
      </c>
      <c r="I33" s="22">
        <f>('2019-2022'!I34-'2019-2022'!V$2)/'2019-2022'!V$3</f>
        <v>0.16701472474478421</v>
      </c>
      <c r="J33" s="22">
        <f>('2019-2022'!J34-'2019-2022'!W$2)/'2019-2022'!W$3</f>
        <v>1.8230236771685318</v>
      </c>
      <c r="K33" s="22">
        <f>('2019-2022'!K34-'2019-2022'!X$2)/'2019-2022'!X$3</f>
        <v>0.48719878980036802</v>
      </c>
      <c r="L33" s="22">
        <f>('2019-2022'!L34-'2019-2022'!Y$2)/'2019-2022'!Y$3</f>
        <v>0.8584790679009574</v>
      </c>
      <c r="M33" s="22">
        <f>('2019-2022'!M34-'2019-2022'!Z$2)/'2019-2022'!Z$3</f>
        <v>1.174000031874799</v>
      </c>
      <c r="N33" s="22">
        <f>('2019-2022'!N34-'2019-2022'!AA$2)/'2019-2022'!AA$3</f>
        <v>1.6499187145321765</v>
      </c>
      <c r="O33" s="22">
        <f>('2019-2022'!O34-'2019-2022'!AB$2)/'2019-2022'!AB$3</f>
        <v>1.4558626157478562</v>
      </c>
      <c r="P33" s="22">
        <f>('2019-2022'!P34-'2019-2022'!AC$2)/'2019-2022'!AC$3</f>
        <v>-1.0320837893473904</v>
      </c>
    </row>
    <row r="34" spans="1:16">
      <c r="A34" s="4" t="s">
        <v>10</v>
      </c>
      <c r="B34" s="5">
        <v>2020</v>
      </c>
      <c r="C34" s="14" t="s">
        <v>58</v>
      </c>
      <c r="D34" s="14" t="s">
        <v>57</v>
      </c>
      <c r="E34" s="22">
        <f>('2019-2022'!E35-'2019-2022'!R$2)/'2019-2022'!R$3</f>
        <v>-1.1492778273526827</v>
      </c>
      <c r="F34" s="22">
        <f>('2019-2022'!F35-'2019-2022'!S$2)/'2019-2022'!S$3</f>
        <v>0.44108752520516686</v>
      </c>
      <c r="G34" s="22">
        <f>('2019-2022'!G35-'2019-2022'!T$2)/'2019-2022'!T$3</f>
        <v>0.26116737211672986</v>
      </c>
      <c r="H34" s="22">
        <f>('2019-2022'!H35-'2019-2022'!U$2)/'2019-2022'!U$3</f>
        <v>-1.0366364743419005</v>
      </c>
      <c r="I34" s="22">
        <f>('2019-2022'!I35-'2019-2022'!V$2)/'2019-2022'!V$3</f>
        <v>-1.1335550647655881</v>
      </c>
      <c r="J34" s="22">
        <f>('2019-2022'!J35-'2019-2022'!W$2)/'2019-2022'!W$3</f>
        <v>1.5845536787720675</v>
      </c>
      <c r="K34" s="22">
        <f>('2019-2022'!K35-'2019-2022'!X$2)/'2019-2022'!X$3</f>
        <v>-0.29479899404785309</v>
      </c>
      <c r="L34" s="22">
        <f>('2019-2022'!L35-'2019-2022'!Y$2)/'2019-2022'!Y$3</f>
        <v>0.68690411051676392</v>
      </c>
      <c r="M34" s="22">
        <f>('2019-2022'!M35-'2019-2022'!Z$2)/'2019-2022'!Z$3</f>
        <v>0.36543082011582539</v>
      </c>
      <c r="N34" s="22">
        <f>('2019-2022'!N35-'2019-2022'!AA$2)/'2019-2022'!AA$3</f>
        <v>1.6131689322407898</v>
      </c>
      <c r="O34" s="22">
        <f>('2019-2022'!O35-'2019-2022'!AB$2)/'2019-2022'!AB$3</f>
        <v>0.92267214822636168</v>
      </c>
      <c r="P34" s="22">
        <f>('2019-2022'!P35-'2019-2022'!AC$2)/'2019-2022'!AC$3</f>
        <v>-1.1007959628942359</v>
      </c>
    </row>
    <row r="35" spans="1:16">
      <c r="A35" s="4" t="s">
        <v>10</v>
      </c>
      <c r="B35" s="5">
        <v>2021</v>
      </c>
      <c r="C35" s="14" t="s">
        <v>58</v>
      </c>
      <c r="D35" s="14" t="s">
        <v>57</v>
      </c>
      <c r="E35" s="22">
        <f>('2019-2022'!E36-'2019-2022'!R$2)/'2019-2022'!R$3</f>
        <v>-1.9557253181538007E-2</v>
      </c>
      <c r="F35" s="22">
        <f>('2019-2022'!F36-'2019-2022'!S$2)/'2019-2022'!S$3</f>
        <v>0.76559605340877057</v>
      </c>
      <c r="G35" s="22">
        <f>('2019-2022'!G36-'2019-2022'!T$2)/'2019-2022'!T$3</f>
        <v>-0.30299171936085117</v>
      </c>
      <c r="H35" s="22">
        <f>('2019-2022'!H36-'2019-2022'!U$2)/'2019-2022'!U$3</f>
        <v>4.4416975270200262E-2</v>
      </c>
      <c r="I35" s="22">
        <f>('2019-2022'!I36-'2019-2022'!V$2)/'2019-2022'!V$3</f>
        <v>-1.8264845764786639E-2</v>
      </c>
      <c r="J35" s="22">
        <f>('2019-2022'!J36-'2019-2022'!W$2)/'2019-2022'!W$3</f>
        <v>1.880314827207398</v>
      </c>
      <c r="K35" s="22">
        <f>('2019-2022'!K36-'2019-2022'!X$2)/'2019-2022'!X$3</f>
        <v>5.0654912386596451E-3</v>
      </c>
      <c r="L35" s="22">
        <f>('2019-2022'!L36-'2019-2022'!Y$2)/'2019-2022'!Y$3</f>
        <v>0.77069698166012013</v>
      </c>
      <c r="M35" s="22">
        <f>('2019-2022'!M36-'2019-2022'!Z$2)/'2019-2022'!Z$3</f>
        <v>0.29732537523367297</v>
      </c>
      <c r="N35" s="22">
        <f>('2019-2022'!N36-'2019-2022'!AA$2)/'2019-2022'!AA$3</f>
        <v>1.6642202795663386</v>
      </c>
      <c r="O35" s="22">
        <f>('2019-2022'!O36-'2019-2022'!AB$2)/'2019-2022'!AB$3</f>
        <v>1.0040277943312144</v>
      </c>
      <c r="P35" s="22">
        <f>('2019-2022'!P36-'2019-2022'!AC$2)/'2019-2022'!AC$3</f>
        <v>-1.1297063139302197</v>
      </c>
    </row>
    <row r="36" spans="1:16">
      <c r="A36" s="4" t="s">
        <v>10</v>
      </c>
      <c r="B36" s="5">
        <v>2022</v>
      </c>
      <c r="C36" s="14" t="s">
        <v>58</v>
      </c>
      <c r="D36" s="14" t="s">
        <v>57</v>
      </c>
      <c r="E36" s="22">
        <f>('2019-2022'!E37-'2019-2022'!R$2)/'2019-2022'!R$3</f>
        <v>-0.58991663134943262</v>
      </c>
      <c r="F36" s="22">
        <f>('2019-2022'!F37-'2019-2022'!S$2)/'2019-2022'!S$3</f>
        <v>0.75061360877644556</v>
      </c>
      <c r="G36" s="22">
        <f>('2019-2022'!G37-'2019-2022'!T$2)/'2019-2022'!T$3</f>
        <v>-1.1758414753380486</v>
      </c>
      <c r="H36" s="22">
        <f>('2019-2022'!H37-'2019-2022'!U$2)/'2019-2022'!U$3</f>
        <v>-0.27350641313932406</v>
      </c>
      <c r="I36" s="22">
        <f>('2019-2022'!I37-'2019-2022'!V$2)/'2019-2022'!V$3</f>
        <v>-0.77224151335934443</v>
      </c>
      <c r="J36" s="22">
        <f>('2019-2022'!J37-'2019-2022'!W$2)/'2019-2022'!W$3</f>
        <v>1.3406639287778099</v>
      </c>
      <c r="K36" s="22">
        <f>('2019-2022'!K37-'2019-2022'!X$2)/'2019-2022'!X$3</f>
        <v>-0.30648571400191554</v>
      </c>
      <c r="L36" s="22">
        <f>('2019-2022'!L37-'2019-2022'!Y$2)/'2019-2022'!Y$3</f>
        <v>-0.28750666273881509</v>
      </c>
      <c r="M36" s="22">
        <f>('2019-2022'!M37-'2019-2022'!Z$2)/'2019-2022'!Z$3</f>
        <v>0.63164697790887114</v>
      </c>
      <c r="N36" s="22">
        <f>('2019-2022'!N37-'2019-2022'!AA$2)/'2019-2022'!AA$3</f>
        <v>1.2426292339074276</v>
      </c>
      <c r="O36" s="22">
        <f>('2019-2022'!O37-'2019-2022'!AB$2)/'2019-2022'!AB$3</f>
        <v>1.303428603173582</v>
      </c>
      <c r="P36" s="22">
        <f>('2019-2022'!P37-'2019-2022'!AC$2)/'2019-2022'!AC$3</f>
        <v>-1.0178573919758982</v>
      </c>
    </row>
    <row r="37" spans="1:16">
      <c r="A37" s="4" t="s">
        <v>11</v>
      </c>
      <c r="B37" s="5">
        <v>2019</v>
      </c>
      <c r="C37" s="14" t="s">
        <v>56</v>
      </c>
      <c r="D37" s="14" t="s">
        <v>52</v>
      </c>
      <c r="E37" s="22">
        <f>('2019-2022'!E38-'2019-2022'!R$2)/'2019-2022'!R$3</f>
        <v>-0.11580757722653523</v>
      </c>
      <c r="F37" s="22">
        <f>('2019-2022'!F38-'2019-2022'!S$2)/'2019-2022'!S$3</f>
        <v>-0.22895307793896857</v>
      </c>
      <c r="G37" s="22">
        <f>('2019-2022'!G38-'2019-2022'!T$2)/'2019-2022'!T$3</f>
        <v>1.6691650264155291</v>
      </c>
      <c r="H37" s="22">
        <f>('2019-2022'!H38-'2019-2022'!U$2)/'2019-2022'!U$3</f>
        <v>-0.35981551140869972</v>
      </c>
      <c r="I37" s="22">
        <f>('2019-2022'!I38-'2019-2022'!V$2)/'2019-2022'!V$3</f>
        <v>-2.4592619084765E-2</v>
      </c>
      <c r="J37" s="22">
        <f>('2019-2022'!J38-'2019-2022'!W$2)/'2019-2022'!W$3</f>
        <v>0.71338416411947747</v>
      </c>
      <c r="K37" s="22">
        <f>('2019-2022'!K38-'2019-2022'!X$2)/'2019-2022'!X$3</f>
        <v>0.95217218281897709</v>
      </c>
      <c r="L37" s="22">
        <f>('2019-2022'!L38-'2019-2022'!Y$2)/'2019-2022'!Y$3</f>
        <v>0.23094396565142192</v>
      </c>
      <c r="M37" s="22">
        <f>('2019-2022'!M38-'2019-2022'!Z$2)/'2019-2022'!Z$3</f>
        <v>-0.9350949981764326</v>
      </c>
      <c r="N37" s="22">
        <f>('2019-2022'!N38-'2019-2022'!AA$2)/'2019-2022'!AA$3</f>
        <v>-0.22784775850515349</v>
      </c>
      <c r="O37" s="22">
        <f>('2019-2022'!O38-'2019-2022'!AB$2)/'2019-2022'!AB$3</f>
        <v>0.96687531423192874</v>
      </c>
      <c r="P37" s="22">
        <f>('2019-2022'!P38-'2019-2022'!AC$2)/'2019-2022'!AC$3</f>
        <v>-2.7486897792487825</v>
      </c>
    </row>
    <row r="38" spans="1:16">
      <c r="A38" s="4" t="s">
        <v>11</v>
      </c>
      <c r="B38" s="5">
        <v>2020</v>
      </c>
      <c r="C38" s="14" t="s">
        <v>56</v>
      </c>
      <c r="D38" s="14" t="s">
        <v>52</v>
      </c>
      <c r="E38" s="22">
        <f>('2019-2022'!E39-'2019-2022'!R$2)/'2019-2022'!R$3</f>
        <v>-0.44291782455393963</v>
      </c>
      <c r="F38" s="22">
        <f>('2019-2022'!F39-'2019-2022'!S$2)/'2019-2022'!S$3</f>
        <v>0.39871941045199261</v>
      </c>
      <c r="G38" s="22">
        <f>('2019-2022'!G39-'2019-2022'!T$2)/'2019-2022'!T$3</f>
        <v>1.8021929882685053</v>
      </c>
      <c r="H38" s="22">
        <f>('2019-2022'!H39-'2019-2022'!U$2)/'2019-2022'!U$3</f>
        <v>-0.38243054549633443</v>
      </c>
      <c r="I38" s="22">
        <f>('2019-2022'!I39-'2019-2022'!V$2)/'2019-2022'!V$3</f>
        <v>-0.4880367687041326</v>
      </c>
      <c r="J38" s="22">
        <f>('2019-2022'!J39-'2019-2022'!W$2)/'2019-2022'!W$3</f>
        <v>0.43946132016978778</v>
      </c>
      <c r="K38" s="22">
        <f>('2019-2022'!K39-'2019-2022'!X$2)/'2019-2022'!X$3</f>
        <v>-0.16262095766420681</v>
      </c>
      <c r="L38" s="22">
        <f>('2019-2022'!L39-'2019-2022'!Y$2)/'2019-2022'!Y$3</f>
        <v>-1.2051443814419196</v>
      </c>
      <c r="M38" s="22">
        <f>('2019-2022'!M39-'2019-2022'!Z$2)/'2019-2022'!Z$3</f>
        <v>-0.65340218171865228</v>
      </c>
      <c r="N38" s="22">
        <f>('2019-2022'!N39-'2019-2022'!AA$2)/'2019-2022'!AA$3</f>
        <v>-2.0470869827723162</v>
      </c>
      <c r="O38" s="22">
        <f>('2019-2022'!O39-'2019-2022'!AB$2)/'2019-2022'!AB$3</f>
        <v>1.627344252233315</v>
      </c>
      <c r="P38" s="22">
        <f>('2019-2022'!P39-'2019-2022'!AC$2)/'2019-2022'!AC$3</f>
        <v>-2.7927416402422574</v>
      </c>
    </row>
    <row r="39" spans="1:16">
      <c r="A39" s="4" t="s">
        <v>11</v>
      </c>
      <c r="B39" s="5">
        <v>2021</v>
      </c>
      <c r="C39" s="14" t="s">
        <v>56</v>
      </c>
      <c r="D39" s="14" t="s">
        <v>52</v>
      </c>
      <c r="E39" s="22">
        <f>('2019-2022'!E40-'2019-2022'!R$2)/'2019-2022'!R$3</f>
        <v>-0.67681006841351354</v>
      </c>
      <c r="F39" s="22">
        <f>('2019-2022'!F40-'2019-2022'!S$2)/'2019-2022'!S$3</f>
        <v>0.20073347376132686</v>
      </c>
      <c r="G39" s="22">
        <f>('2019-2022'!G40-'2019-2022'!T$2)/'2019-2022'!T$3</f>
        <v>5.8190117309673169E-2</v>
      </c>
      <c r="H39" s="22">
        <f>('2019-2022'!H40-'2019-2022'!U$2)/'2019-2022'!U$3</f>
        <v>-0.36632746229779062</v>
      </c>
      <c r="I39" s="22">
        <f>('2019-2022'!I40-'2019-2022'!V$2)/'2019-2022'!V$3</f>
        <v>-0.83389959014963788</v>
      </c>
      <c r="J39" s="22">
        <f>('2019-2022'!J40-'2019-2022'!W$2)/'2019-2022'!W$3</f>
        <v>0.54673316794257165</v>
      </c>
      <c r="K39" s="22">
        <f>('2019-2022'!K40-'2019-2022'!X$2)/'2019-2022'!X$3</f>
        <v>2.6365296508433507E-2</v>
      </c>
      <c r="L39" s="22">
        <f>('2019-2022'!L40-'2019-2022'!Y$2)/'2019-2022'!Y$3</f>
        <v>-0.66043007856874569</v>
      </c>
      <c r="M39" s="22">
        <f>('2019-2022'!M40-'2019-2022'!Z$2)/'2019-2022'!Z$3</f>
        <v>-0.64584615460342221</v>
      </c>
      <c r="N39" s="22">
        <f>('2019-2022'!N40-'2019-2022'!AA$2)/'2019-2022'!AA$3</f>
        <v>-1.806298587920415</v>
      </c>
      <c r="O39" s="22">
        <f>('2019-2022'!O40-'2019-2022'!AB$2)/'2019-2022'!AB$3</f>
        <v>1.1496973091242042</v>
      </c>
      <c r="P39" s="22">
        <f>('2019-2022'!P40-'2019-2022'!AC$2)/'2019-2022'!AC$3</f>
        <v>-2.7936413876392199</v>
      </c>
    </row>
    <row r="40" spans="1:16">
      <c r="A40" s="4" t="s">
        <v>11</v>
      </c>
      <c r="B40" s="5">
        <v>2022</v>
      </c>
      <c r="C40" s="14" t="s">
        <v>56</v>
      </c>
      <c r="D40" s="14" t="s">
        <v>52</v>
      </c>
      <c r="E40" s="22">
        <f>('2019-2022'!E41-'2019-2022'!R$2)/'2019-2022'!R$3</f>
        <v>0.71982756293872219</v>
      </c>
      <c r="F40" s="22">
        <f>('2019-2022'!F41-'2019-2022'!S$2)/'2019-2022'!S$3</f>
        <v>-0.64330189845010954</v>
      </c>
      <c r="G40" s="22">
        <f>('2019-2022'!G41-'2019-2022'!T$2)/'2019-2022'!T$3</f>
        <v>1.7599686063453224</v>
      </c>
      <c r="H40" s="22">
        <f>('2019-2022'!H41-'2019-2022'!U$2)/'2019-2022'!U$3</f>
        <v>-8.7123215461684569E-2</v>
      </c>
      <c r="I40" s="22">
        <f>('2019-2022'!I41-'2019-2022'!V$2)/'2019-2022'!V$3</f>
        <v>1.0486165809772834</v>
      </c>
      <c r="J40" s="22">
        <f>('2019-2022'!J41-'2019-2022'!W$2)/'2019-2022'!W$3</f>
        <v>-0.28615952801771988</v>
      </c>
      <c r="K40" s="22">
        <f>('2019-2022'!K41-'2019-2022'!X$2)/'2019-2022'!X$3</f>
        <v>0.37753399396942422</v>
      </c>
      <c r="L40" s="22">
        <f>('2019-2022'!L41-'2019-2022'!Y$2)/'2019-2022'!Y$3</f>
        <v>0.83795631580126861</v>
      </c>
      <c r="M40" s="22">
        <f>('2019-2022'!M41-'2019-2022'!Z$2)/'2019-2022'!Z$3</f>
        <v>-0.47209199801314516</v>
      </c>
      <c r="N40" s="22">
        <f>('2019-2022'!N41-'2019-2022'!AA$2)/'2019-2022'!AA$3</f>
        <v>-3.6737957419046202E-2</v>
      </c>
      <c r="O40" s="22">
        <f>('2019-2022'!O41-'2019-2022'!AB$2)/'2019-2022'!AB$3</f>
        <v>1.1951177070674535</v>
      </c>
      <c r="P40" s="22">
        <f>('2019-2022'!P41-'2019-2022'!AC$2)/'2019-2022'!AC$3</f>
        <v>-2.7990873273393446</v>
      </c>
    </row>
    <row r="41" spans="1:16">
      <c r="A41" s="4" t="s">
        <v>12</v>
      </c>
      <c r="B41" s="5">
        <v>2019</v>
      </c>
      <c r="C41" s="14" t="s">
        <v>56</v>
      </c>
      <c r="D41" s="14" t="s">
        <v>54</v>
      </c>
      <c r="E41" s="22">
        <f>('2019-2022'!E42-'2019-2022'!R$2)/'2019-2022'!R$3</f>
        <v>-0.13915184618334539</v>
      </c>
      <c r="F41" s="22">
        <f>('2019-2022'!F42-'2019-2022'!S$2)/'2019-2022'!S$3</f>
        <v>-0.33271140049641978</v>
      </c>
      <c r="G41" s="22">
        <f>('2019-2022'!G42-'2019-2022'!T$2)/'2019-2022'!T$3</f>
        <v>-8.5526420466172412E-2</v>
      </c>
      <c r="H41" s="22">
        <f>('2019-2022'!H42-'2019-2022'!U$2)/'2019-2022'!U$3</f>
        <v>-0.39577975248521391</v>
      </c>
      <c r="I41" s="22">
        <f>('2019-2022'!I42-'2019-2022'!V$2)/'2019-2022'!V$3</f>
        <v>8.0656948051690935E-2</v>
      </c>
      <c r="J41" s="22">
        <f>('2019-2022'!J42-'2019-2022'!W$2)/'2019-2022'!W$3</f>
        <v>-1.0285743146108783</v>
      </c>
      <c r="K41" s="22">
        <f>('2019-2022'!K42-'2019-2022'!X$2)/'2019-2022'!X$3</f>
        <v>0.20274278174140276</v>
      </c>
      <c r="L41" s="22">
        <f>('2019-2022'!L42-'2019-2022'!Y$2)/'2019-2022'!Y$3</f>
        <v>1.4093545127255511</v>
      </c>
      <c r="M41" s="22">
        <f>('2019-2022'!M42-'2019-2022'!Z$2)/'2019-2022'!Z$3</f>
        <v>0.89832803121031934</v>
      </c>
      <c r="N41" s="22">
        <f>('2019-2022'!N42-'2019-2022'!AA$2)/'2019-2022'!AA$3</f>
        <v>-0.31702003644075216</v>
      </c>
      <c r="O41" s="22">
        <f>('2019-2022'!O42-'2019-2022'!AB$2)/'2019-2022'!AB$3</f>
        <v>0.75873281375687784</v>
      </c>
      <c r="P41" s="22">
        <f>('2019-2022'!P42-'2019-2022'!AC$2)/'2019-2022'!AC$3</f>
        <v>0.78967557141661837</v>
      </c>
    </row>
    <row r="42" spans="1:16">
      <c r="A42" s="4" t="s">
        <v>12</v>
      </c>
      <c r="B42" s="5">
        <v>2020</v>
      </c>
      <c r="C42" s="14" t="s">
        <v>56</v>
      </c>
      <c r="D42" s="14" t="s">
        <v>54</v>
      </c>
      <c r="E42" s="22">
        <f>('2019-2022'!E43-'2019-2022'!R$2)/'2019-2022'!R$3</f>
        <v>-0.77380994952486948</v>
      </c>
      <c r="F42" s="22">
        <f>('2019-2022'!F43-'2019-2022'!S$2)/'2019-2022'!S$3</f>
        <v>-0.51628403262436595</v>
      </c>
      <c r="G42" s="22">
        <f>('2019-2022'!G43-'2019-2022'!T$2)/'2019-2022'!T$3</f>
        <v>-0.36055716438096941</v>
      </c>
      <c r="H42" s="22">
        <f>('2019-2022'!H43-'2019-2022'!U$2)/'2019-2022'!U$3</f>
        <v>-0.76256391275908664</v>
      </c>
      <c r="I42" s="22">
        <f>('2019-2022'!I43-'2019-2022'!V$2)/'2019-2022'!V$3</f>
        <v>-0.74953599761869205</v>
      </c>
      <c r="J42" s="22">
        <f>('2019-2022'!J43-'2019-2022'!W$2)/'2019-2022'!W$3</f>
        <v>-1.4154309498820916</v>
      </c>
      <c r="K42" s="22">
        <f>('2019-2022'!K43-'2019-2022'!X$2)/'2019-2022'!X$3</f>
        <v>-0.26662642720475288</v>
      </c>
      <c r="L42" s="22">
        <f>('2019-2022'!L43-'2019-2022'!Y$2)/'2019-2022'!Y$3</f>
        <v>1.1081080427807712</v>
      </c>
      <c r="M42" s="22">
        <f>('2019-2022'!M43-'2019-2022'!Z$2)/'2019-2022'!Z$3</f>
        <v>1.192629716239358</v>
      </c>
      <c r="N42" s="22">
        <f>('2019-2022'!N43-'2019-2022'!AA$2)/'2019-2022'!AA$3</f>
        <v>-1.427113148050692</v>
      </c>
      <c r="O42" s="22">
        <f>('2019-2022'!O43-'2019-2022'!AB$2)/'2019-2022'!AB$3</f>
        <v>0.72163639622894338</v>
      </c>
      <c r="P42" s="22">
        <f>('2019-2022'!P43-'2019-2022'!AC$2)/'2019-2022'!AC$3</f>
        <v>0.66781684069285963</v>
      </c>
    </row>
    <row r="43" spans="1:16">
      <c r="A43" s="4" t="s">
        <v>12</v>
      </c>
      <c r="B43" s="5">
        <v>2021</v>
      </c>
      <c r="C43" s="14" t="s">
        <v>56</v>
      </c>
      <c r="D43" s="14" t="s">
        <v>54</v>
      </c>
      <c r="E43" s="22">
        <f>('2019-2022'!E44-'2019-2022'!R$2)/'2019-2022'!R$3</f>
        <v>-0.65334339437780709</v>
      </c>
      <c r="F43" s="22">
        <f>('2019-2022'!F44-'2019-2022'!S$2)/'2019-2022'!S$3</f>
        <v>-0.96290451112037512</v>
      </c>
      <c r="G43" s="22">
        <f>('2019-2022'!G44-'2019-2022'!T$2)/'2019-2022'!T$3</f>
        <v>-0.12135741553401518</v>
      </c>
      <c r="H43" s="22">
        <f>('2019-2022'!H44-'2019-2022'!U$2)/'2019-2022'!U$3</f>
        <v>-0.95895777696862095</v>
      </c>
      <c r="I43" s="22">
        <f>('2019-2022'!I44-'2019-2022'!V$2)/'2019-2022'!V$3</f>
        <v>-0.36729400617391733</v>
      </c>
      <c r="J43" s="22">
        <f>('2019-2022'!J44-'2019-2022'!W$2)/'2019-2022'!W$3</f>
        <v>-1.4244087179978706</v>
      </c>
      <c r="K43" s="22">
        <f>('2019-2022'!K44-'2019-2022'!X$2)/'2019-2022'!X$3</f>
        <v>-0.45529065469092544</v>
      </c>
      <c r="L43" s="22">
        <f>('2019-2022'!L44-'2019-2022'!Y$2)/'2019-2022'!Y$3</f>
        <v>0.79457639040270656</v>
      </c>
      <c r="M43" s="22">
        <f>('2019-2022'!M44-'2019-2022'!Z$2)/'2019-2022'!Z$3</f>
        <v>0.93086060513264313</v>
      </c>
      <c r="N43" s="22">
        <f>('2019-2022'!N44-'2019-2022'!AA$2)/'2019-2022'!AA$3</f>
        <v>-0.32555599618762443</v>
      </c>
      <c r="O43" s="22">
        <f>('2019-2022'!O44-'2019-2022'!AB$2)/'2019-2022'!AB$3</f>
        <v>0.63199070016555181</v>
      </c>
      <c r="P43" s="22">
        <f>('2019-2022'!P44-'2019-2022'!AC$2)/'2019-2022'!AC$3</f>
        <v>0.69950924277037951</v>
      </c>
    </row>
    <row r="44" spans="1:16">
      <c r="A44" s="4" t="s">
        <v>12</v>
      </c>
      <c r="B44" s="5">
        <v>2022</v>
      </c>
      <c r="C44" s="14" t="s">
        <v>56</v>
      </c>
      <c r="D44" s="14" t="s">
        <v>54</v>
      </c>
      <c r="E44" s="22">
        <f>('2019-2022'!E45-'2019-2022'!R$2)/'2019-2022'!R$3</f>
        <v>-0.77238360829058472</v>
      </c>
      <c r="F44" s="22">
        <f>('2019-2022'!F45-'2019-2022'!S$2)/'2019-2022'!S$3</f>
        <v>-0.67552953944518301</v>
      </c>
      <c r="G44" s="22">
        <f>('2019-2022'!G45-'2019-2022'!T$2)/'2019-2022'!T$3</f>
        <v>-0.39830226409730535</v>
      </c>
      <c r="H44" s="22">
        <f>('2019-2022'!H45-'2019-2022'!U$2)/'2019-2022'!U$3</f>
        <v>-0.89166289869315218</v>
      </c>
      <c r="I44" s="22">
        <f>('2019-2022'!I45-'2019-2022'!V$2)/'2019-2022'!V$3</f>
        <v>-0.61891322234616952</v>
      </c>
      <c r="J44" s="22">
        <f>('2019-2022'!J45-'2019-2022'!W$2)/'2019-2022'!W$3</f>
        <v>-1.5694750688896639</v>
      </c>
      <c r="K44" s="22">
        <f>('2019-2022'!K45-'2019-2022'!X$2)/'2019-2022'!X$3</f>
        <v>-0.68429957269054187</v>
      </c>
      <c r="L44" s="22">
        <f>('2019-2022'!L45-'2019-2022'!Y$2)/'2019-2022'!Y$3</f>
        <v>0.50827028232775706</v>
      </c>
      <c r="M44" s="22">
        <f>('2019-2022'!M45-'2019-2022'!Z$2)/'2019-2022'!Z$3</f>
        <v>1.2352575115219508</v>
      </c>
      <c r="N44" s="22">
        <f>('2019-2022'!N45-'2019-2022'!AA$2)/'2019-2022'!AA$3</f>
        <v>-0.27720572779939967</v>
      </c>
      <c r="O44" s="22">
        <f>('2019-2022'!O45-'2019-2022'!AB$2)/'2019-2022'!AB$3</f>
        <v>0.51990565483244833</v>
      </c>
      <c r="P44" s="22">
        <f>('2019-2022'!P45-'2019-2022'!AC$2)/'2019-2022'!AC$3</f>
        <v>0.6274599677249324</v>
      </c>
    </row>
    <row r="45" spans="1:16">
      <c r="A45" s="4" t="s">
        <v>13</v>
      </c>
      <c r="B45" s="5">
        <v>2019</v>
      </c>
      <c r="C45" s="14" t="s">
        <v>59</v>
      </c>
      <c r="D45" s="14" t="s">
        <v>54</v>
      </c>
      <c r="E45" s="22">
        <f>('2019-2022'!E46-'2019-2022'!R$2)/'2019-2022'!R$3</f>
        <v>-1.0986765637439222</v>
      </c>
      <c r="F45" s="22">
        <f>('2019-2022'!F46-'2019-2022'!S$2)/'2019-2022'!S$3</f>
        <v>-0.92732771903082067</v>
      </c>
      <c r="G45" s="22">
        <f>('2019-2022'!G46-'2019-2022'!T$2)/'2019-2022'!T$3</f>
        <v>-1.069593820893586</v>
      </c>
      <c r="H45" s="22">
        <f>('2019-2022'!H46-'2019-2022'!U$2)/'2019-2022'!U$3</f>
        <v>-1.0508137498023973</v>
      </c>
      <c r="I45" s="22">
        <f>('2019-2022'!I46-'2019-2022'!V$2)/'2019-2022'!V$3</f>
        <v>-1.071422403248907</v>
      </c>
      <c r="J45" s="22">
        <f>('2019-2022'!J46-'2019-2022'!W$2)/'2019-2022'!W$3</f>
        <v>-3.0312945687463495</v>
      </c>
      <c r="K45" s="22">
        <f>('2019-2022'!K46-'2019-2022'!X$2)/'2019-2022'!X$3</f>
        <v>-1.2430869688112742</v>
      </c>
      <c r="L45" s="22">
        <f>('2019-2022'!L46-'2019-2022'!Y$2)/'2019-2022'!Y$3</f>
        <v>-2.3318001802537003</v>
      </c>
      <c r="M45" s="22">
        <f>('2019-2022'!M46-'2019-2022'!Z$2)/'2019-2022'!Z$3</f>
        <v>-0.71155278456356885</v>
      </c>
      <c r="N45" s="22">
        <f>('2019-2022'!N46-'2019-2022'!AA$2)/'2019-2022'!AA$3</f>
        <v>-2.1933626595709392</v>
      </c>
      <c r="O45" s="22">
        <f>('2019-2022'!O46-'2019-2022'!AB$2)/'2019-2022'!AB$3</f>
        <v>-1.0747723195655332</v>
      </c>
      <c r="P45" s="22">
        <f>('2019-2022'!P46-'2019-2022'!AC$2)/'2019-2022'!AC$3</f>
        <v>0.98956090767140037</v>
      </c>
    </row>
    <row r="46" spans="1:16">
      <c r="A46" s="4" t="s">
        <v>13</v>
      </c>
      <c r="B46" s="5">
        <v>2021</v>
      </c>
      <c r="C46" s="14" t="s">
        <v>59</v>
      </c>
      <c r="D46" s="14" t="s">
        <v>54</v>
      </c>
      <c r="E46" s="22">
        <f>('2019-2022'!E48-'2019-2022'!R$2)/'2019-2022'!R$3</f>
        <v>-1.0774655953175787</v>
      </c>
      <c r="F46" s="22">
        <f>('2019-2022'!F48-'2019-2022'!S$2)/'2019-2022'!S$3</f>
        <v>-1.0306645319304901</v>
      </c>
      <c r="G46" s="22">
        <f>('2019-2022'!G48-'2019-2022'!T$2)/'2019-2022'!T$3</f>
        <v>-1.517113231053058</v>
      </c>
      <c r="H46" s="22">
        <f>('2019-2022'!H48-'2019-2022'!U$2)/'2019-2022'!U$3</f>
        <v>-1.0085132870837454</v>
      </c>
      <c r="I46" s="22">
        <f>('2019-2022'!I48-'2019-2022'!V$2)/'2019-2022'!V$3</f>
        <v>-1.0631420795842323</v>
      </c>
      <c r="J46" s="22">
        <f>('2019-2022'!J48-'2019-2022'!W$2)/'2019-2022'!W$3</f>
        <v>-3.1490583851067138</v>
      </c>
      <c r="K46" s="22">
        <f>('2019-2022'!K48-'2019-2022'!X$2)/'2019-2022'!X$3</f>
        <v>-1.2702993394116433</v>
      </c>
      <c r="L46" s="22">
        <f>('2019-2022'!L48-'2019-2022'!Y$2)/'2019-2022'!Y$3</f>
        <v>-2.1304295344041857</v>
      </c>
      <c r="M46" s="22">
        <f>('2019-2022'!M48-'2019-2022'!Z$2)/'2019-2022'!Z$3</f>
        <v>-0.69012187721492646</v>
      </c>
      <c r="N46" s="22">
        <f>('2019-2022'!N48-'2019-2022'!AA$2)/'2019-2022'!AA$3</f>
        <v>-2.1304479717831146</v>
      </c>
      <c r="O46" s="22">
        <f>('2019-2022'!O48-'2019-2022'!AB$2)/'2019-2022'!AB$3</f>
        <v>-1.0991371045550355</v>
      </c>
      <c r="P46" s="22">
        <f>('2019-2022'!P48-'2019-2022'!AC$2)/'2019-2022'!AC$3</f>
        <v>0.99897500942163109</v>
      </c>
    </row>
    <row r="47" spans="1:16">
      <c r="A47" s="4" t="s">
        <v>13</v>
      </c>
      <c r="B47" s="5">
        <v>2022</v>
      </c>
      <c r="C47" s="14" t="s">
        <v>59</v>
      </c>
      <c r="D47" s="14" t="s">
        <v>54</v>
      </c>
      <c r="E47" s="22">
        <f>('2019-2022'!E49-'2019-2022'!R$2)/'2019-2022'!R$3</f>
        <v>-1.0754171233800629</v>
      </c>
      <c r="F47" s="22">
        <f>('2019-2022'!F49-'2019-2022'!S$2)/'2019-2022'!S$3</f>
        <v>-0.53496246965221861</v>
      </c>
      <c r="G47" s="22">
        <f>('2019-2022'!G49-'2019-2022'!T$2)/'2019-2022'!T$3</f>
        <v>-1.9944973342860204</v>
      </c>
      <c r="H47" s="22">
        <f>('2019-2022'!H49-'2019-2022'!U$2)/'2019-2022'!U$3</f>
        <v>-0.7619912864402637</v>
      </c>
      <c r="I47" s="22">
        <f>('2019-2022'!I49-'2019-2022'!V$2)/'2019-2022'!V$3</f>
        <v>-1.2251913721300824</v>
      </c>
      <c r="J47" s="22">
        <f>('2019-2022'!J49-'2019-2022'!W$2)/'2019-2022'!W$3</f>
        <v>-2.9691707032826287</v>
      </c>
      <c r="K47" s="22">
        <f>('2019-2022'!K49-'2019-2022'!X$2)/'2019-2022'!X$3</f>
        <v>-1.1184764337248227</v>
      </c>
      <c r="L47" s="22">
        <f>('2019-2022'!L49-'2019-2022'!Y$2)/'2019-2022'!Y$3</f>
        <v>-2.1047676691936705</v>
      </c>
      <c r="M47" s="22">
        <f>('2019-2022'!M49-'2019-2022'!Z$2)/'2019-2022'!Z$3</f>
        <v>-0.70150348402408869</v>
      </c>
      <c r="N47" s="22">
        <f>('2019-2022'!N49-'2019-2022'!AA$2)/'2019-2022'!AA$3</f>
        <v>-2.0800025801354391</v>
      </c>
      <c r="O47" s="22">
        <f>('2019-2022'!O49-'2019-2022'!AB$2)/'2019-2022'!AB$3</f>
        <v>-1.2672204938030971</v>
      </c>
      <c r="P47" s="22">
        <f>('2019-2022'!P49-'2019-2022'!AC$2)/'2019-2022'!AC$3</f>
        <v>1.019532952477292</v>
      </c>
    </row>
    <row r="48" spans="1:16">
      <c r="A48" s="4" t="s">
        <v>14</v>
      </c>
      <c r="B48" s="5">
        <v>2019</v>
      </c>
      <c r="C48" s="14" t="s">
        <v>55</v>
      </c>
      <c r="D48" s="14" t="s">
        <v>54</v>
      </c>
      <c r="E48" s="22">
        <f>('2019-2022'!E50-'2019-2022'!R$2)/'2019-2022'!R$3</f>
        <v>0.91728697345803245</v>
      </c>
      <c r="F48" s="22">
        <f>('2019-2022'!F50-'2019-2022'!S$2)/'2019-2022'!S$3</f>
        <v>-0.46319199993180205</v>
      </c>
      <c r="G48" s="22">
        <f>('2019-2022'!G50-'2019-2022'!T$2)/'2019-2022'!T$3</f>
        <v>0.21072145787404603</v>
      </c>
      <c r="H48" s="22">
        <f>('2019-2022'!H50-'2019-2022'!U$2)/'2019-2022'!U$3</f>
        <v>0.82160307273277799</v>
      </c>
      <c r="I48" s="22">
        <f>('2019-2022'!I50-'2019-2022'!V$2)/'2019-2022'!V$3</f>
        <v>0.87637023620168575</v>
      </c>
      <c r="J48" s="22">
        <f>('2019-2022'!J50-'2019-2022'!W$2)/'2019-2022'!W$3</f>
        <v>-9.8872961059450357E-2</v>
      </c>
      <c r="K48" s="22">
        <f>('2019-2022'!K50-'2019-2022'!X$2)/'2019-2022'!X$3</f>
        <v>5.2001441364461665E-2</v>
      </c>
      <c r="L48" s="22">
        <f>('2019-2022'!L50-'2019-2022'!Y$2)/'2019-2022'!Y$3</f>
        <v>-0.31383110975232376</v>
      </c>
      <c r="M48" s="22">
        <f>('2019-2022'!M50-'2019-2022'!Z$2)/'2019-2022'!Z$3</f>
        <v>4.3801453802653351E-2</v>
      </c>
      <c r="N48" s="22">
        <f>('2019-2022'!N50-'2019-2022'!AA$2)/'2019-2022'!AA$3</f>
        <v>-0.86991669638495861</v>
      </c>
      <c r="O48" s="22">
        <f>('2019-2022'!O50-'2019-2022'!AB$2)/'2019-2022'!AB$3</f>
        <v>-1.276984420433851</v>
      </c>
      <c r="P48" s="22">
        <f>('2019-2022'!P50-'2019-2022'!AC$2)/'2019-2022'!AC$3</f>
        <v>0.46517624049601264</v>
      </c>
    </row>
    <row r="49" spans="1:16">
      <c r="A49" s="4" t="s">
        <v>14</v>
      </c>
      <c r="B49" s="5">
        <v>2020</v>
      </c>
      <c r="C49" s="14" t="s">
        <v>55</v>
      </c>
      <c r="D49" s="14" t="s">
        <v>54</v>
      </c>
      <c r="E49" s="22">
        <f>('2019-2022'!E51-'2019-2022'!R$2)/'2019-2022'!R$3</f>
        <v>1.7112334171558923</v>
      </c>
      <c r="F49" s="22">
        <f>('2019-2022'!F51-'2019-2022'!S$2)/'2019-2022'!S$3</f>
        <v>9.0667314139072405E-2</v>
      </c>
      <c r="G49" s="22">
        <f>('2019-2022'!G51-'2019-2022'!T$2)/'2019-2022'!T$3</f>
        <v>1.1169956030554571</v>
      </c>
      <c r="H49" s="22">
        <f>('2019-2022'!H51-'2019-2022'!U$2)/'2019-2022'!U$3</f>
        <v>1.6659927100429082</v>
      </c>
      <c r="I49" s="22">
        <f>('2019-2022'!I51-'2019-2022'!V$2)/'2019-2022'!V$3</f>
        <v>1.6187192414236733</v>
      </c>
      <c r="J49" s="22">
        <f>('2019-2022'!J51-'2019-2022'!W$2)/'2019-2022'!W$3</f>
        <v>-0.21224816863073995</v>
      </c>
      <c r="K49" s="22">
        <f>('2019-2022'!K51-'2019-2022'!X$2)/'2019-2022'!X$3</f>
        <v>-0.28139221185095181</v>
      </c>
      <c r="L49" s="22">
        <f>('2019-2022'!L51-'2019-2022'!Y$2)/'2019-2022'!Y$3</f>
        <v>-1.002427666274843</v>
      </c>
      <c r="M49" s="22">
        <f>('2019-2022'!M51-'2019-2022'!Z$2)/'2019-2022'!Z$3</f>
        <v>-0.54718309636112827</v>
      </c>
      <c r="N49" s="22">
        <f>('2019-2022'!N51-'2019-2022'!AA$2)/'2019-2022'!AA$3</f>
        <v>-0.78950140382881462</v>
      </c>
      <c r="O49" s="22">
        <f>('2019-2022'!O51-'2019-2022'!AB$2)/'2019-2022'!AB$3</f>
        <v>-1.1437491805963758</v>
      </c>
      <c r="P49" s="22">
        <f>('2019-2022'!P51-'2019-2022'!AC$2)/'2019-2022'!AC$3</f>
        <v>0.43473712113842622</v>
      </c>
    </row>
    <row r="50" spans="1:16">
      <c r="A50" s="4" t="s">
        <v>14</v>
      </c>
      <c r="B50" s="5">
        <v>2021</v>
      </c>
      <c r="C50" s="14" t="s">
        <v>55</v>
      </c>
      <c r="D50" s="14" t="s">
        <v>54</v>
      </c>
      <c r="E50" s="22">
        <f>('2019-2022'!E52-'2019-2022'!R$2)/'2019-2022'!R$3</f>
        <v>0.98755172567051963</v>
      </c>
      <c r="F50" s="22">
        <f>('2019-2022'!F52-'2019-2022'!S$2)/'2019-2022'!S$3</f>
        <v>0.17702792620101657</v>
      </c>
      <c r="G50" s="22">
        <f>('2019-2022'!G52-'2019-2022'!T$2)/'2019-2022'!T$3</f>
        <v>-0.37769091525988269</v>
      </c>
      <c r="H50" s="22">
        <f>('2019-2022'!H52-'2019-2022'!U$2)/'2019-2022'!U$3</f>
        <v>1.6761299806866454</v>
      </c>
      <c r="I50" s="22">
        <f>('2019-2022'!I52-'2019-2022'!V$2)/'2019-2022'!V$3</f>
        <v>0.59681447065079152</v>
      </c>
      <c r="J50" s="22">
        <f>('2019-2022'!J52-'2019-2022'!W$2)/'2019-2022'!W$3</f>
        <v>-0.3474416580881684</v>
      </c>
      <c r="K50" s="22">
        <f>('2019-2022'!K52-'2019-2022'!X$2)/'2019-2022'!X$3</f>
        <v>-0.16005833650354342</v>
      </c>
      <c r="L50" s="22">
        <f>('2019-2022'!L52-'2019-2022'!Y$2)/'2019-2022'!Y$3</f>
        <v>-0.70990289720848221</v>
      </c>
      <c r="M50" s="22">
        <f>('2019-2022'!M52-'2019-2022'!Z$2)/'2019-2022'!Z$3</f>
        <v>-0.73892475016168668</v>
      </c>
      <c r="N50" s="22">
        <f>('2019-2022'!N52-'2019-2022'!AA$2)/'2019-2022'!AA$3</f>
        <v>-0.65350490516100646</v>
      </c>
      <c r="O50" s="22">
        <f>('2019-2022'!O52-'2019-2022'!AB$2)/'2019-2022'!AB$3</f>
        <v>-1.3305131716788179</v>
      </c>
      <c r="P50" s="22">
        <f>('2019-2022'!P52-'2019-2022'!AC$2)/'2019-2022'!AC$3</f>
        <v>0.60087179986037387</v>
      </c>
    </row>
    <row r="51" spans="1:16">
      <c r="A51" s="4" t="s">
        <v>14</v>
      </c>
      <c r="B51" s="5">
        <v>2022</v>
      </c>
      <c r="C51" s="14" t="s">
        <v>55</v>
      </c>
      <c r="D51" s="14" t="s">
        <v>54</v>
      </c>
      <c r="E51" s="22">
        <f>('2019-2022'!E53-'2019-2022'!R$2)/'2019-2022'!R$3</f>
        <v>0.87711192876073285</v>
      </c>
      <c r="F51" s="22">
        <f>('2019-2022'!F53-'2019-2022'!S$2)/'2019-2022'!S$3</f>
        <v>-0.61015452830676453</v>
      </c>
      <c r="G51" s="22">
        <f>('2019-2022'!G53-'2019-2022'!T$2)/'2019-2022'!T$3</f>
        <v>0.26197652520791387</v>
      </c>
      <c r="H51" s="22">
        <f>('2019-2022'!H53-'2019-2022'!U$2)/'2019-2022'!U$3</f>
        <v>0.48948442979393647</v>
      </c>
      <c r="I51" s="22">
        <f>('2019-2022'!I53-'2019-2022'!V$2)/'2019-2022'!V$3</f>
        <v>0.9882968091195955</v>
      </c>
      <c r="J51" s="22">
        <f>('2019-2022'!J53-'2019-2022'!W$2)/'2019-2022'!W$3</f>
        <v>-0.3099097761853386</v>
      </c>
      <c r="K51" s="22">
        <f>('2019-2022'!K53-'2019-2022'!X$2)/'2019-2022'!X$3</f>
        <v>-0.22835961185369039</v>
      </c>
      <c r="L51" s="22">
        <f>('2019-2022'!L53-'2019-2022'!Y$2)/'2019-2022'!Y$3</f>
        <v>-0.91969789064172114</v>
      </c>
      <c r="M51" s="22">
        <f>('2019-2022'!M53-'2019-2022'!Z$2)/'2019-2022'!Z$3</f>
        <v>-0.99202912238644747</v>
      </c>
      <c r="N51" s="22">
        <f>('2019-2022'!N53-'2019-2022'!AA$2)/'2019-2022'!AA$3</f>
        <v>-0.9222398919718271</v>
      </c>
      <c r="O51" s="22">
        <f>('2019-2022'!O53-'2019-2022'!AB$2)/'2019-2022'!AB$3</f>
        <v>-1.4660459366322474</v>
      </c>
      <c r="P51" s="22">
        <f>('2019-2022'!P53-'2019-2022'!AC$2)/'2019-2022'!AC$3</f>
        <v>0.40542156423226761</v>
      </c>
    </row>
    <row r="52" spans="1:16">
      <c r="A52" s="4" t="s">
        <v>16</v>
      </c>
      <c r="B52" s="5">
        <v>2019</v>
      </c>
      <c r="C52" s="14" t="s">
        <v>56</v>
      </c>
      <c r="D52" s="14" t="s">
        <v>57</v>
      </c>
      <c r="E52" s="22">
        <f>('2019-2022'!E54-'2019-2022'!R$2)/'2019-2022'!R$3</f>
        <v>-0.42941514773215739</v>
      </c>
      <c r="F52" s="22">
        <f>('2019-2022'!F54-'2019-2022'!S$2)/'2019-2022'!S$3</f>
        <v>3.0069567949057102E-2</v>
      </c>
      <c r="G52" s="22">
        <f>('2019-2022'!G54-'2019-2022'!T$2)/'2019-2022'!T$3</f>
        <v>0.71993042393837059</v>
      </c>
      <c r="H52" s="22">
        <f>('2019-2022'!H54-'2019-2022'!U$2)/'2019-2022'!U$3</f>
        <v>-0.75398521252336748</v>
      </c>
      <c r="I52" s="22">
        <f>('2019-2022'!I54-'2019-2022'!V$2)/'2019-2022'!V$3</f>
        <v>1.0358617662703924E-2</v>
      </c>
      <c r="J52" s="22">
        <f>('2019-2022'!J54-'2019-2022'!W$2)/'2019-2022'!W$3</f>
        <v>0.26925052176001624</v>
      </c>
      <c r="K52" s="22">
        <f>('2019-2022'!K54-'2019-2022'!X$2)/'2019-2022'!X$3</f>
        <v>0.89542327412614375</v>
      </c>
      <c r="L52" s="22">
        <f>('2019-2022'!L54-'2019-2022'!Y$2)/'2019-2022'!Y$3</f>
        <v>-3.4788623134117791E-2</v>
      </c>
      <c r="M52" s="22">
        <f>('2019-2022'!M54-'2019-2022'!Z$2)/'2019-2022'!Z$3</f>
        <v>3.233949675242756E-2</v>
      </c>
      <c r="N52" s="22">
        <f>('2019-2022'!N54-'2019-2022'!AA$2)/'2019-2022'!AA$3</f>
        <v>0.30068796567435258</v>
      </c>
      <c r="O52" s="22">
        <f>('2019-2022'!O54-'2019-2022'!AB$2)/'2019-2022'!AB$3</f>
        <v>-0.5863745494578072</v>
      </c>
      <c r="P52" s="22">
        <f>('2019-2022'!P54-'2019-2022'!AC$2)/'2019-2022'!AC$3</f>
        <v>-0.86168017160056343</v>
      </c>
    </row>
    <row r="53" spans="1:16">
      <c r="A53" s="4" t="s">
        <v>16</v>
      </c>
      <c r="B53" s="5">
        <v>2020</v>
      </c>
      <c r="C53" s="14" t="s">
        <v>56</v>
      </c>
      <c r="D53" s="14" t="s">
        <v>57</v>
      </c>
      <c r="E53" s="22">
        <f>('2019-2022'!E55-'2019-2022'!R$2)/'2019-2022'!R$3</f>
        <v>-0.76999988066306779</v>
      </c>
      <c r="F53" s="22">
        <f>('2019-2022'!F55-'2019-2022'!S$2)/'2019-2022'!S$3</f>
        <v>0.7462586210020784</v>
      </c>
      <c r="G53" s="22">
        <f>('2019-2022'!G55-'2019-2022'!T$2)/'2019-2022'!T$3</f>
        <v>1.6175145543938034</v>
      </c>
      <c r="H53" s="22">
        <f>('2019-2022'!H55-'2019-2022'!U$2)/'2019-2022'!U$3</f>
        <v>-0.90312791722708519</v>
      </c>
      <c r="I53" s="22">
        <f>('2019-2022'!I55-'2019-2022'!V$2)/'2019-2022'!V$3</f>
        <v>-0.50316314135765561</v>
      </c>
      <c r="J53" s="22">
        <f>('2019-2022'!J55-'2019-2022'!W$2)/'2019-2022'!W$3</f>
        <v>0.33836738517269416</v>
      </c>
      <c r="K53" s="22">
        <f>('2019-2022'!K55-'2019-2022'!X$2)/'2019-2022'!X$3</f>
        <v>1.3068365469378027</v>
      </c>
      <c r="L53" s="22">
        <f>('2019-2022'!L55-'2019-2022'!Y$2)/'2019-2022'!Y$3</f>
        <v>-0.63225835482785153</v>
      </c>
      <c r="M53" s="22">
        <f>('2019-2022'!M55-'2019-2022'!Z$2)/'2019-2022'!Z$3</f>
        <v>-0.70611593327030908</v>
      </c>
      <c r="N53" s="22">
        <f>('2019-2022'!N55-'2019-2022'!AA$2)/'2019-2022'!AA$3</f>
        <v>0.28111294401816866</v>
      </c>
      <c r="O53" s="22">
        <f>('2019-2022'!O55-'2019-2022'!AB$2)/'2019-2022'!AB$3</f>
        <v>-0.107903407394985</v>
      </c>
      <c r="P53" s="22">
        <f>('2019-2022'!P55-'2019-2022'!AC$2)/'2019-2022'!AC$3</f>
        <v>-0.81051450003328362</v>
      </c>
    </row>
    <row r="54" spans="1:16">
      <c r="A54" s="4" t="s">
        <v>16</v>
      </c>
      <c r="B54" s="5">
        <v>2021</v>
      </c>
      <c r="C54" s="14" t="s">
        <v>56</v>
      </c>
      <c r="D54" s="14" t="s">
        <v>57</v>
      </c>
      <c r="E54" s="22">
        <f>('2019-2022'!E56-'2019-2022'!R$2)/'2019-2022'!R$3</f>
        <v>-1.0488273643407033</v>
      </c>
      <c r="F54" s="22">
        <f>('2019-2022'!F56-'2019-2022'!S$2)/'2019-2022'!S$3</f>
        <v>1.1575809045549648</v>
      </c>
      <c r="G54" s="22">
        <f>('2019-2022'!G56-'2019-2022'!T$2)/'2019-2022'!T$3</f>
        <v>0.18332517575673057</v>
      </c>
      <c r="H54" s="22">
        <f>('2019-2022'!H56-'2019-2022'!U$2)/'2019-2022'!U$3</f>
        <v>-0.9186963304155441</v>
      </c>
      <c r="I54" s="22">
        <f>('2019-2022'!I56-'2019-2022'!V$2)/'2019-2022'!V$3</f>
        <v>-1.0300884474316869</v>
      </c>
      <c r="J54" s="22">
        <f>('2019-2022'!J56-'2019-2022'!W$2)/'2019-2022'!W$3</f>
        <v>0.20837457413562052</v>
      </c>
      <c r="K54" s="22">
        <f>('2019-2022'!K56-'2019-2022'!X$2)/'2019-2022'!X$3</f>
        <v>0.9042913442656948</v>
      </c>
      <c r="L54" s="22">
        <f>('2019-2022'!L56-'2019-2022'!Y$2)/'2019-2022'!Y$3</f>
        <v>-0.51909466672824933</v>
      </c>
      <c r="M54" s="22">
        <f>('2019-2022'!M56-'2019-2022'!Z$2)/'2019-2022'!Z$3</f>
        <v>-0.87029078265689719</v>
      </c>
      <c r="N54" s="22">
        <f>('2019-2022'!N56-'2019-2022'!AA$2)/'2019-2022'!AA$3</f>
        <v>0.64298154310352651</v>
      </c>
      <c r="O54" s="22">
        <f>('2019-2022'!O56-'2019-2022'!AB$2)/'2019-2022'!AB$3</f>
        <v>0.38216502732981134</v>
      </c>
      <c r="P54" s="22">
        <f>('2019-2022'!P56-'2019-2022'!AC$2)/'2019-2022'!AC$3</f>
        <v>-1.000799992518151</v>
      </c>
    </row>
    <row r="55" spans="1:16">
      <c r="A55" s="4" t="s">
        <v>16</v>
      </c>
      <c r="B55" s="5">
        <v>2022</v>
      </c>
      <c r="C55" s="14" t="s">
        <v>56</v>
      </c>
      <c r="D55" s="14" t="s">
        <v>57</v>
      </c>
      <c r="E55" s="22">
        <f>('2019-2022'!E57-'2019-2022'!R$2)/'2019-2022'!R$3</f>
        <v>-1.1929703921095371</v>
      </c>
      <c r="F55" s="22">
        <f>('2019-2022'!F57-'2019-2022'!S$2)/'2019-2022'!S$3</f>
        <v>1.2411644910474922</v>
      </c>
      <c r="G55" s="22">
        <f>('2019-2022'!G57-'2019-2022'!T$2)/'2019-2022'!T$3</f>
        <v>1.3948453415948436</v>
      </c>
      <c r="H55" s="22">
        <f>('2019-2022'!H57-'2019-2022'!U$2)/'2019-2022'!U$3</f>
        <v>-1.1043263786166881</v>
      </c>
      <c r="I55" s="22">
        <f>('2019-2022'!I57-'2019-2022'!V$2)/'2019-2022'!V$3</f>
        <v>-1.1255812829808802</v>
      </c>
      <c r="J55" s="22">
        <f>('2019-2022'!J57-'2019-2022'!W$2)/'2019-2022'!W$3</f>
        <v>0.33477898812225543</v>
      </c>
      <c r="K55" s="22">
        <f>('2019-2022'!K57-'2019-2022'!X$2)/'2019-2022'!X$3</f>
        <v>0.57954921594174502</v>
      </c>
      <c r="L55" s="22">
        <f>('2019-2022'!L57-'2019-2022'!Y$2)/'2019-2022'!Y$3</f>
        <v>-6.5605785692093308E-3</v>
      </c>
      <c r="M55" s="22">
        <f>('2019-2022'!M57-'2019-2022'!Z$2)/'2019-2022'!Z$3</f>
        <v>0.14133992965223677</v>
      </c>
      <c r="N55" s="22">
        <f>('2019-2022'!N57-'2019-2022'!AA$2)/'2019-2022'!AA$3</f>
        <v>0.55657906466158047</v>
      </c>
      <c r="O55" s="22">
        <f>('2019-2022'!O57-'2019-2022'!AB$2)/'2019-2022'!AB$3</f>
        <v>0.88036967310680403</v>
      </c>
      <c r="P55" s="22">
        <f>('2019-2022'!P57-'2019-2022'!AC$2)/'2019-2022'!AC$3</f>
        <v>-1.0090510990309298</v>
      </c>
    </row>
    <row r="56" spans="1:16">
      <c r="A56" s="4" t="s">
        <v>18</v>
      </c>
      <c r="B56" s="5">
        <v>2019</v>
      </c>
      <c r="C56" s="14" t="s">
        <v>56</v>
      </c>
      <c r="D56" s="14" t="s">
        <v>54</v>
      </c>
      <c r="E56" s="22">
        <f>('2019-2022'!E58-'2019-2022'!R$2)/'2019-2022'!R$3</f>
        <v>-0.86728231931638866</v>
      </c>
      <c r="F56" s="22">
        <f>('2019-2022'!F58-'2019-2022'!S$2)/'2019-2022'!S$3</f>
        <v>1.3600297992580275</v>
      </c>
      <c r="G56" s="22">
        <f>('2019-2022'!G58-'2019-2022'!T$2)/'2019-2022'!T$3</f>
        <v>1.0213271442960052</v>
      </c>
      <c r="H56" s="22">
        <f>('2019-2022'!H58-'2019-2022'!U$2)/'2019-2022'!U$3</f>
        <v>-0.66431207665713377</v>
      </c>
      <c r="I56" s="22">
        <f>('2019-2022'!I58-'2019-2022'!V$2)/'2019-2022'!V$3</f>
        <v>-0.9512995633252932</v>
      </c>
      <c r="J56" s="22">
        <f>('2019-2022'!J58-'2019-2022'!W$2)/'2019-2022'!W$3</f>
        <v>-0.14355783803098515</v>
      </c>
      <c r="K56" s="22">
        <f>('2019-2022'!K58-'2019-2022'!X$2)/'2019-2022'!X$3</f>
        <v>2.2933761336676848</v>
      </c>
      <c r="L56" s="22">
        <f>('2019-2022'!L58-'2019-2022'!Y$2)/'2019-2022'!Y$3</f>
        <v>1.3066864508362803</v>
      </c>
      <c r="M56" s="22">
        <f>('2019-2022'!M58-'2019-2022'!Z$2)/'2019-2022'!Z$3</f>
        <v>-0.53445714216952245</v>
      </c>
      <c r="N56" s="22">
        <f>('2019-2022'!N58-'2019-2022'!AA$2)/'2019-2022'!AA$3</f>
        <v>1.0762677497493935</v>
      </c>
      <c r="O56" s="22">
        <f>('2019-2022'!O58-'2019-2022'!AB$2)/'2019-2022'!AB$3</f>
        <v>0.89005713221974814</v>
      </c>
      <c r="P56" s="22">
        <f>('2019-2022'!P58-'2019-2022'!AC$2)/'2019-2022'!AC$3</f>
        <v>-0.21737985822651706</v>
      </c>
    </row>
    <row r="57" spans="1:16">
      <c r="A57" s="4" t="s">
        <v>18</v>
      </c>
      <c r="B57" s="5">
        <v>2020</v>
      </c>
      <c r="C57" s="14" t="s">
        <v>56</v>
      </c>
      <c r="D57" s="14" t="s">
        <v>54</v>
      </c>
      <c r="E57" s="22">
        <f>('2019-2022'!E59-'2019-2022'!R$2)/'2019-2022'!R$3</f>
        <v>0.48974665235305076</v>
      </c>
      <c r="F57" s="22">
        <f>('2019-2022'!F59-'2019-2022'!S$2)/'2019-2022'!S$3</f>
        <v>1.5132183199522906</v>
      </c>
      <c r="G57" s="22">
        <f>('2019-2022'!G59-'2019-2022'!T$2)/'2019-2022'!T$3</f>
        <v>0.8888465893874129</v>
      </c>
      <c r="H57" s="22">
        <f>('2019-2022'!H59-'2019-2022'!U$2)/'2019-2022'!U$3</f>
        <v>0.71364536793324418</v>
      </c>
      <c r="I57" s="22">
        <f>('2019-2022'!I59-'2019-2022'!V$2)/'2019-2022'!V$3</f>
        <v>0.33019034851514173</v>
      </c>
      <c r="J57" s="22">
        <f>('2019-2022'!J59-'2019-2022'!W$2)/'2019-2022'!W$3</f>
        <v>0.41210128684361652</v>
      </c>
      <c r="K57" s="22">
        <f>('2019-2022'!K59-'2019-2022'!X$2)/'2019-2022'!X$3</f>
        <v>2.0955619345813723</v>
      </c>
      <c r="L57" s="22">
        <f>('2019-2022'!L59-'2019-2022'!Y$2)/'2019-2022'!Y$3</f>
        <v>2.1911182766229378</v>
      </c>
      <c r="M57" s="22">
        <f>('2019-2022'!M59-'2019-2022'!Z$2)/'2019-2022'!Z$3</f>
        <v>-0.33954312141625603</v>
      </c>
      <c r="N57" s="22">
        <f>('2019-2022'!N59-'2019-2022'!AA$2)/'2019-2022'!AA$3</f>
        <v>1.6841343965769175</v>
      </c>
      <c r="O57" s="22">
        <f>('2019-2022'!O59-'2019-2022'!AB$2)/'2019-2022'!AB$3</f>
        <v>1.2783224572765874</v>
      </c>
      <c r="P57" s="22">
        <f>('2019-2022'!P59-'2019-2022'!AC$2)/'2019-2022'!AC$3</f>
        <v>-0.25694168464313116</v>
      </c>
    </row>
    <row r="58" spans="1:16">
      <c r="A58" s="4" t="s">
        <v>18</v>
      </c>
      <c r="B58" s="5">
        <v>2021</v>
      </c>
      <c r="C58" s="14" t="s">
        <v>56</v>
      </c>
      <c r="D58" s="14" t="s">
        <v>54</v>
      </c>
      <c r="E58" s="22">
        <f>('2019-2022'!E60-'2019-2022'!R$2)/'2019-2022'!R$3</f>
        <v>8.1611132195991004E-2</v>
      </c>
      <c r="F58" s="22">
        <f>('2019-2022'!F60-'2019-2022'!S$2)/'2019-2022'!S$3</f>
        <v>1.8574607461331594</v>
      </c>
      <c r="G58" s="22">
        <f>('2019-2022'!G60-'2019-2022'!T$2)/'2019-2022'!T$3</f>
        <v>1.0858141402514943</v>
      </c>
      <c r="H58" s="22">
        <f>('2019-2022'!H60-'2019-2022'!U$2)/'2019-2022'!U$3</f>
        <v>2.4920744441524326E-2</v>
      </c>
      <c r="I58" s="22">
        <f>('2019-2022'!I60-'2019-2022'!V$2)/'2019-2022'!V$3</f>
        <v>0.20975369892826237</v>
      </c>
      <c r="J58" s="22">
        <f>('2019-2022'!J60-'2019-2022'!W$2)/'2019-2022'!W$3</f>
        <v>5.1078179686908157E-2</v>
      </c>
      <c r="K58" s="22">
        <f>('2019-2022'!K60-'2019-2022'!X$2)/'2019-2022'!X$3</f>
        <v>1.7537276978216467</v>
      </c>
      <c r="L58" s="22">
        <f>('2019-2022'!L60-'2019-2022'!Y$2)/'2019-2022'!Y$3</f>
        <v>1.1943666403937649</v>
      </c>
      <c r="M58" s="22">
        <f>('2019-2022'!M60-'2019-2022'!Z$2)/'2019-2022'!Z$3</f>
        <v>-2.5604098165818812</v>
      </c>
      <c r="N58" s="22">
        <f>('2019-2022'!N60-'2019-2022'!AA$2)/'2019-2022'!AA$3</f>
        <v>0.8324178253221558</v>
      </c>
      <c r="O58" s="22">
        <f>('2019-2022'!O60-'2019-2022'!AB$2)/'2019-2022'!AB$3</f>
        <v>3.4854911727175635E-2</v>
      </c>
      <c r="P58" s="22">
        <f>('2019-2022'!P60-'2019-2022'!AC$2)/'2019-2022'!AC$3</f>
        <v>-0.32022382757938506</v>
      </c>
    </row>
    <row r="59" spans="1:16">
      <c r="A59" s="4" t="s">
        <v>18</v>
      </c>
      <c r="B59" s="5">
        <v>2022</v>
      </c>
      <c r="C59" s="14" t="s">
        <v>56</v>
      </c>
      <c r="D59" s="14" t="s">
        <v>54</v>
      </c>
      <c r="E59" s="22">
        <f>('2019-2022'!E61-'2019-2022'!R$2)/'2019-2022'!R$3</f>
        <v>-0.12730115399343739</v>
      </c>
      <c r="F59" s="22">
        <f>('2019-2022'!F61-'2019-2022'!S$2)/'2019-2022'!S$3</f>
        <v>1.249524325072392</v>
      </c>
      <c r="G59" s="22">
        <f>('2019-2022'!G61-'2019-2022'!T$2)/'2019-2022'!T$3</f>
        <v>0.76692836184297575</v>
      </c>
      <c r="H59" s="22">
        <f>('2019-2022'!H61-'2019-2022'!U$2)/'2019-2022'!U$3</f>
        <v>0.10904441293270796</v>
      </c>
      <c r="I59" s="22">
        <f>('2019-2022'!I61-'2019-2022'!V$2)/'2019-2022'!V$3</f>
        <v>-0.26820475999125415</v>
      </c>
      <c r="J59" s="22">
        <f>('2019-2022'!J61-'2019-2022'!W$2)/'2019-2022'!W$3</f>
        <v>-5.4303102226602937E-2</v>
      </c>
      <c r="K59" s="22">
        <f>('2019-2022'!K61-'2019-2022'!X$2)/'2019-2022'!X$3</f>
        <v>1.2582078841020863</v>
      </c>
      <c r="L59" s="22">
        <f>('2019-2022'!L61-'2019-2022'!Y$2)/'2019-2022'!Y$3</f>
        <v>0.45804737793596428</v>
      </c>
      <c r="M59" s="22">
        <f>('2019-2022'!M61-'2019-2022'!Z$2)/'2019-2022'!Z$3</f>
        <v>-1.2571345596460248</v>
      </c>
      <c r="N59" s="22">
        <f>('2019-2022'!N61-'2019-2022'!AA$2)/'2019-2022'!AA$3</f>
        <v>1.2537253168391198</v>
      </c>
      <c r="O59" s="22">
        <f>('2019-2022'!O61-'2019-2022'!AB$2)/'2019-2022'!AB$3</f>
        <v>8.4154799088172277E-2</v>
      </c>
      <c r="P59" s="22">
        <f>('2019-2022'!P61-'2019-2022'!AC$2)/'2019-2022'!AC$3</f>
        <v>-0.26236138114428231</v>
      </c>
    </row>
    <row r="60" spans="1:16">
      <c r="A60" s="4" t="s">
        <v>19</v>
      </c>
      <c r="B60" s="5">
        <v>2019</v>
      </c>
      <c r="C60" s="14" t="s">
        <v>51</v>
      </c>
      <c r="D60" s="14" t="s">
        <v>54</v>
      </c>
      <c r="E60" s="22">
        <f>('2019-2022'!E62-'2019-2022'!R$2)/'2019-2022'!R$3</f>
        <v>1.1571096339488518</v>
      </c>
      <c r="F60" s="22">
        <f>('2019-2022'!F62-'2019-2022'!S$2)/'2019-2022'!S$3</f>
        <v>0.4310771936804243</v>
      </c>
      <c r="G60" s="22">
        <f>('2019-2022'!G62-'2019-2022'!T$2)/'2019-2022'!T$3</f>
        <v>-0.84087507304610143</v>
      </c>
      <c r="H60" s="22">
        <f>('2019-2022'!H62-'2019-2022'!U$2)/'2019-2022'!U$3</f>
        <v>1.2977757905022436</v>
      </c>
      <c r="I60" s="22">
        <f>('2019-2022'!I62-'2019-2022'!V$2)/'2019-2022'!V$3</f>
        <v>1.0303630982847678</v>
      </c>
      <c r="J60" s="22">
        <f>('2019-2022'!J62-'2019-2022'!W$2)/'2019-2022'!W$3</f>
        <v>0.98736042467462992</v>
      </c>
      <c r="K60" s="22">
        <f>('2019-2022'!K62-'2019-2022'!X$2)/'2019-2022'!X$3</f>
        <v>1.342528853469531</v>
      </c>
      <c r="L60" s="22">
        <f>('2019-2022'!L62-'2019-2022'!Y$2)/'2019-2022'!Y$3</f>
        <v>-0.42246811543927376</v>
      </c>
      <c r="M60" s="22">
        <f>('2019-2022'!M62-'2019-2022'!Z$2)/'2019-2022'!Z$3</f>
        <v>-0.56847949727091585</v>
      </c>
      <c r="N60" s="22">
        <f>('2019-2022'!N62-'2019-2022'!AA$2)/'2019-2022'!AA$3</f>
        <v>7.3597094143344421E-2</v>
      </c>
      <c r="O60" s="22">
        <f>('2019-2022'!O62-'2019-2022'!AB$2)/'2019-2022'!AB$3</f>
        <v>-5.4227501299628257E-2</v>
      </c>
      <c r="P60" s="22">
        <f>('2019-2022'!P62-'2019-2022'!AC$2)/'2019-2022'!AC$3</f>
        <v>-0.46487973970445567</v>
      </c>
    </row>
    <row r="61" spans="1:16">
      <c r="A61" s="4" t="s">
        <v>19</v>
      </c>
      <c r="B61" s="5">
        <v>2020</v>
      </c>
      <c r="C61" s="14" t="s">
        <v>51</v>
      </c>
      <c r="D61" s="14" t="s">
        <v>54</v>
      </c>
      <c r="E61" s="22">
        <f>('2019-2022'!E63-'2019-2022'!R$2)/'2019-2022'!R$3</f>
        <v>2.6172355752840355</v>
      </c>
      <c r="F61" s="22">
        <f>('2019-2022'!F63-'2019-2022'!S$2)/'2019-2022'!S$3</f>
        <v>0.60891230001180974</v>
      </c>
      <c r="G61" s="22">
        <f>('2019-2022'!G63-'2019-2022'!T$2)/'2019-2022'!T$3</f>
        <v>-0.77575901209226761</v>
      </c>
      <c r="H61" s="22">
        <f>('2019-2022'!H63-'2019-2022'!U$2)/'2019-2022'!U$3</f>
        <v>2.7922496874973959</v>
      </c>
      <c r="I61" s="22">
        <f>('2019-2022'!I63-'2019-2022'!V$2)/'2019-2022'!V$3</f>
        <v>2.3965716106568653</v>
      </c>
      <c r="J61" s="22">
        <f>('2019-2022'!J63-'2019-2022'!W$2)/'2019-2022'!W$3</f>
        <v>0.97203478477047411</v>
      </c>
      <c r="K61" s="22">
        <f>('2019-2022'!K63-'2019-2022'!X$2)/'2019-2022'!X$3</f>
        <v>1.8475904085447445</v>
      </c>
      <c r="L61" s="22">
        <f>('2019-2022'!L63-'2019-2022'!Y$2)/'2019-2022'!Y$3</f>
        <v>5.8879430111362742E-2</v>
      </c>
      <c r="M61" s="22">
        <f>('2019-2022'!M63-'2019-2022'!Z$2)/'2019-2022'!Z$3</f>
        <v>-0.48945352136647235</v>
      </c>
      <c r="N61" s="22">
        <f>('2019-2022'!N63-'2019-2022'!AA$2)/'2019-2022'!AA$3</f>
        <v>-0.25260010873093425</v>
      </c>
      <c r="O61" s="22">
        <f>('2019-2022'!O63-'2019-2022'!AB$2)/'2019-2022'!AB$3</f>
        <v>-0.80384358722196303</v>
      </c>
      <c r="P61" s="22">
        <f>('2019-2022'!P63-'2019-2022'!AC$2)/'2019-2022'!AC$3</f>
        <v>-0.53191398021842951</v>
      </c>
    </row>
    <row r="62" spans="1:16">
      <c r="A62" s="4" t="s">
        <v>19</v>
      </c>
      <c r="B62" s="5">
        <v>2021</v>
      </c>
      <c r="C62" s="14" t="s">
        <v>51</v>
      </c>
      <c r="D62" s="14" t="s">
        <v>54</v>
      </c>
      <c r="E62" s="22">
        <f>('2019-2022'!E64-'2019-2022'!R$2)/'2019-2022'!R$3</f>
        <v>1.1392398896128131</v>
      </c>
      <c r="F62" s="22">
        <f>('2019-2022'!F64-'2019-2022'!S$2)/'2019-2022'!S$3</f>
        <v>0.33694653588521256</v>
      </c>
      <c r="G62" s="22">
        <f>('2019-2022'!G64-'2019-2022'!T$2)/'2019-2022'!T$3</f>
        <v>-0.58109019802286144</v>
      </c>
      <c r="H62" s="22">
        <f>('2019-2022'!H64-'2019-2022'!U$2)/'2019-2022'!U$3</f>
        <v>1.0898601216416783</v>
      </c>
      <c r="I62" s="22">
        <f>('2019-2022'!I64-'2019-2022'!V$2)/'2019-2022'!V$3</f>
        <v>1.1573307338217094</v>
      </c>
      <c r="J62" s="22">
        <f>('2019-2022'!J64-'2019-2022'!W$2)/'2019-2022'!W$3</f>
        <v>0.77320165212673286</v>
      </c>
      <c r="K62" s="22">
        <f>('2019-2022'!K64-'2019-2022'!X$2)/'2019-2022'!X$3</f>
        <v>1.3778791743563767</v>
      </c>
      <c r="L62" s="22">
        <f>('2019-2022'!L64-'2019-2022'!Y$2)/'2019-2022'!Y$3</f>
        <v>-0.42743457954000286</v>
      </c>
      <c r="M62" s="22">
        <f>('2019-2022'!M64-'2019-2022'!Z$2)/'2019-2022'!Z$3</f>
        <v>-0.46802167376411319</v>
      </c>
      <c r="N62" s="22">
        <f>('2019-2022'!N64-'2019-2022'!AA$2)/'2019-2022'!AA$3</f>
        <v>-0.30113454351351154</v>
      </c>
      <c r="O62" s="22">
        <f>('2019-2022'!O64-'2019-2022'!AB$2)/'2019-2022'!AB$3</f>
        <v>-0.75516746971110182</v>
      </c>
      <c r="P62" s="22">
        <f>('2019-2022'!P64-'2019-2022'!AC$2)/'2019-2022'!AC$3</f>
        <v>-0.61119373249426201</v>
      </c>
    </row>
    <row r="63" spans="1:16">
      <c r="A63" s="4" t="s">
        <v>19</v>
      </c>
      <c r="B63" s="5">
        <v>2022</v>
      </c>
      <c r="C63" s="14" t="s">
        <v>51</v>
      </c>
      <c r="D63" s="14" t="s">
        <v>54</v>
      </c>
      <c r="E63" s="22">
        <f>('2019-2022'!E65-'2019-2022'!R$2)/'2019-2022'!R$3</f>
        <v>1.9112700988042259</v>
      </c>
      <c r="F63" s="22">
        <f>('2019-2022'!F65-'2019-2022'!S$2)/'2019-2022'!S$3</f>
        <v>8.2018257597126498E-2</v>
      </c>
      <c r="G63" s="22">
        <f>('2019-2022'!G65-'2019-2022'!T$2)/'2019-2022'!T$3</f>
        <v>-0.44467806313544617</v>
      </c>
      <c r="H63" s="22">
        <f>('2019-2022'!H65-'2019-2022'!U$2)/'2019-2022'!U$3</f>
        <v>1.4992797103495947</v>
      </c>
      <c r="I63" s="22">
        <f>('2019-2022'!I65-'2019-2022'!V$2)/'2019-2022'!V$3</f>
        <v>2.1650490651428398</v>
      </c>
      <c r="J63" s="22">
        <f>('2019-2022'!J65-'2019-2022'!W$2)/'2019-2022'!W$3</f>
        <v>1.2438385590209911</v>
      </c>
      <c r="K63" s="22">
        <f>('2019-2022'!K65-'2019-2022'!X$2)/'2019-2022'!X$3</f>
        <v>2.0611453350774309</v>
      </c>
      <c r="L63" s="22">
        <f>('2019-2022'!L65-'2019-2022'!Y$2)/'2019-2022'!Y$3</f>
        <v>-0.24986512588977708</v>
      </c>
      <c r="M63" s="22">
        <f>('2019-2022'!M65-'2019-2022'!Z$2)/'2019-2022'!Z$3</f>
        <v>3.3870861728547745E-2</v>
      </c>
      <c r="N63" s="22">
        <f>('2019-2022'!N65-'2019-2022'!AA$2)/'2019-2022'!AA$3</f>
        <v>7.409912036408621E-2</v>
      </c>
      <c r="O63" s="22">
        <f>('2019-2022'!O65-'2019-2022'!AB$2)/'2019-2022'!AB$3</f>
        <v>-0.50482621489649282</v>
      </c>
      <c r="P63" s="22">
        <f>('2019-2022'!P65-'2019-2022'!AC$2)/'2019-2022'!AC$3</f>
        <v>-0.84509950092833053</v>
      </c>
    </row>
    <row r="64" spans="1:16">
      <c r="A64" s="4" t="s">
        <v>20</v>
      </c>
      <c r="B64" s="5">
        <v>2019</v>
      </c>
      <c r="C64" s="14" t="s">
        <v>55</v>
      </c>
      <c r="D64" s="14" t="s">
        <v>54</v>
      </c>
      <c r="E64" s="22">
        <f>('2019-2022'!E66-'2019-2022'!R$2)/'2019-2022'!R$3</f>
        <v>-0.78233981667497943</v>
      </c>
      <c r="F64" s="22">
        <f>('2019-2022'!F66-'2019-2022'!S$2)/'2019-2022'!S$3</f>
        <v>-1.312514826030464</v>
      </c>
      <c r="G64" s="22">
        <f>('2019-2022'!G66-'2019-2022'!T$2)/'2019-2022'!T$3</f>
        <v>1.8453218981611061</v>
      </c>
      <c r="H64" s="22">
        <f>('2019-2022'!H66-'2019-2022'!U$2)/'2019-2022'!U$3</f>
        <v>-1.1943237042950814</v>
      </c>
      <c r="I64" s="22">
        <f>('2019-2022'!I66-'2019-2022'!V$2)/'2019-2022'!V$3</f>
        <v>-0.56826823889610056</v>
      </c>
      <c r="J64" s="22">
        <f>('2019-2022'!J66-'2019-2022'!W$2)/'2019-2022'!W$3</f>
        <v>-0.54656647096704869</v>
      </c>
      <c r="K64" s="22">
        <f>('2019-2022'!K66-'2019-2022'!X$2)/'2019-2022'!X$3</f>
        <v>-1.2213344463843321</v>
      </c>
      <c r="L64" s="22">
        <f>('2019-2022'!L66-'2019-2022'!Y$2)/'2019-2022'!Y$3</f>
        <v>-9.6375334975534327E-2</v>
      </c>
      <c r="M64" s="22">
        <f>('2019-2022'!M66-'2019-2022'!Z$2)/'2019-2022'!Z$3</f>
        <v>1.2664511530720681</v>
      </c>
      <c r="N64" s="22">
        <f>('2019-2022'!N66-'2019-2022'!AA$2)/'2019-2022'!AA$3</f>
        <v>1.868716971283541</v>
      </c>
      <c r="O64" s="22">
        <f>('2019-2022'!O66-'2019-2022'!AB$2)/'2019-2022'!AB$3</f>
        <v>0.14584665840350042</v>
      </c>
      <c r="P64" s="22">
        <f>('2019-2022'!P66-'2019-2022'!AC$2)/'2019-2022'!AC$3</f>
        <v>0.22686243048498805</v>
      </c>
    </row>
    <row r="65" spans="1:16">
      <c r="A65" s="4" t="s">
        <v>20</v>
      </c>
      <c r="B65" s="5">
        <v>2020</v>
      </c>
      <c r="C65" s="14" t="s">
        <v>55</v>
      </c>
      <c r="D65" s="14" t="s">
        <v>54</v>
      </c>
      <c r="E65" s="22">
        <f>('2019-2022'!E67-'2019-2022'!R$2)/'2019-2022'!R$3</f>
        <v>-1.3800317503078339</v>
      </c>
      <c r="F65" s="22">
        <f>('2019-2022'!F67-'2019-2022'!S$2)/'2019-2022'!S$3</f>
        <v>-1.6790300314716784</v>
      </c>
      <c r="G65" s="22">
        <f>('2019-2022'!G67-'2019-2022'!T$2)/'2019-2022'!T$3</f>
        <v>0.58639694134211529</v>
      </c>
      <c r="H65" s="22">
        <f>('2019-2022'!H67-'2019-2022'!U$2)/'2019-2022'!U$3</f>
        <v>-1.4364601515400988</v>
      </c>
      <c r="I65" s="22">
        <f>('2019-2022'!I67-'2019-2022'!V$2)/'2019-2022'!V$3</f>
        <v>-1.3228391563376622</v>
      </c>
      <c r="J65" s="22">
        <f>('2019-2022'!J67-'2019-2022'!W$2)/'2019-2022'!W$3</f>
        <v>0.110722934188505</v>
      </c>
      <c r="K65" s="22">
        <f>('2019-2022'!K67-'2019-2022'!X$2)/'2019-2022'!X$3</f>
        <v>-1.3148953495635267</v>
      </c>
      <c r="L65" s="22">
        <f>('2019-2022'!L67-'2019-2022'!Y$2)/'2019-2022'!Y$3</f>
        <v>0.74440898755623097</v>
      </c>
      <c r="M65" s="22">
        <f>('2019-2022'!M67-'2019-2022'!Z$2)/'2019-2022'!Z$3</f>
        <v>-0.60690814511381419</v>
      </c>
      <c r="N65" s="22">
        <f>('2019-2022'!N67-'2019-2022'!AA$2)/'2019-2022'!AA$3</f>
        <v>-1.9217291811371915E-2</v>
      </c>
      <c r="O65" s="22">
        <f>('2019-2022'!O67-'2019-2022'!AB$2)/'2019-2022'!AB$3</f>
        <v>-1.2892743564675873</v>
      </c>
      <c r="P65" s="22">
        <f>('2019-2022'!P67-'2019-2022'!AC$2)/'2019-2022'!AC$3</f>
        <v>3.3444071138097713E-2</v>
      </c>
    </row>
    <row r="66" spans="1:16">
      <c r="A66" s="4" t="s">
        <v>20</v>
      </c>
      <c r="B66" s="5">
        <v>2021</v>
      </c>
      <c r="C66" s="14" t="s">
        <v>55</v>
      </c>
      <c r="D66" s="14" t="s">
        <v>54</v>
      </c>
      <c r="E66" s="22">
        <f>('2019-2022'!E68-'2019-2022'!R$2)/'2019-2022'!R$3</f>
        <v>-1.477331504833961</v>
      </c>
      <c r="F66" s="22">
        <f>('2019-2022'!F68-'2019-2022'!S$2)/'2019-2022'!S$3</f>
        <v>-1.8922521650058137</v>
      </c>
      <c r="G66" s="22">
        <f>('2019-2022'!G68-'2019-2022'!T$2)/'2019-2022'!T$3</f>
        <v>1.800805127074395</v>
      </c>
      <c r="H66" s="22">
        <f>('2019-2022'!H68-'2019-2022'!U$2)/'2019-2022'!U$3</f>
        <v>-1.5150914773884101</v>
      </c>
      <c r="I66" s="22">
        <f>('2019-2022'!I68-'2019-2022'!V$2)/'2019-2022'!V$3</f>
        <v>-1.4252179062887707</v>
      </c>
      <c r="J66" s="22">
        <f>('2019-2022'!J68-'2019-2022'!W$2)/'2019-2022'!W$3</f>
        <v>0.11669762258911129</v>
      </c>
      <c r="K66" s="22">
        <f>('2019-2022'!K68-'2019-2022'!X$2)/'2019-2022'!X$3</f>
        <v>-1.467153761142225</v>
      </c>
      <c r="L66" s="22">
        <f>('2019-2022'!L68-'2019-2022'!Y$2)/'2019-2022'!Y$3</f>
        <v>0.15329685338418433</v>
      </c>
      <c r="M66" s="22">
        <f>('2019-2022'!M68-'2019-2022'!Z$2)/'2019-2022'!Z$3</f>
        <v>-0.1083790525088193</v>
      </c>
      <c r="N66" s="22">
        <f>('2019-2022'!N68-'2019-2022'!AA$2)/'2019-2022'!AA$3</f>
        <v>1.0883940164094494</v>
      </c>
      <c r="O66" s="22">
        <f>('2019-2022'!O68-'2019-2022'!AB$2)/'2019-2022'!AB$3</f>
        <v>-0.75860342472291831</v>
      </c>
      <c r="P66" s="22">
        <f>('2019-2022'!P68-'2019-2022'!AC$2)/'2019-2022'!AC$3</f>
        <v>1.7276900818617099E-2</v>
      </c>
    </row>
    <row r="67" spans="1:16">
      <c r="A67" s="4" t="s">
        <v>20</v>
      </c>
      <c r="B67" s="5">
        <v>2022</v>
      </c>
      <c r="C67" s="14" t="s">
        <v>55</v>
      </c>
      <c r="D67" s="14" t="s">
        <v>54</v>
      </c>
      <c r="E67" s="22">
        <f>('2019-2022'!E69-'2019-2022'!R$2)/'2019-2022'!R$3</f>
        <v>-1.47551310711812</v>
      </c>
      <c r="F67" s="22">
        <f>('2019-2022'!F69-'2019-2022'!S$2)/'2019-2022'!S$3</f>
        <v>-1.3309809733165621</v>
      </c>
      <c r="G67" s="22">
        <f>('2019-2022'!G69-'2019-2022'!T$2)/'2019-2022'!T$3</f>
        <v>2.919627286294725</v>
      </c>
      <c r="H67" s="22">
        <f>('2019-2022'!H69-'2019-2022'!U$2)/'2019-2022'!U$3</f>
        <v>-1.4573253446500412</v>
      </c>
      <c r="I67" s="22">
        <f>('2019-2022'!I69-'2019-2022'!V$2)/'2019-2022'!V$3</f>
        <v>-1.4510788670108972</v>
      </c>
      <c r="J67" s="22">
        <f>('2019-2022'!J69-'2019-2022'!W$2)/'2019-2022'!W$3</f>
        <v>-0.72487844376932808</v>
      </c>
      <c r="K67" s="22">
        <f>('2019-2022'!K69-'2019-2022'!X$2)/'2019-2022'!X$3</f>
        <v>-1.4991306638803821</v>
      </c>
      <c r="L67" s="22">
        <f>('2019-2022'!L69-'2019-2022'!Y$2)/'2019-2022'!Y$3</f>
        <v>-0.33607721579039512</v>
      </c>
      <c r="M67" s="22">
        <f>('2019-2022'!M69-'2019-2022'!Z$2)/'2019-2022'!Z$3</f>
        <v>1.3495447736186825</v>
      </c>
      <c r="N67" s="22">
        <f>('2019-2022'!N69-'2019-2022'!AA$2)/'2019-2022'!AA$3</f>
        <v>1.0735583088131171</v>
      </c>
      <c r="O67" s="22">
        <f>('2019-2022'!O69-'2019-2022'!AB$2)/'2019-2022'!AB$3</f>
        <v>-0.97892672386273782</v>
      </c>
      <c r="P67" s="22">
        <f>('2019-2022'!P69-'2019-2022'!AC$2)/'2019-2022'!AC$3</f>
        <v>3.5511572901859169E-2</v>
      </c>
    </row>
    <row r="68" spans="1:16">
      <c r="A68" s="4" t="s">
        <v>21</v>
      </c>
      <c r="B68" s="5">
        <v>2019</v>
      </c>
      <c r="C68" s="14" t="s">
        <v>56</v>
      </c>
      <c r="D68" s="14" t="s">
        <v>54</v>
      </c>
      <c r="E68" s="22">
        <f>('2019-2022'!E70-'2019-2022'!R$2)/'2019-2022'!R$3</f>
        <v>-0.11681913028245375</v>
      </c>
      <c r="F68" s="22">
        <f>('2019-2022'!F70-'2019-2022'!S$2)/'2019-2022'!S$3</f>
        <v>-1.0628920766571142</v>
      </c>
      <c r="G68" s="22">
        <f>('2019-2022'!G70-'2019-2022'!T$2)/'2019-2022'!T$3</f>
        <v>1.3169407894406151</v>
      </c>
      <c r="H68" s="22">
        <f>('2019-2022'!H70-'2019-2022'!U$2)/'2019-2022'!U$3</f>
        <v>-0.52783034391342321</v>
      </c>
      <c r="I68" s="22">
        <f>('2019-2022'!I70-'2019-2022'!V$2)/'2019-2022'!V$3</f>
        <v>-3.2927265837452195E-2</v>
      </c>
      <c r="J68" s="22">
        <f>('2019-2022'!J70-'2019-2022'!W$2)/'2019-2022'!W$3</f>
        <v>1.1627462179675576</v>
      </c>
      <c r="K68" s="22">
        <f>('2019-2022'!K70-'2019-2022'!X$2)/'2019-2022'!X$3</f>
        <v>1.4689914053796602</v>
      </c>
      <c r="L68" s="22">
        <f>('2019-2022'!L70-'2019-2022'!Y$2)/'2019-2022'!Y$3</f>
        <v>0.72399476312405775</v>
      </c>
      <c r="M68" s="22">
        <f>('2019-2022'!M70-'2019-2022'!Z$2)/'2019-2022'!Z$3</f>
        <v>-0.23905604974025246</v>
      </c>
      <c r="N68" s="22">
        <f>('2019-2022'!N70-'2019-2022'!AA$2)/'2019-2022'!AA$3</f>
        <v>1.2498873192487259</v>
      </c>
      <c r="O68" s="22">
        <f>('2019-2022'!O70-'2019-2022'!AB$2)/'2019-2022'!AB$3</f>
        <v>1.0112558645696188</v>
      </c>
      <c r="P68" s="22">
        <f>('2019-2022'!P70-'2019-2022'!AC$2)/'2019-2022'!AC$3</f>
        <v>0.17465138216270687</v>
      </c>
    </row>
    <row r="69" spans="1:16">
      <c r="A69" s="4" t="s">
        <v>21</v>
      </c>
      <c r="B69" s="5">
        <v>2020</v>
      </c>
      <c r="C69" s="14" t="s">
        <v>56</v>
      </c>
      <c r="D69" s="14" t="s">
        <v>54</v>
      </c>
      <c r="E69" s="22">
        <f>('2019-2022'!E71-'2019-2022'!R$2)/'2019-2022'!R$3</f>
        <v>0.52159554380345174</v>
      </c>
      <c r="F69" s="22">
        <f>('2019-2022'!F71-'2019-2022'!S$2)/'2019-2022'!S$3</f>
        <v>-0.36478910473525178</v>
      </c>
      <c r="G69" s="22">
        <f>('2019-2022'!G71-'2019-2022'!T$2)/'2019-2022'!T$3</f>
        <v>1.7747307553074418</v>
      </c>
      <c r="H69" s="22">
        <f>('2019-2022'!H71-'2019-2022'!U$2)/'2019-2022'!U$3</f>
        <v>0.36927916995320303</v>
      </c>
      <c r="I69" s="22">
        <f>('2019-2022'!I71-'2019-2022'!V$2)/'2019-2022'!V$3</f>
        <v>0.49045244637782126</v>
      </c>
      <c r="J69" s="22">
        <f>('2019-2022'!J71-'2019-2022'!W$2)/'2019-2022'!W$3</f>
        <v>0.66974689489071271</v>
      </c>
      <c r="K69" s="22">
        <f>('2019-2022'!K71-'2019-2022'!X$2)/'2019-2022'!X$3</f>
        <v>1.5815827341729334</v>
      </c>
      <c r="L69" s="22">
        <f>('2019-2022'!L71-'2019-2022'!Y$2)/'2019-2022'!Y$3</f>
        <v>5.9489297308115807E-2</v>
      </c>
      <c r="M69" s="22">
        <f>('2019-2022'!M71-'2019-2022'!Z$2)/'2019-2022'!Z$3</f>
        <v>-0.47567921930799911</v>
      </c>
      <c r="N69" s="22">
        <f>('2019-2022'!N71-'2019-2022'!AA$2)/'2019-2022'!AA$3</f>
        <v>1.0730844184399646</v>
      </c>
      <c r="O69" s="22">
        <f>('2019-2022'!O71-'2019-2022'!AB$2)/'2019-2022'!AB$3</f>
        <v>1.1130957431684059</v>
      </c>
      <c r="P69" s="22">
        <f>('2019-2022'!P71-'2019-2022'!AC$2)/'2019-2022'!AC$3</f>
        <v>0.24830258014658679</v>
      </c>
    </row>
    <row r="70" spans="1:16">
      <c r="A70" s="4" t="s">
        <v>21</v>
      </c>
      <c r="B70" s="5">
        <v>2021</v>
      </c>
      <c r="C70" s="14" t="s">
        <v>56</v>
      </c>
      <c r="D70" s="14" t="s">
        <v>54</v>
      </c>
      <c r="E70" s="22">
        <f>('2019-2022'!E72-'2019-2022'!R$2)/'2019-2022'!R$3</f>
        <v>0.20071430192028311</v>
      </c>
      <c r="F70" s="22">
        <f>('2019-2022'!F72-'2019-2022'!S$2)/'2019-2022'!S$3</f>
        <v>-0.60472889686795062</v>
      </c>
      <c r="G70" s="22">
        <f>('2019-2022'!G72-'2019-2022'!T$2)/'2019-2022'!T$3</f>
        <v>1.5444593963703699</v>
      </c>
      <c r="H70" s="22">
        <f>('2019-2022'!H72-'2019-2022'!U$2)/'2019-2022'!U$3</f>
        <v>-1.5410935082970938E-2</v>
      </c>
      <c r="I70" s="22">
        <f>('2019-2022'!I72-'2019-2022'!V$2)/'2019-2022'!V$3</f>
        <v>0.20407322810370288</v>
      </c>
      <c r="J70" s="22">
        <f>('2019-2022'!J72-'2019-2022'!W$2)/'2019-2022'!W$3</f>
        <v>0.85155845285164067</v>
      </c>
      <c r="K70" s="22">
        <f>('2019-2022'!K72-'2019-2022'!X$2)/'2019-2022'!X$3</f>
        <v>1.7285587802875981</v>
      </c>
      <c r="L70" s="22">
        <f>('2019-2022'!L72-'2019-2022'!Y$2)/'2019-2022'!Y$3</f>
        <v>0.28467861460409638</v>
      </c>
      <c r="M70" s="22">
        <f>('2019-2022'!M72-'2019-2022'!Z$2)/'2019-2022'!Z$3</f>
        <v>-0.69197888601507607</v>
      </c>
      <c r="N70" s="22">
        <f>('2019-2022'!N72-'2019-2022'!AA$2)/'2019-2022'!AA$3</f>
        <v>1.1547397921993714</v>
      </c>
      <c r="O70" s="22">
        <f>('2019-2022'!O72-'2019-2022'!AB$2)/'2019-2022'!AB$3</f>
        <v>1.0621243922619668</v>
      </c>
      <c r="P70" s="22">
        <f>('2019-2022'!P72-'2019-2022'!AC$2)/'2019-2022'!AC$3</f>
        <v>0.24683731220799465</v>
      </c>
    </row>
    <row r="71" spans="1:16">
      <c r="A71" s="4" t="s">
        <v>21</v>
      </c>
      <c r="B71" s="5">
        <v>2022</v>
      </c>
      <c r="C71" s="14" t="s">
        <v>56</v>
      </c>
      <c r="D71" s="14" t="s">
        <v>54</v>
      </c>
      <c r="E71" s="22">
        <f>('2019-2022'!E73-'2019-2022'!R$2)/'2019-2022'!R$3</f>
        <v>-0.62792031906604129</v>
      </c>
      <c r="F71" s="22">
        <f>('2019-2022'!F73-'2019-2022'!S$2)/'2019-2022'!S$3</f>
        <v>-1.3287611825962302</v>
      </c>
      <c r="G71" s="22">
        <f>('2019-2022'!G73-'2019-2022'!T$2)/'2019-2022'!T$3</f>
        <v>0.60596080924928852</v>
      </c>
      <c r="H71" s="22">
        <f>('2019-2022'!H73-'2019-2022'!U$2)/'2019-2022'!U$3</f>
        <v>-0.74956476186310161</v>
      </c>
      <c r="I71" s="22">
        <f>('2019-2022'!I73-'2019-2022'!V$2)/'2019-2022'!V$3</f>
        <v>-0.6592108445547834</v>
      </c>
      <c r="J71" s="22">
        <f>('2019-2022'!J73-'2019-2022'!W$2)/'2019-2022'!W$3</f>
        <v>0.38364272940956839</v>
      </c>
      <c r="K71" s="22">
        <f>('2019-2022'!K73-'2019-2022'!X$2)/'2019-2022'!X$3</f>
        <v>1.1139222166132066</v>
      </c>
      <c r="L71" s="22">
        <f>('2019-2022'!L73-'2019-2022'!Y$2)/'2019-2022'!Y$3</f>
        <v>0.8441366265855933</v>
      </c>
      <c r="M71" s="22">
        <f>('2019-2022'!M73-'2019-2022'!Z$2)/'2019-2022'!Z$3</f>
        <v>-0.36823598160199106</v>
      </c>
      <c r="N71" s="22">
        <f>('2019-2022'!N73-'2019-2022'!AA$2)/'2019-2022'!AA$3</f>
        <v>1.5349163037243196</v>
      </c>
      <c r="O71" s="22">
        <f>('2019-2022'!O73-'2019-2022'!AB$2)/'2019-2022'!AB$3</f>
        <v>1.097819816819404</v>
      </c>
      <c r="P71" s="22">
        <f>('2019-2022'!P73-'2019-2022'!AC$2)/'2019-2022'!AC$3</f>
        <v>0.30330642154521747</v>
      </c>
    </row>
    <row r="72" spans="1:16">
      <c r="A72" s="4" t="s">
        <v>22</v>
      </c>
      <c r="B72" s="5">
        <v>2019</v>
      </c>
      <c r="C72" s="14" t="s">
        <v>56</v>
      </c>
      <c r="D72" s="14" t="s">
        <v>54</v>
      </c>
      <c r="E72" s="22">
        <f>('2019-2022'!E74-'2019-2022'!R$2)/'2019-2022'!R$3</f>
        <v>-0.4796862464878705</v>
      </c>
      <c r="F72" s="22">
        <f>('2019-2022'!F74-'2019-2022'!S$2)/'2019-2022'!S$3</f>
        <v>-0.77249853763372156</v>
      </c>
      <c r="G72" s="22">
        <f>('2019-2022'!G74-'2019-2022'!T$2)/'2019-2022'!T$3</f>
        <v>-1.1975790669422233</v>
      </c>
      <c r="H72" s="22">
        <f>('2019-2022'!H74-'2019-2022'!U$2)/'2019-2022'!U$3</f>
        <v>-0.42831595329882405</v>
      </c>
      <c r="I72" s="22">
        <f>('2019-2022'!I74-'2019-2022'!V$2)/'2019-2022'!V$3</f>
        <v>-0.49992905726729286</v>
      </c>
      <c r="J72" s="22">
        <f>('2019-2022'!J74-'2019-2022'!W$2)/'2019-2022'!W$3</f>
        <v>1.6765761187106147</v>
      </c>
      <c r="K72" s="22">
        <f>('2019-2022'!K74-'2019-2022'!X$2)/'2019-2022'!X$3</f>
        <v>0.53891610480083474</v>
      </c>
      <c r="L72" s="22">
        <f>('2019-2022'!L74-'2019-2022'!Y$2)/'2019-2022'!Y$3</f>
        <v>2.0804526747812644</v>
      </c>
      <c r="M72" s="22">
        <f>('2019-2022'!M74-'2019-2022'!Z$2)/'2019-2022'!Z$3</f>
        <v>-0.22907007162620052</v>
      </c>
      <c r="N72" s="22">
        <f>('2019-2022'!N74-'2019-2022'!AA$2)/'2019-2022'!AA$3</f>
        <v>1.1548994411518947</v>
      </c>
      <c r="O72" s="22">
        <f>('2019-2022'!O74-'2019-2022'!AB$2)/'2019-2022'!AB$3</f>
        <v>0.3481556123210503</v>
      </c>
      <c r="P72" s="22">
        <f>('2019-2022'!P74-'2019-2022'!AC$2)/'2019-2022'!AC$3</f>
        <v>-0.65483481263746879</v>
      </c>
    </row>
    <row r="73" spans="1:16">
      <c r="A73" s="4" t="s">
        <v>22</v>
      </c>
      <c r="B73" s="5">
        <v>2020</v>
      </c>
      <c r="C73" s="14" t="s">
        <v>56</v>
      </c>
      <c r="D73" s="14" t="s">
        <v>54</v>
      </c>
      <c r="E73" s="22">
        <f>('2019-2022'!E75-'2019-2022'!R$2)/'2019-2022'!R$3</f>
        <v>0.39969284472700117</v>
      </c>
      <c r="F73" s="22">
        <f>('2019-2022'!F75-'2019-2022'!S$2)/'2019-2022'!S$3</f>
        <v>-0.43367254263268679</v>
      </c>
      <c r="G73" s="22">
        <f>('2019-2022'!G75-'2019-2022'!T$2)/'2019-2022'!T$3</f>
        <v>-0.17529755992766211</v>
      </c>
      <c r="H73" s="22">
        <f>('2019-2022'!H75-'2019-2022'!U$2)/'2019-2022'!U$3</f>
        <v>0.16704664213204162</v>
      </c>
      <c r="I73" s="22">
        <f>('2019-2022'!I75-'2019-2022'!V$2)/'2019-2022'!V$3</f>
        <v>0.50615695396573279</v>
      </c>
      <c r="J73" s="22">
        <f>('2019-2022'!J75-'2019-2022'!W$2)/'2019-2022'!W$3</f>
        <v>1.9111713948107603</v>
      </c>
      <c r="K73" s="22">
        <f>('2019-2022'!K75-'2019-2022'!X$2)/'2019-2022'!X$3</f>
        <v>0.36802326754656933</v>
      </c>
      <c r="L73" s="22">
        <f>('2019-2022'!L75-'2019-2022'!Y$2)/'2019-2022'!Y$3</f>
        <v>0.38162128778756549</v>
      </c>
      <c r="M73" s="22">
        <f>('2019-2022'!M75-'2019-2022'!Z$2)/'2019-2022'!Z$3</f>
        <v>0.32807523625126844</v>
      </c>
      <c r="N73" s="22">
        <f>('2019-2022'!N75-'2019-2022'!AA$2)/'2019-2022'!AA$3</f>
        <v>2.038912793244283</v>
      </c>
      <c r="O73" s="22">
        <f>('2019-2022'!O75-'2019-2022'!AB$2)/'2019-2022'!AB$3</f>
        <v>1.6950093291539763</v>
      </c>
      <c r="P73" s="22">
        <f>('2019-2022'!P75-'2019-2022'!AC$2)/'2019-2022'!AC$3</f>
        <v>-0.66314248480192328</v>
      </c>
    </row>
    <row r="74" spans="1:16">
      <c r="A74" s="4" t="s">
        <v>22</v>
      </c>
      <c r="B74" s="5">
        <v>2021</v>
      </c>
      <c r="C74" s="14" t="s">
        <v>56</v>
      </c>
      <c r="D74" s="14" t="s">
        <v>54</v>
      </c>
      <c r="E74" s="22">
        <f>('2019-2022'!E76-'2019-2022'!R$2)/'2019-2022'!R$3</f>
        <v>0.58835777436851899</v>
      </c>
      <c r="F74" s="22">
        <f>('2019-2022'!F76-'2019-2022'!S$2)/'2019-2022'!S$3</f>
        <v>-0.40605324607148696</v>
      </c>
      <c r="G74" s="22">
        <f>('2019-2022'!G76-'2019-2022'!T$2)/'2019-2022'!T$3</f>
        <v>-0.45018718842751931</v>
      </c>
      <c r="H74" s="22">
        <f>('2019-2022'!H76-'2019-2022'!U$2)/'2019-2022'!U$3</f>
        <v>0.43366029572569886</v>
      </c>
      <c r="I74" s="22">
        <f>('2019-2022'!I76-'2019-2022'!V$2)/'2019-2022'!V$3</f>
        <v>0.64196110517128768</v>
      </c>
      <c r="J74" s="22">
        <f>('2019-2022'!J76-'2019-2022'!W$2)/'2019-2022'!W$3</f>
        <v>2.1886612179945284</v>
      </c>
      <c r="K74" s="22">
        <f>('2019-2022'!K76-'2019-2022'!X$2)/'2019-2022'!X$3</f>
        <v>-0.25766847877378191</v>
      </c>
      <c r="L74" s="22">
        <f>('2019-2022'!L76-'2019-2022'!Y$2)/'2019-2022'!Y$3</f>
        <v>0.42209640700257939</v>
      </c>
      <c r="M74" s="22">
        <f>('2019-2022'!M76-'2019-2022'!Z$2)/'2019-2022'!Z$3</f>
        <v>0.84296937402581507</v>
      </c>
      <c r="N74" s="22">
        <f>('2019-2022'!N76-'2019-2022'!AA$2)/'2019-2022'!AA$3</f>
        <v>2.2976301239026391</v>
      </c>
      <c r="O74" s="22">
        <f>('2019-2022'!O76-'2019-2022'!AB$2)/'2019-2022'!AB$3</f>
        <v>1.7993255852901424</v>
      </c>
      <c r="P74" s="22">
        <f>('2019-2022'!P76-'2019-2022'!AC$2)/'2019-2022'!AC$3</f>
        <v>-0.37158380759917486</v>
      </c>
    </row>
    <row r="75" spans="1:16">
      <c r="A75" s="4" t="s">
        <v>22</v>
      </c>
      <c r="B75" s="5">
        <v>2022</v>
      </c>
      <c r="C75" s="14" t="s">
        <v>56</v>
      </c>
      <c r="D75" s="14" t="s">
        <v>54</v>
      </c>
      <c r="E75" s="22">
        <f>('2019-2022'!E77-'2019-2022'!R$2)/'2019-2022'!R$3</f>
        <v>0.57431067790781609</v>
      </c>
      <c r="F75" s="22">
        <f>('2019-2022'!F77-'2019-2022'!S$2)/'2019-2022'!S$3</f>
        <v>-2.6678535349159493E-2</v>
      </c>
      <c r="G75" s="22">
        <f>('2019-2022'!G77-'2019-2022'!T$2)/'2019-2022'!T$3</f>
        <v>-0.8118779888748362</v>
      </c>
      <c r="H75" s="22">
        <f>('2019-2022'!H77-'2019-2022'!U$2)/'2019-2022'!U$3</f>
        <v>0.86929616240637519</v>
      </c>
      <c r="I75" s="22">
        <f>('2019-2022'!I77-'2019-2022'!V$2)/'2019-2022'!V$3</f>
        <v>0.36977924777888371</v>
      </c>
      <c r="J75" s="22">
        <f>('2019-2022'!J77-'2019-2022'!W$2)/'2019-2022'!W$3</f>
        <v>2.0262285851180168</v>
      </c>
      <c r="K75" s="22">
        <f>('2019-2022'!K77-'2019-2022'!X$2)/'2019-2022'!X$3</f>
        <v>0.57219313827292095</v>
      </c>
      <c r="L75" s="22">
        <f>('2019-2022'!L77-'2019-2022'!Y$2)/'2019-2022'!Y$3</f>
        <v>2.4599429133366142</v>
      </c>
      <c r="M75" s="22">
        <f>('2019-2022'!M77-'2019-2022'!Z$2)/'2019-2022'!Z$3</f>
        <v>1.3320799472796623</v>
      </c>
      <c r="N75" s="22">
        <f>('2019-2022'!N77-'2019-2022'!AA$2)/'2019-2022'!AA$3</f>
        <v>1.9866086960204481</v>
      </c>
      <c r="O75" s="22">
        <f>('2019-2022'!O77-'2019-2022'!AB$2)/'2019-2022'!AB$3</f>
        <v>1.8339826374708144</v>
      </c>
      <c r="P75" s="22">
        <f>('2019-2022'!P77-'2019-2022'!AC$2)/'2019-2022'!AC$3</f>
        <v>-0.14510921567884041</v>
      </c>
    </row>
    <row r="76" spans="1:16">
      <c r="A76" s="4" t="s">
        <v>23</v>
      </c>
      <c r="B76" s="5">
        <v>2019</v>
      </c>
      <c r="C76" s="14" t="s">
        <v>55</v>
      </c>
      <c r="D76" s="14" t="s">
        <v>54</v>
      </c>
      <c r="E76" s="22">
        <f>('2019-2022'!E78-'2019-2022'!R$2)/'2019-2022'!R$3</f>
        <v>0.57451512807530991</v>
      </c>
      <c r="F76" s="22">
        <f>('2019-2022'!F78-'2019-2022'!S$2)/'2019-2022'!S$3</f>
        <v>8.0033607025329981E-2</v>
      </c>
      <c r="G76" s="22">
        <f>('2019-2022'!G78-'2019-2022'!T$2)/'2019-2022'!T$3</f>
        <v>-7.1549506092293186E-2</v>
      </c>
      <c r="H76" s="22">
        <f>('2019-2022'!H78-'2019-2022'!U$2)/'2019-2022'!U$3</f>
        <v>0.78197576198981467</v>
      </c>
      <c r="I76" s="22">
        <f>('2019-2022'!I78-'2019-2022'!V$2)/'2019-2022'!V$3</f>
        <v>0.41835346415711228</v>
      </c>
      <c r="J76" s="22">
        <f>('2019-2022'!J78-'2019-2022'!W$2)/'2019-2022'!W$3</f>
        <v>-0.36629656538283684</v>
      </c>
      <c r="K76" s="22">
        <f>('2019-2022'!K78-'2019-2022'!X$2)/'2019-2022'!X$3</f>
        <v>-0.45682604149859374</v>
      </c>
      <c r="L76" s="22">
        <f>('2019-2022'!L78-'2019-2022'!Y$2)/'2019-2022'!Y$3</f>
        <v>0.90724670122272999</v>
      </c>
      <c r="M76" s="22">
        <f>('2019-2022'!M78-'2019-2022'!Z$2)/'2019-2022'!Z$3</f>
        <v>5.368229801750923E-3</v>
      </c>
      <c r="N76" s="22">
        <f>('2019-2022'!N78-'2019-2022'!AA$2)/'2019-2022'!AA$3</f>
        <v>-0.84428424080381292</v>
      </c>
      <c r="O76" s="22">
        <f>('2019-2022'!O78-'2019-2022'!AB$2)/'2019-2022'!AB$3</f>
        <v>-1.4349481969970819</v>
      </c>
      <c r="P76" s="22">
        <f>('2019-2022'!P78-'2019-2022'!AC$2)/'2019-2022'!AC$3</f>
        <v>9.0206886743635362E-2</v>
      </c>
    </row>
    <row r="77" spans="1:16">
      <c r="A77" s="4" t="s">
        <v>23</v>
      </c>
      <c r="B77" s="5">
        <v>2020</v>
      </c>
      <c r="C77" s="14" t="s">
        <v>55</v>
      </c>
      <c r="D77" s="14" t="s">
        <v>54</v>
      </c>
      <c r="E77" s="22">
        <f>('2019-2022'!E79-'2019-2022'!R$2)/'2019-2022'!R$3</f>
        <v>0.62918796120300535</v>
      </c>
      <c r="F77" s="22">
        <f>('2019-2022'!F79-'2019-2022'!S$2)/'2019-2022'!S$3</f>
        <v>1.9052279654765369E-2</v>
      </c>
      <c r="G77" s="22">
        <f>('2019-2022'!G79-'2019-2022'!T$2)/'2019-2022'!T$3</f>
        <v>0.2741577771726747</v>
      </c>
      <c r="H77" s="22">
        <f>('2019-2022'!H79-'2019-2022'!U$2)/'2019-2022'!U$3</f>
        <v>0.88730677028463978</v>
      </c>
      <c r="I77" s="22">
        <f>('2019-2022'!I79-'2019-2022'!V$2)/'2019-2022'!V$3</f>
        <v>0.44666679443972707</v>
      </c>
      <c r="J77" s="22">
        <f>('2019-2022'!J79-'2019-2022'!W$2)/'2019-2022'!W$3</f>
        <v>-0.13915131396975886</v>
      </c>
      <c r="K77" s="22">
        <f>('2019-2022'!K79-'2019-2022'!X$2)/'2019-2022'!X$3</f>
        <v>-0.45247213016647231</v>
      </c>
      <c r="L77" s="22">
        <f>('2019-2022'!L79-'2019-2022'!Y$2)/'2019-2022'!Y$3</f>
        <v>1.3621824553439199</v>
      </c>
      <c r="M77" s="22">
        <f>('2019-2022'!M79-'2019-2022'!Z$2)/'2019-2022'!Z$3</f>
        <v>0.13458089346378296</v>
      </c>
      <c r="N77" s="22">
        <f>('2019-2022'!N79-'2019-2022'!AA$2)/'2019-2022'!AA$3</f>
        <v>-0.5860858169938008</v>
      </c>
      <c r="O77" s="22">
        <f>('2019-2022'!O79-'2019-2022'!AB$2)/'2019-2022'!AB$3</f>
        <v>-1.1201614422907702</v>
      </c>
      <c r="P77" s="22">
        <f>('2019-2022'!P79-'2019-2022'!AC$2)/'2019-2022'!AC$3</f>
        <v>-6.975968839345581E-2</v>
      </c>
    </row>
    <row r="78" spans="1:16">
      <c r="A78" s="4" t="s">
        <v>23</v>
      </c>
      <c r="B78" s="5">
        <v>2021</v>
      </c>
      <c r="C78" s="14" t="s">
        <v>55</v>
      </c>
      <c r="D78" s="14" t="s">
        <v>54</v>
      </c>
      <c r="E78" s="22">
        <f>('2019-2022'!E80-'2019-2022'!R$2)/'2019-2022'!R$3</f>
        <v>-0.78017086936284341</v>
      </c>
      <c r="F78" s="22">
        <f>('2019-2022'!F80-'2019-2022'!S$2)/'2019-2022'!S$3</f>
        <v>-1.1445508904442308</v>
      </c>
      <c r="G78" s="22">
        <f>('2019-2022'!G80-'2019-2022'!T$2)/'2019-2022'!T$3</f>
        <v>0.38179033186455691</v>
      </c>
      <c r="H78" s="22">
        <f>('2019-2022'!H80-'2019-2022'!U$2)/'2019-2022'!U$3</f>
        <v>-1.0151017442877501</v>
      </c>
      <c r="I78" s="22">
        <f>('2019-2022'!I80-'2019-2022'!V$2)/'2019-2022'!V$3</f>
        <v>-0.65720148450791949</v>
      </c>
      <c r="J78" s="22">
        <f>('2019-2022'!J80-'2019-2022'!W$2)/'2019-2022'!W$3</f>
        <v>-1.1365440326554574</v>
      </c>
      <c r="K78" s="22">
        <f>('2019-2022'!K80-'2019-2022'!X$2)/'2019-2022'!X$3</f>
        <v>-1.2037562059865903</v>
      </c>
      <c r="L78" s="22">
        <f>('2019-2022'!L80-'2019-2022'!Y$2)/'2019-2022'!Y$3</f>
        <v>0.14690911322336231</v>
      </c>
      <c r="M78" s="22">
        <f>('2019-2022'!M80-'2019-2022'!Z$2)/'2019-2022'!Z$3</f>
        <v>0.99657294136226193</v>
      </c>
      <c r="N78" s="22">
        <f>('2019-2022'!N80-'2019-2022'!AA$2)/'2019-2022'!AA$3</f>
        <v>-0.98458654352487507</v>
      </c>
      <c r="O78" s="22">
        <f>('2019-2022'!O80-'2019-2022'!AB$2)/'2019-2022'!AB$3</f>
        <v>-1.6778314505964951</v>
      </c>
      <c r="P78" s="22">
        <f>('2019-2022'!P80-'2019-2022'!AC$2)/'2019-2022'!AC$3</f>
        <v>0.10920478719912292</v>
      </c>
    </row>
    <row r="79" spans="1:16">
      <c r="A79" s="4" t="s">
        <v>23</v>
      </c>
      <c r="B79" s="5">
        <v>2022</v>
      </c>
      <c r="C79" s="14" t="s">
        <v>55</v>
      </c>
      <c r="D79" s="14" t="s">
        <v>54</v>
      </c>
      <c r="E79" s="22">
        <f>('2019-2022'!E81-'2019-2022'!R$2)/'2019-2022'!R$3</f>
        <v>-0.11713664371918259</v>
      </c>
      <c r="F79" s="22">
        <f>('2019-2022'!F81-'2019-2022'!S$2)/'2019-2022'!S$3</f>
        <v>-0.76930816278944714</v>
      </c>
      <c r="G79" s="22">
        <f>('2019-2022'!G81-'2019-2022'!T$2)/'2019-2022'!T$3</f>
        <v>-0.27369630130598804</v>
      </c>
      <c r="H79" s="22">
        <f>('2019-2022'!H81-'2019-2022'!U$2)/'2019-2022'!U$3</f>
        <v>-0.29855749395591136</v>
      </c>
      <c r="I79" s="22">
        <f>('2019-2022'!I81-'2019-2022'!V$2)/'2019-2022'!V$3</f>
        <v>-4.6381872189345516E-2</v>
      </c>
      <c r="J79" s="22">
        <f>('2019-2022'!J81-'2019-2022'!W$2)/'2019-2022'!W$3</f>
        <v>-1.0624061261407942</v>
      </c>
      <c r="K79" s="22">
        <f>('2019-2022'!K81-'2019-2022'!X$2)/'2019-2022'!X$3</f>
        <v>-0.87967520521602882</v>
      </c>
      <c r="L79" s="22">
        <f>('2019-2022'!L81-'2019-2022'!Y$2)/'2019-2022'!Y$3</f>
        <v>0.51483641499783184</v>
      </c>
      <c r="M79" s="22">
        <f>('2019-2022'!M81-'2019-2022'!Z$2)/'2019-2022'!Z$3</f>
        <v>0.81110456283309085</v>
      </c>
      <c r="N79" s="22">
        <f>('2019-2022'!N81-'2019-2022'!AA$2)/'2019-2022'!AA$3</f>
        <v>-1.1972124062096328</v>
      </c>
      <c r="O79" s="22">
        <f>('2019-2022'!O81-'2019-2022'!AB$2)/'2019-2022'!AB$3</f>
        <v>-0.91320118849500431</v>
      </c>
      <c r="P79" s="22">
        <f>('2019-2022'!P81-'2019-2022'!AC$2)/'2019-2022'!AC$3</f>
        <v>8.8759703496564465E-2</v>
      </c>
    </row>
    <row r="80" spans="1:16">
      <c r="A80" s="4" t="s">
        <v>24</v>
      </c>
      <c r="B80" s="5">
        <v>2019</v>
      </c>
      <c r="C80" s="14" t="s">
        <v>55</v>
      </c>
      <c r="D80" s="14" t="s">
        <v>54</v>
      </c>
      <c r="E80" s="22">
        <f>('2019-2022'!E82-'2019-2022'!R$2)/'2019-2022'!R$3</f>
        <v>-0.54096629366629356</v>
      </c>
      <c r="F80" s="22">
        <f>('2019-2022'!F82-'2019-2022'!S$2)/'2019-2022'!S$3</f>
        <v>-1.5369666192159528</v>
      </c>
      <c r="G80" s="22">
        <f>('2019-2022'!G82-'2019-2022'!T$2)/'2019-2022'!T$3</f>
        <v>0.26750529500321901</v>
      </c>
      <c r="H80" s="22">
        <f>('2019-2022'!H82-'2019-2022'!U$2)/'2019-2022'!U$3</f>
        <v>-1.113756535357582</v>
      </c>
      <c r="I80" s="22">
        <f>('2019-2022'!I82-'2019-2022'!V$2)/'2019-2022'!V$3</f>
        <v>-0.22576204502972202</v>
      </c>
      <c r="J80" s="22">
        <f>('2019-2022'!J82-'2019-2022'!W$2)/'2019-2022'!W$3</f>
        <v>-6.591897095677221E-2</v>
      </c>
      <c r="K80" s="22">
        <f>('2019-2022'!K82-'2019-2022'!X$2)/'2019-2022'!X$3</f>
        <v>-0.65980833532961147</v>
      </c>
      <c r="L80" s="22">
        <f>('2019-2022'!L82-'2019-2022'!Y$2)/'2019-2022'!Y$3</f>
        <v>0.58743193740092348</v>
      </c>
      <c r="M80" s="22">
        <f>('2019-2022'!M82-'2019-2022'!Z$2)/'2019-2022'!Z$3</f>
        <v>-0.21551834999917915</v>
      </c>
      <c r="N80" s="22">
        <f>('2019-2022'!N82-'2019-2022'!AA$2)/'2019-2022'!AA$3</f>
        <v>-0.23283605835500767</v>
      </c>
      <c r="O80" s="22">
        <f>('2019-2022'!O82-'2019-2022'!AB$2)/'2019-2022'!AB$3</f>
        <v>0.75071643542824695</v>
      </c>
      <c r="P80" s="22">
        <f>('2019-2022'!P82-'2019-2022'!AC$2)/'2019-2022'!AC$3</f>
        <v>0.30440659627527955</v>
      </c>
    </row>
    <row r="81" spans="1:16">
      <c r="A81" s="4" t="s">
        <v>24</v>
      </c>
      <c r="B81" s="5">
        <v>2020</v>
      </c>
      <c r="C81" s="14" t="s">
        <v>55</v>
      </c>
      <c r="D81" s="14" t="s">
        <v>54</v>
      </c>
      <c r="E81" s="22">
        <f>('2019-2022'!E83-'2019-2022'!R$2)/'2019-2022'!R$3</f>
        <v>-0.73386618264635584</v>
      </c>
      <c r="F81" s="22">
        <f>('2019-2022'!F83-'2019-2022'!S$2)/'2019-2022'!S$3</f>
        <v>-1.4208028579084677</v>
      </c>
      <c r="G81" s="22">
        <f>('2019-2022'!G83-'2019-2022'!T$2)/'2019-2022'!T$3</f>
        <v>0.68147665202308383</v>
      </c>
      <c r="H81" s="22">
        <f>('2019-2022'!H83-'2019-2022'!U$2)/'2019-2022'!U$3</f>
        <v>-1.1630482065440928</v>
      </c>
      <c r="I81" s="22">
        <f>('2019-2022'!I83-'2019-2022'!V$2)/'2019-2022'!V$3</f>
        <v>-0.48455635173725808</v>
      </c>
      <c r="J81" s="22">
        <f>('2019-2022'!J83-'2019-2022'!W$2)/'2019-2022'!W$3</f>
        <v>6.692928381446353E-2</v>
      </c>
      <c r="K81" s="22">
        <f>('2019-2022'!K83-'2019-2022'!X$2)/'2019-2022'!X$3</f>
        <v>-0.86763845252561222</v>
      </c>
      <c r="L81" s="22">
        <f>('2019-2022'!L83-'2019-2022'!Y$2)/'2019-2022'!Y$3</f>
        <v>0.41812100127231483</v>
      </c>
      <c r="M81" s="22">
        <f>('2019-2022'!M83-'2019-2022'!Z$2)/'2019-2022'!Z$3</f>
        <v>0.2965901598879912</v>
      </c>
      <c r="N81" s="22">
        <f>('2019-2022'!N83-'2019-2022'!AA$2)/'2019-2022'!AA$3</f>
        <v>-0.5268482988297194</v>
      </c>
      <c r="O81" s="22">
        <f>('2019-2022'!O83-'2019-2022'!AB$2)/'2019-2022'!AB$3</f>
        <v>0.83768871496150976</v>
      </c>
      <c r="P81" s="22">
        <f>('2019-2022'!P83-'2019-2022'!AC$2)/'2019-2022'!AC$3</f>
        <v>0.21851124628078319</v>
      </c>
    </row>
    <row r="82" spans="1:16">
      <c r="A82" s="4" t="s">
        <v>24</v>
      </c>
      <c r="B82" s="5">
        <v>2021</v>
      </c>
      <c r="C82" s="14" t="s">
        <v>55</v>
      </c>
      <c r="D82" s="14" t="s">
        <v>54</v>
      </c>
      <c r="E82" s="22">
        <f>('2019-2022'!E84-'2019-2022'!R$2)/'2019-2022'!R$3</f>
        <v>-0.27248040369258858</v>
      </c>
      <c r="F82" s="22">
        <f>('2019-2022'!F84-'2019-2022'!S$2)/'2019-2022'!S$3</f>
        <v>0.14676420429147322</v>
      </c>
      <c r="G82" s="22">
        <f>('2019-2022'!G84-'2019-2022'!T$2)/'2019-2022'!T$3</f>
        <v>0.73008550119324445</v>
      </c>
      <c r="H82" s="22">
        <f>('2019-2022'!H84-'2019-2022'!U$2)/'2019-2022'!U$3</f>
        <v>-0.28139126092040151</v>
      </c>
      <c r="I82" s="22">
        <f>('2019-2022'!I84-'2019-2022'!V$2)/'2019-2022'!V$3</f>
        <v>-0.26849743353584266</v>
      </c>
      <c r="J82" s="22">
        <f>('2019-2022'!J84-'2019-2022'!W$2)/'2019-2022'!W$3</f>
        <v>8.0000991231011336E-3</v>
      </c>
      <c r="K82" s="22">
        <f>('2019-2022'!K84-'2019-2022'!X$2)/'2019-2022'!X$3</f>
        <v>-0.69121892415090602</v>
      </c>
      <c r="L82" s="22">
        <f>('2019-2022'!L84-'2019-2022'!Y$2)/'2019-2022'!Y$3</f>
        <v>0.19652302712337055</v>
      </c>
      <c r="M82" s="22">
        <f>('2019-2022'!M84-'2019-2022'!Z$2)/'2019-2022'!Z$3</f>
        <v>-8.2698587877654176E-2</v>
      </c>
      <c r="N82" s="22">
        <f>('2019-2022'!N84-'2019-2022'!AA$2)/'2019-2022'!AA$3</f>
        <v>-2.5931452295883742E-2</v>
      </c>
      <c r="O82" s="22">
        <f>('2019-2022'!O84-'2019-2022'!AB$2)/'2019-2022'!AB$3</f>
        <v>0.90690791244937285</v>
      </c>
      <c r="P82" s="22">
        <f>('2019-2022'!P84-'2019-2022'!AC$2)/'2019-2022'!AC$3</f>
        <v>0.22921452818374144</v>
      </c>
    </row>
    <row r="83" spans="1:16">
      <c r="A83" s="4" t="s">
        <v>24</v>
      </c>
      <c r="B83" s="5">
        <v>2022</v>
      </c>
      <c r="C83" s="14" t="s">
        <v>55</v>
      </c>
      <c r="D83" s="14" t="s">
        <v>54</v>
      </c>
      <c r="E83" s="22">
        <f>('2019-2022'!E85-'2019-2022'!R$2)/'2019-2022'!R$3</f>
        <v>-0.12401739078500258</v>
      </c>
      <c r="F83" s="22">
        <f>('2019-2022'!F85-'2019-2022'!S$2)/'2019-2022'!S$3</f>
        <v>-0.26455247823331063</v>
      </c>
      <c r="G83" s="22">
        <f>('2019-2022'!G85-'2019-2022'!T$2)/'2019-2022'!T$3</f>
        <v>0.34142015584265994</v>
      </c>
      <c r="H83" s="22">
        <f>('2019-2022'!H85-'2019-2022'!U$2)/'2019-2022'!U$3</f>
        <v>-0.25626185941314072</v>
      </c>
      <c r="I83" s="22">
        <f>('2019-2022'!I85-'2019-2022'!V$2)/'2019-2022'!V$3</f>
        <v>-5.7006206706812328E-2</v>
      </c>
      <c r="J83" s="22">
        <f>('2019-2022'!J85-'2019-2022'!W$2)/'2019-2022'!W$3</f>
        <v>0.29967285980879704</v>
      </c>
      <c r="K83" s="22">
        <f>('2019-2022'!K85-'2019-2022'!X$2)/'2019-2022'!X$3</f>
        <v>-0.62232962852612728</v>
      </c>
      <c r="L83" s="22">
        <f>('2019-2022'!L85-'2019-2022'!Y$2)/'2019-2022'!Y$3</f>
        <v>0.12035377432452288</v>
      </c>
      <c r="M83" s="22">
        <f>('2019-2022'!M85-'2019-2022'!Z$2)/'2019-2022'!Z$3</f>
        <v>0.37210518841678791</v>
      </c>
      <c r="N83" s="22">
        <f>('2019-2022'!N85-'2019-2022'!AA$2)/'2019-2022'!AA$3</f>
        <v>0.15748163656690722</v>
      </c>
      <c r="O83" s="22">
        <f>('2019-2022'!O85-'2019-2022'!AB$2)/'2019-2022'!AB$3</f>
        <v>1.1411720378954677</v>
      </c>
      <c r="P83" s="22">
        <f>('2019-2022'!P85-'2019-2022'!AC$2)/'2019-2022'!AC$3</f>
        <v>0.10376727795669902</v>
      </c>
    </row>
    <row r="84" spans="1:16">
      <c r="A84" s="4" t="s">
        <v>25</v>
      </c>
      <c r="B84" s="5">
        <v>2019</v>
      </c>
      <c r="C84" s="14" t="s">
        <v>60</v>
      </c>
      <c r="D84" s="14" t="s">
        <v>52</v>
      </c>
      <c r="E84" s="22">
        <f>('2019-2022'!E86-'2019-2022'!R$2)/'2019-2022'!R$3</f>
        <v>-0.45136250925599036</v>
      </c>
      <c r="F84" s="22">
        <f>('2019-2022'!F86-'2019-2022'!S$2)/'2019-2022'!S$3</f>
        <v>0.11233043455466923</v>
      </c>
      <c r="G84" s="22">
        <f>('2019-2022'!G86-'2019-2022'!T$2)/'2019-2022'!T$3</f>
        <v>0.60143989205988979</v>
      </c>
      <c r="H84" s="22">
        <f>('2019-2022'!H86-'2019-2022'!U$2)/'2019-2022'!U$3</f>
        <v>-0.51293478822104932</v>
      </c>
      <c r="I84" s="22">
        <f>('2019-2022'!I86-'2019-2022'!V$2)/'2019-2022'!V$3</f>
        <v>-0.3821511588899526</v>
      </c>
      <c r="J84" s="22">
        <f>('2019-2022'!J86-'2019-2022'!W$2)/'2019-2022'!W$3</f>
        <v>0.13183791083697149</v>
      </c>
      <c r="K84" s="22">
        <f>('2019-2022'!K86-'2019-2022'!X$2)/'2019-2022'!X$3</f>
        <v>-0.70453444001494736</v>
      </c>
      <c r="L84" s="22">
        <f>('2019-2022'!L86-'2019-2022'!Y$2)/'2019-2022'!Y$3</f>
        <v>-1.5755264483610778</v>
      </c>
      <c r="M84" s="22">
        <f>('2019-2022'!M86-'2019-2022'!Z$2)/'2019-2022'!Z$3</f>
        <v>0.11008266633488113</v>
      </c>
      <c r="N84" s="22">
        <f>('2019-2022'!N86-'2019-2022'!AA$2)/'2019-2022'!AA$3</f>
        <v>0.44606135702103344</v>
      </c>
      <c r="O84" s="22">
        <f>('2019-2022'!O86-'2019-2022'!AB$2)/'2019-2022'!AB$3</f>
        <v>0.58997957601501105</v>
      </c>
      <c r="P84" s="22">
        <f>('2019-2022'!P86-'2019-2022'!AC$2)/'2019-2022'!AC$3</f>
        <v>-0.7371258700142721</v>
      </c>
    </row>
    <row r="85" spans="1:16">
      <c r="A85" s="4" t="s">
        <v>25</v>
      </c>
      <c r="B85" s="5">
        <v>2021</v>
      </c>
      <c r="C85" s="14" t="s">
        <v>60</v>
      </c>
      <c r="D85" s="14" t="s">
        <v>52</v>
      </c>
      <c r="E85" s="22">
        <f>('2019-2022'!E88-'2019-2022'!R$2)/'2019-2022'!R$3</f>
        <v>0.62205960130154803</v>
      </c>
      <c r="F85" s="22">
        <f>('2019-2022'!F88-'2019-2022'!S$2)/'2019-2022'!S$3</f>
        <v>1.3331700599133185</v>
      </c>
      <c r="G85" s="22">
        <f>('2019-2022'!G88-'2019-2022'!T$2)/'2019-2022'!T$3</f>
        <v>0.58397245544660281</v>
      </c>
      <c r="H85" s="22">
        <f>('2019-2022'!H88-'2019-2022'!U$2)/'2019-2022'!U$3</f>
        <v>0.87586015652428029</v>
      </c>
      <c r="I85" s="22">
        <f>('2019-2022'!I88-'2019-2022'!V$2)/'2019-2022'!V$3</f>
        <v>0.43702978086256516</v>
      </c>
      <c r="J85" s="22">
        <f>('2019-2022'!J88-'2019-2022'!W$2)/'2019-2022'!W$3</f>
        <v>0.76891270340683449</v>
      </c>
      <c r="K85" s="22">
        <f>('2019-2022'!K88-'2019-2022'!X$2)/'2019-2022'!X$3</f>
        <v>0.16176025719683429</v>
      </c>
      <c r="L85" s="22">
        <f>('2019-2022'!L88-'2019-2022'!Y$2)/'2019-2022'!Y$3</f>
        <v>-0.94810684790961508</v>
      </c>
      <c r="M85" s="22">
        <f>('2019-2022'!M88-'2019-2022'!Z$2)/'2019-2022'!Z$3</f>
        <v>0.42222513913824289</v>
      </c>
      <c r="N85" s="22">
        <f>('2019-2022'!N88-'2019-2022'!AA$2)/'2019-2022'!AA$3</f>
        <v>0.31199811347601114</v>
      </c>
      <c r="O85" s="22">
        <f>('2019-2022'!O88-'2019-2022'!AB$2)/'2019-2022'!AB$3</f>
        <v>0.57014400614523242</v>
      </c>
      <c r="P85" s="22">
        <f>('2019-2022'!P88-'2019-2022'!AC$2)/'2019-2022'!AC$3</f>
        <v>-0.87454355432687658</v>
      </c>
    </row>
    <row r="86" spans="1:16">
      <c r="A86" s="4" t="s">
        <v>25</v>
      </c>
      <c r="B86" s="5">
        <v>2022</v>
      </c>
      <c r="C86" s="14" t="s">
        <v>60</v>
      </c>
      <c r="D86" s="14" t="s">
        <v>52</v>
      </c>
      <c r="E86" s="22">
        <f>('2019-2022'!E89-'2019-2022'!R$2)/'2019-2022'!R$3</f>
        <v>-0.65357897500514794</v>
      </c>
      <c r="F86" s="22">
        <f>('2019-2022'!F89-'2019-2022'!S$2)/'2019-2022'!S$3</f>
        <v>0.80753252026017108</v>
      </c>
      <c r="G86" s="22">
        <f>('2019-2022'!G89-'2019-2022'!T$2)/'2019-2022'!T$3</f>
        <v>0.55213089323851561</v>
      </c>
      <c r="H86" s="22">
        <f>('2019-2022'!H89-'2019-2022'!U$2)/'2019-2022'!U$3</f>
        <v>-0.56670732503592125</v>
      </c>
      <c r="I86" s="22">
        <f>('2019-2022'!I89-'2019-2022'!V$2)/'2019-2022'!V$3</f>
        <v>-0.65671853407540326</v>
      </c>
      <c r="J86" s="22">
        <f>('2019-2022'!J89-'2019-2022'!W$2)/'2019-2022'!W$3</f>
        <v>0.36218564593897662</v>
      </c>
      <c r="K86" s="22">
        <f>('2019-2022'!K89-'2019-2022'!X$2)/'2019-2022'!X$3</f>
        <v>-1.0681866055363025</v>
      </c>
      <c r="L86" s="22">
        <f>('2019-2022'!L89-'2019-2022'!Y$2)/'2019-2022'!Y$3</f>
        <v>-1.220926788438605</v>
      </c>
      <c r="M86" s="22">
        <f>('2019-2022'!M89-'2019-2022'!Z$2)/'2019-2022'!Z$3</f>
        <v>0.64175325316349319</v>
      </c>
      <c r="N86" s="22">
        <f>('2019-2022'!N89-'2019-2022'!AA$2)/'2019-2022'!AA$3</f>
        <v>0.49394861954827957</v>
      </c>
      <c r="O86" s="22">
        <f>('2019-2022'!O89-'2019-2022'!AB$2)/'2019-2022'!AB$3</f>
        <v>0.39213128112527135</v>
      </c>
      <c r="P86" s="22">
        <f>('2019-2022'!P89-'2019-2022'!AC$2)/'2019-2022'!AC$3</f>
        <v>-0.98337437242401626</v>
      </c>
    </row>
    <row r="87" spans="1:16">
      <c r="A87" s="4" t="s">
        <v>26</v>
      </c>
      <c r="B87" s="5">
        <v>2019</v>
      </c>
      <c r="C87" s="14" t="s">
        <v>59</v>
      </c>
      <c r="D87" s="14" t="s">
        <v>54</v>
      </c>
      <c r="E87" s="22">
        <f>('2019-2022'!E90-'2019-2022'!R$2)/'2019-2022'!R$3</f>
        <v>-0.61214472054600622</v>
      </c>
      <c r="F87" s="22">
        <f>('2019-2022'!F90-'2019-2022'!S$2)/'2019-2022'!S$3</f>
        <v>-1.7214710194545857</v>
      </c>
      <c r="G87" s="22">
        <f>('2019-2022'!G90-'2019-2022'!T$2)/'2019-2022'!T$3</f>
        <v>-1.9766661465481201</v>
      </c>
      <c r="H87" s="22">
        <f>('2019-2022'!H90-'2019-2022'!U$2)/'2019-2022'!U$3</f>
        <v>-1.0312355658154566</v>
      </c>
      <c r="I87" s="22">
        <f>('2019-2022'!I90-'2019-2022'!V$2)/'2019-2022'!V$3</f>
        <v>-0.27212781611467241</v>
      </c>
      <c r="J87" s="22">
        <f>('2019-2022'!J90-'2019-2022'!W$2)/'2019-2022'!W$3</f>
        <v>-0.45842077682448978</v>
      </c>
      <c r="K87" s="22">
        <f>('2019-2022'!K90-'2019-2022'!X$2)/'2019-2022'!X$3</f>
        <v>0.36595845244596464</v>
      </c>
      <c r="L87" s="22">
        <f>('2019-2022'!L90-'2019-2022'!Y$2)/'2019-2022'!Y$3</f>
        <v>-0.98099044223675236</v>
      </c>
      <c r="M87" s="22">
        <f>('2019-2022'!M90-'2019-2022'!Z$2)/'2019-2022'!Z$3</f>
        <v>-3.2353866639847184</v>
      </c>
      <c r="N87" s="22">
        <f>('2019-2022'!N90-'2019-2022'!AA$2)/'2019-2022'!AA$3</f>
        <v>-0.48149846148636327</v>
      </c>
      <c r="O87" s="22">
        <f>('2019-2022'!O90-'2019-2022'!AB$2)/'2019-2022'!AB$3</f>
        <v>0.9149844052508167</v>
      </c>
      <c r="P87" s="22">
        <f>('2019-2022'!P90-'2019-2022'!AC$2)/'2019-2022'!AC$3</f>
        <v>0.34144989144109544</v>
      </c>
    </row>
    <row r="88" spans="1:16">
      <c r="A88" s="4" t="s">
        <v>26</v>
      </c>
      <c r="B88" s="5">
        <v>2020</v>
      </c>
      <c r="C88" s="14" t="s">
        <v>59</v>
      </c>
      <c r="D88" s="14" t="s">
        <v>54</v>
      </c>
      <c r="E88" s="22">
        <f>('2019-2022'!E91-'2019-2022'!R$2)/'2019-2022'!R$3</f>
        <v>-0.53013163792063023</v>
      </c>
      <c r="F88" s="22">
        <f>('2019-2022'!F91-'2019-2022'!S$2)/'2019-2022'!S$3</f>
        <v>-1.2612712220595179</v>
      </c>
      <c r="G88" s="22">
        <f>('2019-2022'!G91-'2019-2022'!T$2)/'2019-2022'!T$3</f>
        <v>-1.8204650014515014</v>
      </c>
      <c r="H88" s="22">
        <f>('2019-2022'!H91-'2019-2022'!U$2)/'2019-2022'!U$3</f>
        <v>-0.67308574305674029</v>
      </c>
      <c r="I88" s="22">
        <f>('2019-2022'!I91-'2019-2022'!V$2)/'2019-2022'!V$3</f>
        <v>-0.39647564556238696</v>
      </c>
      <c r="J88" s="22">
        <f>('2019-2022'!J91-'2019-2022'!W$2)/'2019-2022'!W$3</f>
        <v>-0.36901931095889468</v>
      </c>
      <c r="K88" s="22">
        <f>('2019-2022'!K91-'2019-2022'!X$2)/'2019-2022'!X$3</f>
        <v>0.45165737352231355</v>
      </c>
      <c r="L88" s="22">
        <f>('2019-2022'!L91-'2019-2022'!Y$2)/'2019-2022'!Y$3</f>
        <v>-0.79140093537786971</v>
      </c>
      <c r="M88" s="22">
        <f>('2019-2022'!M91-'2019-2022'!Z$2)/'2019-2022'!Z$3</f>
        <v>-2.8770754864009764</v>
      </c>
      <c r="N88" s="22">
        <f>('2019-2022'!N91-'2019-2022'!AA$2)/'2019-2022'!AA$3</f>
        <v>-0.38880586356873581</v>
      </c>
      <c r="O88" s="22">
        <f>('2019-2022'!O91-'2019-2022'!AB$2)/'2019-2022'!AB$3</f>
        <v>1.0625390326818511</v>
      </c>
      <c r="P88" s="22">
        <f>('2019-2022'!P91-'2019-2022'!AC$2)/'2019-2022'!AC$3</f>
        <v>0.33642479475043002</v>
      </c>
    </row>
    <row r="89" spans="1:16">
      <c r="A89" s="4" t="s">
        <v>26</v>
      </c>
      <c r="B89" s="5">
        <v>2021</v>
      </c>
      <c r="C89" s="14" t="s">
        <v>59</v>
      </c>
      <c r="D89" s="14" t="s">
        <v>54</v>
      </c>
      <c r="E89" s="22">
        <f>('2019-2022'!E92-'2019-2022'!R$2)/'2019-2022'!R$3</f>
        <v>-0.45552242052231484</v>
      </c>
      <c r="F89" s="22">
        <f>('2019-2022'!F92-'2019-2022'!S$2)/'2019-2022'!S$3</f>
        <v>-1.1717801106417416</v>
      </c>
      <c r="G89" s="22">
        <f>('2019-2022'!G92-'2019-2022'!T$2)/'2019-2022'!T$3</f>
        <v>-1.8452652553776436</v>
      </c>
      <c r="H89" s="22">
        <f>('2019-2022'!H92-'2019-2022'!U$2)/'2019-2022'!U$3</f>
        <v>-0.52526068008881055</v>
      </c>
      <c r="I89" s="22">
        <f>('2019-2022'!I92-'2019-2022'!V$2)/'2019-2022'!V$3</f>
        <v>-0.38484020350834591</v>
      </c>
      <c r="J89" s="22">
        <f>('2019-2022'!J92-'2019-2022'!W$2)/'2019-2022'!W$3</f>
        <v>-0.30500604349377636</v>
      </c>
      <c r="K89" s="22">
        <f>('2019-2022'!K92-'2019-2022'!X$2)/'2019-2022'!X$3</f>
        <v>0.50486870361875635</v>
      </c>
      <c r="L89" s="22">
        <f>('2019-2022'!L92-'2019-2022'!Y$2)/'2019-2022'!Y$3</f>
        <v>-0.75538634269597549</v>
      </c>
      <c r="M89" s="22">
        <f>('2019-2022'!M92-'2019-2022'!Z$2)/'2019-2022'!Z$3</f>
        <v>-2.7127135134609892</v>
      </c>
      <c r="N89" s="22">
        <f>('2019-2022'!N92-'2019-2022'!AA$2)/'2019-2022'!AA$3</f>
        <v>-0.42296973203714883</v>
      </c>
      <c r="O89" s="22">
        <f>('2019-2022'!O92-'2019-2022'!AB$2)/'2019-2022'!AB$3</f>
        <v>1.2066394273528662</v>
      </c>
      <c r="P89" s="22">
        <f>('2019-2022'!P92-'2019-2022'!AC$2)/'2019-2022'!AC$3</f>
        <v>0.44476922982823558</v>
      </c>
    </row>
    <row r="90" spans="1:16">
      <c r="A90" s="4" t="s">
        <v>26</v>
      </c>
      <c r="B90" s="5">
        <v>2022</v>
      </c>
      <c r="C90" s="14" t="s">
        <v>59</v>
      </c>
      <c r="D90" s="14" t="s">
        <v>54</v>
      </c>
      <c r="E90" s="22">
        <f>('2019-2022'!E93-'2019-2022'!R$2)/'2019-2022'!R$3</f>
        <v>-0.47205213527456064</v>
      </c>
      <c r="F90" s="22">
        <f>('2019-2022'!F93-'2019-2022'!S$2)/'2019-2022'!S$3</f>
        <v>-0.91479613583327846</v>
      </c>
      <c r="G90" s="22">
        <f>('2019-2022'!G93-'2019-2022'!T$2)/'2019-2022'!T$3</f>
        <v>-1.7292538466799008</v>
      </c>
      <c r="H90" s="22">
        <f>('2019-2022'!H93-'2019-2022'!U$2)/'2019-2022'!U$3</f>
        <v>-0.38130926940635784</v>
      </c>
      <c r="I90" s="22">
        <f>('2019-2022'!I93-'2019-2022'!V$2)/'2019-2022'!V$3</f>
        <v>-0.50921076925391195</v>
      </c>
      <c r="J90" s="22">
        <f>('2019-2022'!J93-'2019-2022'!W$2)/'2019-2022'!W$3</f>
        <v>-0.24631009303171633</v>
      </c>
      <c r="K90" s="22">
        <f>('2019-2022'!K93-'2019-2022'!X$2)/'2019-2022'!X$3</f>
        <v>0.44250491384775226</v>
      </c>
      <c r="L90" s="22">
        <f>('2019-2022'!L93-'2019-2022'!Y$2)/'2019-2022'!Y$3</f>
        <v>-0.82353510723394963</v>
      </c>
      <c r="M90" s="22">
        <f>('2019-2022'!M93-'2019-2022'!Z$2)/'2019-2022'!Z$3</f>
        <v>-2.6883868908078439</v>
      </c>
      <c r="N90" s="22">
        <f>('2019-2022'!N93-'2019-2022'!AA$2)/'2019-2022'!AA$3</f>
        <v>-0.57963929225873689</v>
      </c>
      <c r="O90" s="22">
        <f>('2019-2022'!O93-'2019-2022'!AB$2)/'2019-2022'!AB$3</f>
        <v>1.2699954258548807</v>
      </c>
      <c r="P90" s="22">
        <f>('2019-2022'!P93-'2019-2022'!AC$2)/'2019-2022'!AC$3</f>
        <v>0.48458342607540161</v>
      </c>
    </row>
    <row r="91" spans="1:16">
      <c r="A91" s="4" t="s">
        <v>27</v>
      </c>
      <c r="B91" s="5">
        <v>2019</v>
      </c>
      <c r="C91" s="14" t="s">
        <v>55</v>
      </c>
      <c r="D91" s="14" t="s">
        <v>54</v>
      </c>
      <c r="E91" s="22">
        <f>('2019-2022'!E94-'2019-2022'!R$2)/'2019-2022'!R$3</f>
        <v>-0.93202482767492556</v>
      </c>
      <c r="F91" s="22">
        <f>('2019-2022'!F94-'2019-2022'!S$2)/'2019-2022'!S$3</f>
        <v>-1.0057704371512979</v>
      </c>
      <c r="G91" s="22">
        <f>('2019-2022'!G94-'2019-2022'!T$2)/'2019-2022'!T$3</f>
        <v>-0.88537513964252601</v>
      </c>
      <c r="H91" s="22">
        <f>('2019-2022'!H94-'2019-2022'!U$2)/'2019-2022'!U$3</f>
        <v>-0.94266564334520442</v>
      </c>
      <c r="I91" s="22">
        <f>('2019-2022'!I94-'2019-2022'!V$2)/'2019-2022'!V$3</f>
        <v>-0.89643271943531977</v>
      </c>
      <c r="J91" s="22">
        <f>('2019-2022'!J94-'2019-2022'!W$2)/'2019-2022'!W$3</f>
        <v>-0.51870676998602094</v>
      </c>
      <c r="K91" s="22">
        <f>('2019-2022'!K94-'2019-2022'!X$2)/'2019-2022'!X$3</f>
        <v>-1.1933130328128252</v>
      </c>
      <c r="L91" s="22">
        <f>('2019-2022'!L94-'2019-2022'!Y$2)/'2019-2022'!Y$3</f>
        <v>-0.64526704160952875</v>
      </c>
      <c r="M91" s="22">
        <f>('2019-2022'!M94-'2019-2022'!Z$2)/'2019-2022'!Z$3</f>
        <v>1.0827553704001021</v>
      </c>
      <c r="N91" s="22">
        <f>('2019-2022'!N94-'2019-2022'!AA$2)/'2019-2022'!AA$3</f>
        <v>-0.83915003380474396</v>
      </c>
      <c r="O91" s="22">
        <f>('2019-2022'!O94-'2019-2022'!AB$2)/'2019-2022'!AB$3</f>
        <v>-1.4845982320518982</v>
      </c>
      <c r="P91" s="22">
        <f>('2019-2022'!P94-'2019-2022'!AC$2)/'2019-2022'!AC$3</f>
        <v>0.38583461953866005</v>
      </c>
    </row>
    <row r="92" spans="1:16">
      <c r="A92" s="4" t="s">
        <v>27</v>
      </c>
      <c r="B92" s="5">
        <v>2020</v>
      </c>
      <c r="C92" s="14" t="s">
        <v>55</v>
      </c>
      <c r="D92" s="14" t="s">
        <v>54</v>
      </c>
      <c r="E92" s="22">
        <f>('2019-2022'!E95-'2019-2022'!R$2)/'2019-2022'!R$3</f>
        <v>-1.2413804687066097</v>
      </c>
      <c r="F92" s="22">
        <f>('2019-2022'!F95-'2019-2022'!S$2)/'2019-2022'!S$3</f>
        <v>-0.87995304053253842</v>
      </c>
      <c r="G92" s="22">
        <f>('2019-2022'!G95-'2019-2022'!T$2)/'2019-2022'!T$3</f>
        <v>-1.8480541713553515</v>
      </c>
      <c r="H92" s="22">
        <f>('2019-2022'!H95-'2019-2022'!U$2)/'2019-2022'!U$3</f>
        <v>-0.99875533892125934</v>
      </c>
      <c r="I92" s="22">
        <f>('2019-2022'!I95-'2019-2022'!V$2)/'2019-2022'!V$3</f>
        <v>-1.3392388861450171</v>
      </c>
      <c r="J92" s="22">
        <f>('2019-2022'!J95-'2019-2022'!W$2)/'2019-2022'!W$3</f>
        <v>-0.4468798829487145</v>
      </c>
      <c r="K92" s="22">
        <f>('2019-2022'!K95-'2019-2022'!X$2)/'2019-2022'!X$3</f>
        <v>-1.2605507325644552</v>
      </c>
      <c r="L92" s="22">
        <f>('2019-2022'!L95-'2019-2022'!Y$2)/'2019-2022'!Y$3</f>
        <v>-0.96521273502921956</v>
      </c>
      <c r="M92" s="22">
        <f>('2019-2022'!M95-'2019-2022'!Z$2)/'2019-2022'!Z$3</f>
        <v>2.088420710182016</v>
      </c>
      <c r="N92" s="22">
        <f>('2019-2022'!N95-'2019-2022'!AA$2)/'2019-2022'!AA$3</f>
        <v>-1.8797210843422916</v>
      </c>
      <c r="O92" s="22">
        <f>('2019-2022'!O95-'2019-2022'!AB$2)/'2019-2022'!AB$3</f>
        <v>-1.2031521693292835</v>
      </c>
      <c r="P92" s="22">
        <f>('2019-2022'!P95-'2019-2022'!AC$2)/'2019-2022'!AC$3</f>
        <v>0.23957365704729944</v>
      </c>
    </row>
    <row r="93" spans="1:16">
      <c r="A93" s="4" t="s">
        <v>27</v>
      </c>
      <c r="B93" s="5">
        <v>2021</v>
      </c>
      <c r="C93" s="14" t="s">
        <v>55</v>
      </c>
      <c r="D93" s="14" t="s">
        <v>54</v>
      </c>
      <c r="E93" s="22">
        <f>('2019-2022'!E96-'2019-2022'!R$2)/'2019-2022'!R$3</f>
        <v>-1.1712564866237087</v>
      </c>
      <c r="F93" s="22">
        <f>('2019-2022'!F96-'2019-2022'!S$2)/'2019-2022'!S$3</f>
        <v>-1.4054156706164411</v>
      </c>
      <c r="G93" s="22">
        <f>('2019-2022'!G96-'2019-2022'!T$2)/'2019-2022'!T$3</f>
        <v>-1.2481038032810625</v>
      </c>
      <c r="H93" s="22">
        <f>('2019-2022'!H96-'2019-2022'!U$2)/'2019-2022'!U$3</f>
        <v>-1.2009242829640194</v>
      </c>
      <c r="I93" s="22">
        <f>('2019-2022'!I96-'2019-2022'!V$2)/'2019-2022'!V$3</f>
        <v>-1.1057513406398198</v>
      </c>
      <c r="J93" s="22">
        <f>('2019-2022'!J96-'2019-2022'!W$2)/'2019-2022'!W$3</f>
        <v>-0.59149108643662418</v>
      </c>
      <c r="K93" s="22">
        <f>('2019-2022'!K96-'2019-2022'!X$2)/'2019-2022'!X$3</f>
        <v>-1.1349985560300935</v>
      </c>
      <c r="L93" s="22">
        <f>('2019-2022'!L96-'2019-2022'!Y$2)/'2019-2022'!Y$3</f>
        <v>-0.91431802109096383</v>
      </c>
      <c r="M93" s="22">
        <f>('2019-2022'!M96-'2019-2022'!Z$2)/'2019-2022'!Z$3</f>
        <v>1.4576487793297672</v>
      </c>
      <c r="N93" s="22">
        <f>('2019-2022'!N96-'2019-2022'!AA$2)/'2019-2022'!AA$3</f>
        <v>-1.1626684291201692</v>
      </c>
      <c r="O93" s="22">
        <f>('2019-2022'!O96-'2019-2022'!AB$2)/'2019-2022'!AB$3</f>
        <v>-1.2412713637151354</v>
      </c>
      <c r="P93" s="22">
        <f>('2019-2022'!P96-'2019-2022'!AC$2)/'2019-2022'!AC$3</f>
        <v>0.353897054312172</v>
      </c>
    </row>
    <row r="94" spans="1:16">
      <c r="A94" s="4" t="s">
        <v>27</v>
      </c>
      <c r="B94" s="5">
        <v>2022</v>
      </c>
      <c r="C94" s="14" t="s">
        <v>55</v>
      </c>
      <c r="D94" s="14" t="s">
        <v>54</v>
      </c>
      <c r="E94" s="22">
        <f>('2019-2022'!E97-'2019-2022'!R$2)/'2019-2022'!R$3</f>
        <v>-1.0919417086210843</v>
      </c>
      <c r="F94" s="22">
        <f>('2019-2022'!F97-'2019-2022'!S$2)/'2019-2022'!S$3</f>
        <v>-1.3488562871660374</v>
      </c>
      <c r="G94" s="22">
        <f>('2019-2022'!G97-'2019-2022'!T$2)/'2019-2022'!T$3</f>
        <v>-1.2071518891538793</v>
      </c>
      <c r="H94" s="22">
        <f>('2019-2022'!H97-'2019-2022'!U$2)/'2019-2022'!U$3</f>
        <v>-1.1479455306361577</v>
      </c>
      <c r="I94" s="22">
        <f>('2019-2022'!I97-'2019-2022'!V$2)/'2019-2022'!V$3</f>
        <v>-1.0092354164220876</v>
      </c>
      <c r="J94" s="22">
        <f>('2019-2022'!J97-'2019-2022'!W$2)/'2019-2022'!W$3</f>
        <v>-0.81200454545979428</v>
      </c>
      <c r="K94" s="22">
        <f>('2019-2022'!K97-'2019-2022'!X$2)/'2019-2022'!X$3</f>
        <v>-1.1116841537899509</v>
      </c>
      <c r="L94" s="22">
        <f>('2019-2022'!L97-'2019-2022'!Y$2)/'2019-2022'!Y$3</f>
        <v>-0.69988180297114955</v>
      </c>
      <c r="M94" s="22">
        <f>('2019-2022'!M97-'2019-2022'!Z$2)/'2019-2022'!Z$3</f>
        <v>1.4601780968791183</v>
      </c>
      <c r="N94" s="22">
        <f>('2019-2022'!N97-'2019-2022'!AA$2)/'2019-2022'!AA$3</f>
        <v>-1.3742059892610261</v>
      </c>
      <c r="O94" s="22">
        <f>('2019-2022'!O97-'2019-2022'!AB$2)/'2019-2022'!AB$3</f>
        <v>-1.6895750944145698</v>
      </c>
      <c r="P94" s="22">
        <f>('2019-2022'!P97-'2019-2022'!AC$2)/'2019-2022'!AC$3</f>
        <v>0.24068199028481463</v>
      </c>
    </row>
    <row r="95" spans="1:16">
      <c r="A95" s="4" t="s">
        <v>29</v>
      </c>
      <c r="B95" s="5">
        <v>2019</v>
      </c>
      <c r="C95" s="14" t="s">
        <v>55</v>
      </c>
      <c r="D95" s="14" t="s">
        <v>54</v>
      </c>
      <c r="E95" s="22">
        <f>('2019-2022'!E98-'2019-2022'!R$2)/'2019-2022'!R$3</f>
        <v>-0.3982560797174779</v>
      </c>
      <c r="F95" s="22">
        <f>('2019-2022'!F98-'2019-2022'!S$2)/'2019-2022'!S$3</f>
        <v>-3.7503997326452432E-2</v>
      </c>
      <c r="G95" s="22">
        <f>('2019-2022'!G98-'2019-2022'!T$2)/'2019-2022'!T$3</f>
        <v>-1.0468886546449581</v>
      </c>
      <c r="H95" s="22">
        <f>('2019-2022'!H98-'2019-2022'!U$2)/'2019-2022'!U$3</f>
        <v>-3.7634923867524803E-2</v>
      </c>
      <c r="I95" s="22">
        <f>('2019-2022'!I98-'2019-2022'!V$2)/'2019-2022'!V$3</f>
        <v>-0.59943647075880435</v>
      </c>
      <c r="J95" s="22">
        <f>('2019-2022'!J98-'2019-2022'!W$2)/'2019-2022'!W$3</f>
        <v>-0.63277439015801784</v>
      </c>
      <c r="K95" s="22">
        <f>('2019-2022'!K98-'2019-2022'!X$2)/'2019-2022'!X$3</f>
        <v>-0.75528110269858539</v>
      </c>
      <c r="L95" s="22">
        <f>('2019-2022'!L98-'2019-2022'!Y$2)/'2019-2022'!Y$3</f>
        <v>0.20429711891525679</v>
      </c>
      <c r="M95" s="22">
        <f>('2019-2022'!M98-'2019-2022'!Z$2)/'2019-2022'!Z$3</f>
        <v>-2.0960717438153069</v>
      </c>
      <c r="N95" s="22">
        <f>('2019-2022'!N98-'2019-2022'!AA$2)/'2019-2022'!AA$3</f>
        <v>-0.59933887748921444</v>
      </c>
      <c r="O95" s="22">
        <f>('2019-2022'!O98-'2019-2022'!AB$2)/'2019-2022'!AB$3</f>
        <v>8.0319011666970877E-2</v>
      </c>
      <c r="P95" s="22">
        <f>('2019-2022'!P98-'2019-2022'!AC$2)/'2019-2022'!AC$3</f>
        <v>1.5041806572760705</v>
      </c>
    </row>
    <row r="96" spans="1:16">
      <c r="A96" s="4" t="s">
        <v>29</v>
      </c>
      <c r="B96" s="5">
        <v>2020</v>
      </c>
      <c r="C96" s="14" t="s">
        <v>55</v>
      </c>
      <c r="D96" s="14" t="s">
        <v>54</v>
      </c>
      <c r="E96" s="22">
        <f>('2019-2022'!E99-'2019-2022'!R$2)/'2019-2022'!R$3</f>
        <v>-0.92838022975692336</v>
      </c>
      <c r="F96" s="22">
        <f>('2019-2022'!F99-'2019-2022'!S$2)/'2019-2022'!S$3</f>
        <v>-1.0906038976566914</v>
      </c>
      <c r="G96" s="22">
        <f>('2019-2022'!G99-'2019-2022'!T$2)/'2019-2022'!T$3</f>
        <v>-1.7258585252491041</v>
      </c>
      <c r="H96" s="22">
        <f>('2019-2022'!H99-'2019-2022'!U$2)/'2019-2022'!U$3</f>
        <v>-0.81041990643553086</v>
      </c>
      <c r="I96" s="22">
        <f>('2019-2022'!I99-'2019-2022'!V$2)/'2019-2022'!V$3</f>
        <v>-0.96929644652187907</v>
      </c>
      <c r="J96" s="22">
        <f>('2019-2022'!J99-'2019-2022'!W$2)/'2019-2022'!W$3</f>
        <v>-0.94811282188214907</v>
      </c>
      <c r="K96" s="22">
        <f>('2019-2022'!K99-'2019-2022'!X$2)/'2019-2022'!X$3</f>
        <v>-1.0654123455475688</v>
      </c>
      <c r="L96" s="22">
        <f>('2019-2022'!L99-'2019-2022'!Y$2)/'2019-2022'!Y$3</f>
        <v>-0.47784165018679325</v>
      </c>
      <c r="M96" s="22">
        <f>('2019-2022'!M99-'2019-2022'!Z$2)/'2019-2022'!Z$3</f>
        <v>-1.6266698808269166E-2</v>
      </c>
      <c r="N96" s="22">
        <f>('2019-2022'!N99-'2019-2022'!AA$2)/'2019-2022'!AA$3</f>
        <v>-1.3374673046672731</v>
      </c>
      <c r="O96" s="22">
        <f>('2019-2022'!O99-'2019-2022'!AB$2)/'2019-2022'!AB$3</f>
        <v>-0.28327281882523869</v>
      </c>
      <c r="P96" s="22">
        <f>('2019-2022'!P99-'2019-2022'!AC$2)/'2019-2022'!AC$3</f>
        <v>1.3356540401439732</v>
      </c>
    </row>
    <row r="97" spans="1:16">
      <c r="A97" s="4" t="s">
        <v>29</v>
      </c>
      <c r="B97" s="5">
        <v>2021</v>
      </c>
      <c r="C97" s="14" t="s">
        <v>55</v>
      </c>
      <c r="D97" s="14" t="s">
        <v>54</v>
      </c>
      <c r="E97" s="22">
        <f>('2019-2022'!E100-'2019-2022'!R$2)/'2019-2022'!R$3</f>
        <v>-0.71600818373378849</v>
      </c>
      <c r="F97" s="22">
        <f>('2019-2022'!F100-'2019-2022'!S$2)/'2019-2022'!S$3</f>
        <v>-0.80944532848346551</v>
      </c>
      <c r="G97" s="22">
        <f>('2019-2022'!G100-'2019-2022'!T$2)/'2019-2022'!T$3</f>
        <v>-1.4974198601471396</v>
      </c>
      <c r="H97" s="22">
        <f>('2019-2022'!H100-'2019-2022'!U$2)/'2019-2022'!U$3</f>
        <v>-0.53971416979014397</v>
      </c>
      <c r="I97" s="22">
        <f>('2019-2022'!I100-'2019-2022'!V$2)/'2019-2022'!V$3</f>
        <v>-0.80031886982506328</v>
      </c>
      <c r="J97" s="22">
        <f>('2019-2022'!J100-'2019-2022'!W$2)/'2019-2022'!W$3</f>
        <v>-0.60392771910274223</v>
      </c>
      <c r="K97" s="22">
        <f>('2019-2022'!K100-'2019-2022'!X$2)/'2019-2022'!X$3</f>
        <v>-0.54770104538532116</v>
      </c>
      <c r="L97" s="22">
        <f>('2019-2022'!L100-'2019-2022'!Y$2)/'2019-2022'!Y$3</f>
        <v>0.20512263051615454</v>
      </c>
      <c r="M97" s="22">
        <f>('2019-2022'!M100-'2019-2022'!Z$2)/'2019-2022'!Z$3</f>
        <v>-0.84453425955612715</v>
      </c>
      <c r="N97" s="22">
        <f>('2019-2022'!N100-'2019-2022'!AA$2)/'2019-2022'!AA$3</f>
        <v>0.14427721970458438</v>
      </c>
      <c r="O97" s="22">
        <f>('2019-2022'!O100-'2019-2022'!AB$2)/'2019-2022'!AB$3</f>
        <v>4.6977664491831161E-2</v>
      </c>
      <c r="P97" s="22">
        <f>('2019-2022'!P100-'2019-2022'!AC$2)/'2019-2022'!AC$3</f>
        <v>1.494355638700448</v>
      </c>
    </row>
    <row r="98" spans="1:16">
      <c r="A98" s="4" t="s">
        <v>29</v>
      </c>
      <c r="B98" s="5">
        <v>2022</v>
      </c>
      <c r="C98" s="14" t="s">
        <v>55</v>
      </c>
      <c r="D98" s="14" t="s">
        <v>54</v>
      </c>
      <c r="E98" s="22">
        <f>('2019-2022'!E101-'2019-2022'!R$2)/'2019-2022'!R$3</f>
        <v>-1.0129126764332121</v>
      </c>
      <c r="F98" s="22">
        <f>('2019-2022'!F101-'2019-2022'!S$2)/'2019-2022'!S$3</f>
        <v>-0.74742935694486712</v>
      </c>
      <c r="G98" s="22">
        <f>('2019-2022'!G101-'2019-2022'!T$2)/'2019-2022'!T$3</f>
        <v>-1.6024890523174529</v>
      </c>
      <c r="H98" s="22">
        <f>('2019-2022'!H101-'2019-2022'!U$2)/'2019-2022'!U$3</f>
        <v>-0.76207307222181764</v>
      </c>
      <c r="I98" s="22">
        <f>('2019-2022'!I101-'2019-2022'!V$2)/'2019-2022'!V$3</f>
        <v>-1.1262238145822294</v>
      </c>
      <c r="J98" s="22">
        <f>('2019-2022'!J101-'2019-2022'!W$2)/'2019-2022'!W$3</f>
        <v>-0.74092891685443651</v>
      </c>
      <c r="K98" s="22">
        <f>('2019-2022'!K101-'2019-2022'!X$2)/'2019-2022'!X$3</f>
        <v>-0.80727744369282795</v>
      </c>
      <c r="L98" s="22">
        <f>('2019-2022'!L101-'2019-2022'!Y$2)/'2019-2022'!Y$3</f>
        <v>2.6944493433559862E-2</v>
      </c>
      <c r="M98" s="22">
        <f>('2019-2022'!M101-'2019-2022'!Z$2)/'2019-2022'!Z$3</f>
        <v>-0.42396061998351581</v>
      </c>
      <c r="N98" s="22">
        <f>('2019-2022'!N101-'2019-2022'!AA$2)/'2019-2022'!AA$3</f>
        <v>-0.26659625593882497</v>
      </c>
      <c r="O98" s="22">
        <f>('2019-2022'!O101-'2019-2022'!AB$2)/'2019-2022'!AB$3</f>
        <v>-0.1003558246489234</v>
      </c>
      <c r="P98" s="22">
        <f>('2019-2022'!P101-'2019-2022'!AC$2)/'2019-2022'!AC$3</f>
        <v>1.4972192748165158</v>
      </c>
    </row>
    <row r="99" spans="1:16">
      <c r="A99" s="4" t="s">
        <v>30</v>
      </c>
      <c r="B99" s="5">
        <v>2019</v>
      </c>
      <c r="C99" s="14" t="s">
        <v>59</v>
      </c>
      <c r="D99" s="14" t="s">
        <v>54</v>
      </c>
      <c r="E99" s="22">
        <f>('2019-2022'!E102-'2019-2022'!R$2)/'2019-2022'!R$3</f>
        <v>-0.62830379389490587</v>
      </c>
      <c r="F99" s="22">
        <f>('2019-2022'!F102-'2019-2022'!S$2)/'2019-2022'!S$3</f>
        <v>-0.84210373393038529</v>
      </c>
      <c r="G99" s="22">
        <f>('2019-2022'!G102-'2019-2022'!T$2)/'2019-2022'!T$3</f>
        <v>-0.59268664556524309</v>
      </c>
      <c r="H99" s="22">
        <f>('2019-2022'!H102-'2019-2022'!U$2)/'2019-2022'!U$3</f>
        <v>-0.77984127647801682</v>
      </c>
      <c r="I99" s="22">
        <f>('2019-2022'!I102-'2019-2022'!V$2)/'2019-2022'!V$3</f>
        <v>-0.49197572194435518</v>
      </c>
      <c r="J99" s="22">
        <f>('2019-2022'!J102-'2019-2022'!W$2)/'2019-2022'!W$3</f>
        <v>-1.1220347417687251</v>
      </c>
      <c r="K99" s="22">
        <f>('2019-2022'!K102-'2019-2022'!X$2)/'2019-2022'!X$3</f>
        <v>-0.64540192953251441</v>
      </c>
      <c r="L99" s="22">
        <f>('2019-2022'!L102-'2019-2022'!Y$2)/'2019-2022'!Y$3</f>
        <v>-1.0850160080485527</v>
      </c>
      <c r="M99" s="22">
        <f>('2019-2022'!M102-'2019-2022'!Z$2)/'2019-2022'!Z$3</f>
        <v>-1.0795878712539424</v>
      </c>
      <c r="N99" s="22">
        <f>('2019-2022'!N102-'2019-2022'!AA$2)/'2019-2022'!AA$3</f>
        <v>-0.57291269776054066</v>
      </c>
      <c r="O99" s="22">
        <f>('2019-2022'!O102-'2019-2022'!AB$2)/'2019-2022'!AB$3</f>
        <v>-1.2101145766970729</v>
      </c>
      <c r="P99" s="22">
        <f>('2019-2022'!P102-'2019-2022'!AC$2)/'2019-2022'!AC$3</f>
        <v>0.8719399776690745</v>
      </c>
    </row>
    <row r="100" spans="1:16">
      <c r="A100" s="4" t="s">
        <v>30</v>
      </c>
      <c r="B100" s="5">
        <v>2020</v>
      </c>
      <c r="C100" s="14" t="s">
        <v>59</v>
      </c>
      <c r="D100" s="14" t="s">
        <v>54</v>
      </c>
      <c r="E100" s="22">
        <f>('2019-2022'!E103-'2019-2022'!R$2)/'2019-2022'!R$3</f>
        <v>-0.6900481948003867</v>
      </c>
      <c r="F100" s="22">
        <f>('2019-2022'!F103-'2019-2022'!S$2)/'2019-2022'!S$3</f>
        <v>-0.84686923460670849</v>
      </c>
      <c r="G100" s="22">
        <f>('2019-2022'!G103-'2019-2022'!T$2)/'2019-2022'!T$3</f>
        <v>-0.91942744453957459</v>
      </c>
      <c r="H100" s="22">
        <f>('2019-2022'!H103-'2019-2022'!U$2)/'2019-2022'!U$3</f>
        <v>-0.75639322363941619</v>
      </c>
      <c r="I100" s="22">
        <f>('2019-2022'!I103-'2019-2022'!V$2)/'2019-2022'!V$3</f>
        <v>-0.61043161030266191</v>
      </c>
      <c r="J100" s="22">
        <f>('2019-2022'!J103-'2019-2022'!W$2)/'2019-2022'!W$3</f>
        <v>-0.92875017463611997</v>
      </c>
      <c r="K100" s="22">
        <f>('2019-2022'!K103-'2019-2022'!X$2)/'2019-2022'!X$3</f>
        <v>-0.61104549787415396</v>
      </c>
      <c r="L100" s="22">
        <f>('2019-2022'!L103-'2019-2022'!Y$2)/'2019-2022'!Y$3</f>
        <v>-1.303098868686313</v>
      </c>
      <c r="M100" s="22">
        <f>('2019-2022'!M103-'2019-2022'!Z$2)/'2019-2022'!Z$3</f>
        <v>-0.40517242074034043</v>
      </c>
      <c r="N100" s="22">
        <f>('2019-2022'!N103-'2019-2022'!AA$2)/'2019-2022'!AA$3</f>
        <v>-0.67398722429587721</v>
      </c>
      <c r="O100" s="22">
        <f>('2019-2022'!O103-'2019-2022'!AB$2)/'2019-2022'!AB$3</f>
        <v>-1.2666802541354789</v>
      </c>
      <c r="P100" s="22">
        <f>('2019-2022'!P103-'2019-2022'!AC$2)/'2019-2022'!AC$3</f>
        <v>0.82858893246582854</v>
      </c>
    </row>
    <row r="101" spans="1:16">
      <c r="A101" s="4" t="s">
        <v>30</v>
      </c>
      <c r="B101" s="5">
        <v>2022</v>
      </c>
      <c r="C101" s="14" t="s">
        <v>59</v>
      </c>
      <c r="D101" s="14" t="s">
        <v>54</v>
      </c>
      <c r="E101" s="22">
        <f>('2019-2022'!E105-'2019-2022'!R$2)/'2019-2022'!R$3</f>
        <v>-0.88579557549057608</v>
      </c>
      <c r="F101" s="22">
        <f>('2019-2022'!F105-'2019-2022'!S$2)/'2019-2022'!S$3</f>
        <v>-0.91189621846438151</v>
      </c>
      <c r="G101" s="22">
        <f>('2019-2022'!G105-'2019-2022'!T$2)/'2019-2022'!T$3</f>
        <v>0.19044373682870738</v>
      </c>
      <c r="H101" s="22">
        <f>('2019-2022'!H105-'2019-2022'!U$2)/'2019-2022'!U$3</f>
        <v>-1.0212910017631336</v>
      </c>
      <c r="I101" s="22">
        <f>('2019-2022'!I105-'2019-2022'!V$2)/'2019-2022'!V$3</f>
        <v>-0.77538227447736296</v>
      </c>
      <c r="J101" s="22">
        <f>('2019-2022'!J105-'2019-2022'!W$2)/'2019-2022'!W$3</f>
        <v>-1.2609070268499076</v>
      </c>
      <c r="K101" s="22">
        <f>('2019-2022'!K105-'2019-2022'!X$2)/'2019-2022'!X$3</f>
        <v>-0.64522428845156055</v>
      </c>
      <c r="L101" s="22">
        <f>('2019-2022'!L105-'2019-2022'!Y$2)/'2019-2022'!Y$3</f>
        <v>-1.5296998131613411</v>
      </c>
      <c r="M101" s="22">
        <f>('2019-2022'!M105-'2019-2022'!Z$2)/'2019-2022'!Z$3</f>
        <v>-0.12124618811749105</v>
      </c>
      <c r="N101" s="22">
        <f>('2019-2022'!N105-'2019-2022'!AA$2)/'2019-2022'!AA$3</f>
        <v>-0.27375699743280246</v>
      </c>
      <c r="O101" s="22">
        <f>('2019-2022'!O105-'2019-2022'!AB$2)/'2019-2022'!AB$3</f>
        <v>-1.4740527186566259</v>
      </c>
      <c r="P101" s="22">
        <f>('2019-2022'!P105-'2019-2022'!AC$2)/'2019-2022'!AC$3</f>
        <v>0.86684063856058513</v>
      </c>
    </row>
    <row r="102" spans="1:16">
      <c r="A102" s="4" t="s">
        <v>31</v>
      </c>
      <c r="B102" s="5">
        <v>2019</v>
      </c>
      <c r="C102" s="14" t="s">
        <v>56</v>
      </c>
      <c r="D102" s="14" t="s">
        <v>54</v>
      </c>
      <c r="E102" s="22">
        <f>('2019-2022'!E106-'2019-2022'!R$2)/'2019-2022'!R$3</f>
        <v>0.10804697707540685</v>
      </c>
      <c r="F102" s="22">
        <f>('2019-2022'!F106-'2019-2022'!S$2)/'2019-2022'!S$3</f>
        <v>-0.77268952106177113</v>
      </c>
      <c r="G102" s="22">
        <f>('2019-2022'!G106-'2019-2022'!T$2)/'2019-2022'!T$3</f>
        <v>1.169437835276399</v>
      </c>
      <c r="H102" s="22">
        <f>('2019-2022'!H106-'2019-2022'!U$2)/'2019-2022'!U$3</f>
        <v>-7.471394764090456E-3</v>
      </c>
      <c r="I102" s="22">
        <f>('2019-2022'!I106-'2019-2022'!V$2)/'2019-2022'!V$3</f>
        <v>6.6084714801928179E-2</v>
      </c>
      <c r="J102" s="22">
        <f>('2019-2022'!J106-'2019-2022'!W$2)/'2019-2022'!W$3</f>
        <v>0.25504879121727048</v>
      </c>
      <c r="K102" s="22">
        <f>('2019-2022'!K106-'2019-2022'!X$2)/'2019-2022'!X$3</f>
        <v>1.2469538094484376</v>
      </c>
      <c r="L102" s="22">
        <f>('2019-2022'!L106-'2019-2022'!Y$2)/'2019-2022'!Y$3</f>
        <v>0.66332564311048148</v>
      </c>
      <c r="M102" s="22">
        <f>('2019-2022'!M106-'2019-2022'!Z$2)/'2019-2022'!Z$3</f>
        <v>-0.37709853747563399</v>
      </c>
      <c r="N102" s="22">
        <f>('2019-2022'!N106-'2019-2022'!AA$2)/'2019-2022'!AA$3</f>
        <v>0.74766598328177936</v>
      </c>
      <c r="O102" s="22">
        <f>('2019-2022'!O106-'2019-2022'!AB$2)/'2019-2022'!AB$3</f>
        <v>0.32273312121268294</v>
      </c>
      <c r="P102" s="22">
        <f>('2019-2022'!P106-'2019-2022'!AC$2)/'2019-2022'!AC$3</f>
        <v>0.65922620429490386</v>
      </c>
    </row>
    <row r="103" spans="1:16">
      <c r="A103" s="4" t="s">
        <v>31</v>
      </c>
      <c r="B103" s="5">
        <v>2020</v>
      </c>
      <c r="C103" s="14" t="s">
        <v>56</v>
      </c>
      <c r="D103" s="14" t="s">
        <v>54</v>
      </c>
      <c r="E103" s="22">
        <f>('2019-2022'!E107-'2019-2022'!R$2)/'2019-2022'!R$3</f>
        <v>0.51600761028478426</v>
      </c>
      <c r="F103" s="22">
        <f>('2019-2022'!F107-'2019-2022'!S$2)/'2019-2022'!S$3</f>
        <v>9.8219458680491506E-2</v>
      </c>
      <c r="G103" s="22">
        <f>('2019-2022'!G107-'2019-2022'!T$2)/'2019-2022'!T$3</f>
        <v>2.2763484859088594</v>
      </c>
      <c r="H103" s="22">
        <f>('2019-2022'!H107-'2019-2022'!U$2)/'2019-2022'!U$3</f>
        <v>0.75747410295349715</v>
      </c>
      <c r="I103" s="22">
        <f>('2019-2022'!I107-'2019-2022'!V$2)/'2019-2022'!V$3</f>
        <v>0.34620769770677895</v>
      </c>
      <c r="J103" s="22">
        <f>('2019-2022'!J107-'2019-2022'!W$2)/'2019-2022'!W$3</f>
        <v>-0.25380705213409416</v>
      </c>
      <c r="K103" s="22">
        <f>('2019-2022'!K107-'2019-2022'!X$2)/'2019-2022'!X$3</f>
        <v>0.56924724037288599</v>
      </c>
      <c r="L103" s="22">
        <f>('2019-2022'!L107-'2019-2022'!Y$2)/'2019-2022'!Y$3</f>
        <v>0.92842909815576391</v>
      </c>
      <c r="M103" s="22">
        <f>('2019-2022'!M107-'2019-2022'!Z$2)/'2019-2022'!Z$3</f>
        <v>-0.40186738370648695</v>
      </c>
      <c r="N103" s="22">
        <f>('2019-2022'!N107-'2019-2022'!AA$2)/'2019-2022'!AA$3</f>
        <v>0.53335643881956507</v>
      </c>
      <c r="O103" s="22">
        <f>('2019-2022'!O107-'2019-2022'!AB$2)/'2019-2022'!AB$3</f>
        <v>0.75695807863393172</v>
      </c>
      <c r="P103" s="22">
        <f>('2019-2022'!P107-'2019-2022'!AC$2)/'2019-2022'!AC$3</f>
        <v>0.55126644284351567</v>
      </c>
    </row>
    <row r="104" spans="1:16">
      <c r="A104" s="4" t="s">
        <v>31</v>
      </c>
      <c r="B104" s="5">
        <v>2021</v>
      </c>
      <c r="C104" s="14" t="s">
        <v>56</v>
      </c>
      <c r="D104" s="14" t="s">
        <v>54</v>
      </c>
      <c r="E104" s="22">
        <f>('2019-2022'!E108-'2019-2022'!R$2)/'2019-2022'!R$3</f>
        <v>0.22587400545327341</v>
      </c>
      <c r="F104" s="22">
        <f>('2019-2022'!F108-'2019-2022'!S$2)/'2019-2022'!S$3</f>
        <v>-0.18072172279383161</v>
      </c>
      <c r="G104" s="22">
        <f>('2019-2022'!G108-'2019-2022'!T$2)/'2019-2022'!T$3</f>
        <v>1.0092943803949783</v>
      </c>
      <c r="H104" s="22">
        <f>('2019-2022'!H108-'2019-2022'!U$2)/'2019-2022'!U$3</f>
        <v>0.63011068564668371</v>
      </c>
      <c r="I104" s="22">
        <f>('2019-2022'!I108-'2019-2022'!V$2)/'2019-2022'!V$3</f>
        <v>1.4679404323284006E-2</v>
      </c>
      <c r="J104" s="22">
        <f>('2019-2022'!J108-'2019-2022'!W$2)/'2019-2022'!W$3</f>
        <v>0.45686742431464744</v>
      </c>
      <c r="K104" s="22">
        <f>('2019-2022'!K108-'2019-2022'!X$2)/'2019-2022'!X$3</f>
        <v>0.9708887287811</v>
      </c>
      <c r="L104" s="22">
        <f>('2019-2022'!L108-'2019-2022'!Y$2)/'2019-2022'!Y$3</f>
        <v>0.19420344206538176</v>
      </c>
      <c r="M104" s="22">
        <f>('2019-2022'!M108-'2019-2022'!Z$2)/'2019-2022'!Z$3</f>
        <v>0.1843143394220299</v>
      </c>
      <c r="N104" s="22">
        <f>('2019-2022'!N108-'2019-2022'!AA$2)/'2019-2022'!AA$3</f>
        <v>1.1376020879547368</v>
      </c>
      <c r="O104" s="22">
        <f>('2019-2022'!O108-'2019-2022'!AB$2)/'2019-2022'!AB$3</f>
        <v>0.33275624545916055</v>
      </c>
      <c r="P104" s="22">
        <f>('2019-2022'!P108-'2019-2022'!AC$2)/'2019-2022'!AC$3</f>
        <v>0.54448685912504302</v>
      </c>
    </row>
    <row r="105" spans="1:16">
      <c r="A105" s="4" t="s">
        <v>31</v>
      </c>
      <c r="B105" s="5">
        <v>2022</v>
      </c>
      <c r="C105" s="14" t="s">
        <v>56</v>
      </c>
      <c r="D105" s="14" t="s">
        <v>54</v>
      </c>
      <c r="E105" s="22">
        <f>('2019-2022'!E109-'2019-2022'!R$2)/'2019-2022'!R$3</f>
        <v>1.3459261390182522</v>
      </c>
      <c r="F105" s="22">
        <f>('2019-2022'!F109-'2019-2022'!S$2)/'2019-2022'!S$3</f>
        <v>-0.59145381896995819</v>
      </c>
      <c r="G105" s="22">
        <f>('2019-2022'!G109-'2019-2022'!T$2)/'2019-2022'!T$3</f>
        <v>1.3149359272903067</v>
      </c>
      <c r="H105" s="22">
        <f>('2019-2022'!H109-'2019-2022'!U$2)/'2019-2022'!U$3</f>
        <v>1.1574570471113108</v>
      </c>
      <c r="I105" s="22">
        <f>('2019-2022'!I109-'2019-2022'!V$2)/'2019-2022'!V$3</f>
        <v>1.2832083933742264</v>
      </c>
      <c r="J105" s="22">
        <f>('2019-2022'!J109-'2019-2022'!W$2)/'2019-2022'!W$3</f>
        <v>0.90333788442300933</v>
      </c>
      <c r="K105" s="22">
        <f>('2019-2022'!K109-'2019-2022'!X$2)/'2019-2022'!X$3</f>
        <v>1.7993262018211846</v>
      </c>
      <c r="L105" s="22">
        <f>('2019-2022'!L109-'2019-2022'!Y$2)/'2019-2022'!Y$3</f>
        <v>0.56353520467182094</v>
      </c>
      <c r="M105" s="22">
        <f>('2019-2022'!M109-'2019-2022'!Z$2)/'2019-2022'!Z$3</f>
        <v>-1.012562728301333</v>
      </c>
      <c r="N105" s="22">
        <f>('2019-2022'!N109-'2019-2022'!AA$2)/'2019-2022'!AA$3</f>
        <v>1.0685521423493549</v>
      </c>
      <c r="O105" s="22">
        <f>('2019-2022'!O109-'2019-2022'!AB$2)/'2019-2022'!AB$3</f>
        <v>1.0046826352494513</v>
      </c>
      <c r="P105" s="22">
        <f>('2019-2022'!P109-'2019-2022'!AC$2)/'2019-2022'!AC$3</f>
        <v>0.53943062413093135</v>
      </c>
    </row>
    <row r="106" spans="1:16">
      <c r="A106" s="4" t="s">
        <v>32</v>
      </c>
      <c r="B106" s="5">
        <v>2019</v>
      </c>
      <c r="C106" s="14" t="s">
        <v>55</v>
      </c>
      <c r="D106" s="14" t="s">
        <v>54</v>
      </c>
      <c r="E106" s="22">
        <f>('2019-2022'!E110-'2019-2022'!R$2)/'2019-2022'!R$3</f>
        <v>-0.45520319398770243</v>
      </c>
      <c r="F106" s="22">
        <f>('2019-2022'!F110-'2019-2022'!S$2)/'2019-2022'!S$3</f>
        <v>0.42076962996613604</v>
      </c>
      <c r="G106" s="22">
        <f>('2019-2022'!G110-'2019-2022'!T$2)/'2019-2022'!T$3</f>
        <v>-1.0338847593265734</v>
      </c>
      <c r="H106" s="22">
        <f>('2019-2022'!H110-'2019-2022'!U$2)/'2019-2022'!U$3</f>
        <v>-3.2010389443482043E-2</v>
      </c>
      <c r="I106" s="22">
        <f>('2019-2022'!I110-'2019-2022'!V$2)/'2019-2022'!V$3</f>
        <v>-0.69984078733581889</v>
      </c>
      <c r="J106" s="22">
        <f>('2019-2022'!J110-'2019-2022'!W$2)/'2019-2022'!W$3</f>
        <v>-0.22114782320551629</v>
      </c>
      <c r="K106" s="22">
        <f>('2019-2022'!K110-'2019-2022'!X$2)/'2019-2022'!X$3</f>
        <v>-1.0788428633605254</v>
      </c>
      <c r="L106" s="22">
        <f>('2019-2022'!L110-'2019-2022'!Y$2)/'2019-2022'!Y$3</f>
        <v>-0.17431911143875484</v>
      </c>
      <c r="M106" s="22">
        <f>('2019-2022'!M110-'2019-2022'!Z$2)/'2019-2022'!Z$3</f>
        <v>0.3476549314118394</v>
      </c>
      <c r="N106" s="22">
        <f>('2019-2022'!N110-'2019-2022'!AA$2)/'2019-2022'!AA$3</f>
        <v>-0.43117913159898186</v>
      </c>
      <c r="O106" s="22">
        <f>('2019-2022'!O110-'2019-2022'!AB$2)/'2019-2022'!AB$3</f>
        <v>0.12172515993881187</v>
      </c>
      <c r="P106" s="22">
        <f>('2019-2022'!P110-'2019-2022'!AC$2)/'2019-2022'!AC$3</f>
        <v>1.4312581499828843</v>
      </c>
    </row>
    <row r="107" spans="1:16">
      <c r="A107" s="4" t="s">
        <v>32</v>
      </c>
      <c r="B107" s="5">
        <v>2020</v>
      </c>
      <c r="C107" s="14" t="s">
        <v>55</v>
      </c>
      <c r="D107" s="14" t="s">
        <v>54</v>
      </c>
      <c r="E107" s="22">
        <f>('2019-2022'!E111-'2019-2022'!R$2)/'2019-2022'!R$3</f>
        <v>-0.37480238623721196</v>
      </c>
      <c r="F107" s="22">
        <f>('2019-2022'!F111-'2019-2022'!S$2)/'2019-2022'!S$3</f>
        <v>0.26656319270480117</v>
      </c>
      <c r="G107" s="22">
        <f>('2019-2022'!G111-'2019-2022'!T$2)/'2019-2022'!T$3</f>
        <v>0.42607158461183886</v>
      </c>
      <c r="H107" s="22">
        <f>('2019-2022'!H111-'2019-2022'!U$2)/'2019-2022'!U$3</f>
        <v>-0.33935423124929293</v>
      </c>
      <c r="I107" s="22">
        <f>('2019-2022'!I111-'2019-2022'!V$2)/'2019-2022'!V$3</f>
        <v>-0.37948513507115478</v>
      </c>
      <c r="J107" s="22">
        <f>('2019-2022'!J111-'2019-2022'!W$2)/'2019-2022'!W$3</f>
        <v>-0.26711099734974775</v>
      </c>
      <c r="K107" s="22">
        <f>('2019-2022'!K111-'2019-2022'!X$2)/'2019-2022'!X$3</f>
        <v>-1.0470036923351242</v>
      </c>
      <c r="L107" s="22">
        <f>('2019-2022'!L111-'2019-2022'!Y$2)/'2019-2022'!Y$3</f>
        <v>-0.12590822083795955</v>
      </c>
      <c r="M107" s="22">
        <f>('2019-2022'!M111-'2019-2022'!Z$2)/'2019-2022'!Z$3</f>
        <v>1.2026668578689734</v>
      </c>
      <c r="N107" s="22">
        <f>('2019-2022'!N111-'2019-2022'!AA$2)/'2019-2022'!AA$3</f>
        <v>-1.3046424751255008</v>
      </c>
      <c r="O107" s="22">
        <f>('2019-2022'!O111-'2019-2022'!AB$2)/'2019-2022'!AB$3</f>
        <v>0.15855608395772533</v>
      </c>
      <c r="P107" s="22">
        <f>('2019-2022'!P111-'2019-2022'!AC$2)/'2019-2022'!AC$3</f>
        <v>1.2787922346480036</v>
      </c>
    </row>
    <row r="108" spans="1:16">
      <c r="A108" s="4" t="s">
        <v>32</v>
      </c>
      <c r="B108" s="5">
        <v>2021</v>
      </c>
      <c r="C108" s="14" t="s">
        <v>55</v>
      </c>
      <c r="D108" s="14" t="s">
        <v>54</v>
      </c>
      <c r="E108" s="22">
        <f>('2019-2022'!E112-'2019-2022'!R$2)/'2019-2022'!R$3</f>
        <v>0.21483789150960084</v>
      </c>
      <c r="F108" s="22">
        <f>('2019-2022'!F112-'2019-2022'!S$2)/'2019-2022'!S$3</f>
        <v>0.48574193757903095</v>
      </c>
      <c r="G108" s="22">
        <f>('2019-2022'!G112-'2019-2022'!T$2)/'2019-2022'!T$3</f>
        <v>-0.62140402342026968</v>
      </c>
      <c r="H108" s="22">
        <f>('2019-2022'!H112-'2019-2022'!U$2)/'2019-2022'!U$3</f>
        <v>0.57725486315492092</v>
      </c>
      <c r="I108" s="22">
        <f>('2019-2022'!I112-'2019-2022'!V$2)/'2019-2022'!V$3</f>
        <v>-1.9820003078767655E-2</v>
      </c>
      <c r="J108" s="22">
        <f>('2019-2022'!J112-'2019-2022'!W$2)/'2019-2022'!W$3</f>
        <v>-0.50268898960663411</v>
      </c>
      <c r="K108" s="22">
        <f>('2019-2022'!K112-'2019-2022'!X$2)/'2019-2022'!X$3</f>
        <v>-0.93890941672672779</v>
      </c>
      <c r="L108" s="22">
        <f>('2019-2022'!L112-'2019-2022'!Y$2)/'2019-2022'!Y$3</f>
        <v>-0.12710431684544324</v>
      </c>
      <c r="M108" s="22">
        <f>('2019-2022'!M112-'2019-2022'!Z$2)/'2019-2022'!Z$3</f>
        <v>1.4492054542258224</v>
      </c>
      <c r="N108" s="22">
        <f>('2019-2022'!N112-'2019-2022'!AA$2)/'2019-2022'!AA$3</f>
        <v>0.48916416859656092</v>
      </c>
      <c r="O108" s="22">
        <f>('2019-2022'!O112-'2019-2022'!AB$2)/'2019-2022'!AB$3</f>
        <v>0.70333725454401386</v>
      </c>
      <c r="P108" s="22">
        <f>('2019-2022'!P112-'2019-2022'!AC$2)/'2019-2022'!AC$3</f>
        <v>1.2779683613703561</v>
      </c>
    </row>
    <row r="109" spans="1:16">
      <c r="A109" s="4" t="s">
        <v>32</v>
      </c>
      <c r="B109" s="5">
        <v>2022</v>
      </c>
      <c r="C109" s="14" t="s">
        <v>55</v>
      </c>
      <c r="D109" s="14" t="s">
        <v>54</v>
      </c>
      <c r="E109" s="22">
        <f>('2019-2022'!E113-'2019-2022'!R$2)/'2019-2022'!R$3</f>
        <v>0.19594820214012759</v>
      </c>
      <c r="F109" s="22">
        <f>('2019-2022'!F113-'2019-2022'!S$2)/'2019-2022'!S$3</f>
        <v>5.3194290144550446E-2</v>
      </c>
      <c r="G109" s="22">
        <f>('2019-2022'!G113-'2019-2022'!T$2)/'2019-2022'!T$3</f>
        <v>-0.47746644565881285</v>
      </c>
      <c r="H109" s="22">
        <f>('2019-2022'!H113-'2019-2022'!U$2)/'2019-2022'!U$3</f>
        <v>0.30305035205086844</v>
      </c>
      <c r="I109" s="22">
        <f>('2019-2022'!I113-'2019-2022'!V$2)/'2019-2022'!V$3</f>
        <v>0.12117254682616811</v>
      </c>
      <c r="J109" s="22">
        <f>('2019-2022'!J113-'2019-2022'!W$2)/'2019-2022'!W$3</f>
        <v>-0.33667979075208038</v>
      </c>
      <c r="K109" s="22">
        <f>('2019-2022'!K113-'2019-2022'!X$2)/'2019-2022'!X$3</f>
        <v>-0.8831780209184743</v>
      </c>
      <c r="L109" s="22">
        <f>('2019-2022'!L113-'2019-2022'!Y$2)/'2019-2022'!Y$3</f>
        <v>-0.27562779867470732</v>
      </c>
      <c r="M109" s="22">
        <f>('2019-2022'!M113-'2019-2022'!Z$2)/'2019-2022'!Z$3</f>
        <v>1.5913186528220975</v>
      </c>
      <c r="N109" s="22">
        <f>('2019-2022'!N113-'2019-2022'!AA$2)/'2019-2022'!AA$3</f>
        <v>-0.4039214044191759</v>
      </c>
      <c r="O109" s="22">
        <f>('2019-2022'!O113-'2019-2022'!AB$2)/'2019-2022'!AB$3</f>
        <v>0.6172380527907172</v>
      </c>
      <c r="P109" s="22">
        <f>('2019-2022'!P113-'2019-2022'!AC$2)/'2019-2022'!AC$3</f>
        <v>1.3438280487613197</v>
      </c>
    </row>
    <row r="110" spans="1:16">
      <c r="A110" s="4" t="s">
        <v>33</v>
      </c>
      <c r="B110" s="5">
        <v>2019</v>
      </c>
      <c r="C110" s="14" t="s">
        <v>53</v>
      </c>
      <c r="D110" s="14" t="s">
        <v>54</v>
      </c>
      <c r="E110" s="22">
        <f>('2019-2022'!E114-'2019-2022'!R$2)/'2019-2022'!R$3</f>
        <v>0.6542663060471865</v>
      </c>
      <c r="F110" s="22">
        <f>('2019-2022'!F114-'2019-2022'!S$2)/'2019-2022'!S$3</f>
        <v>-0.20604070110630937</v>
      </c>
      <c r="G110" s="22">
        <f>('2019-2022'!G114-'2019-2022'!T$2)/'2019-2022'!T$3</f>
        <v>-0.6996095586942791</v>
      </c>
      <c r="H110" s="22">
        <f>('2019-2022'!H114-'2019-2022'!U$2)/'2019-2022'!U$3</f>
        <v>0.42886560552699715</v>
      </c>
      <c r="I110" s="22">
        <f>('2019-2022'!I114-'2019-2022'!V$2)/'2019-2022'!V$3</f>
        <v>0.81814258443647614</v>
      </c>
      <c r="J110" s="22">
        <f>('2019-2022'!J114-'2019-2022'!W$2)/'2019-2022'!W$3</f>
        <v>0.48324250667986013</v>
      </c>
      <c r="K110" s="22">
        <f>('2019-2022'!K114-'2019-2022'!X$2)/'2019-2022'!X$3</f>
        <v>-0.41866352550453029</v>
      </c>
      <c r="L110" s="22">
        <f>('2019-2022'!L114-'2019-2022'!Y$2)/'2019-2022'!Y$3</f>
        <v>0.61745788188558304</v>
      </c>
      <c r="M110" s="22">
        <f>('2019-2022'!M114-'2019-2022'!Z$2)/'2019-2022'!Z$3</f>
        <v>-0.24000974496173463</v>
      </c>
      <c r="N110" s="22">
        <f>('2019-2022'!N114-'2019-2022'!AA$2)/'2019-2022'!AA$3</f>
        <v>0.80772972718731684</v>
      </c>
      <c r="O110" s="22">
        <f>('2019-2022'!O114-'2019-2022'!AB$2)/'2019-2022'!AB$3</f>
        <v>0.37714142612195611</v>
      </c>
      <c r="P110" s="22">
        <f>('2019-2022'!P114-'2019-2022'!AC$2)/'2019-2022'!AC$3</f>
        <v>0.96087382778938568</v>
      </c>
    </row>
    <row r="111" spans="1:16">
      <c r="A111" s="4" t="s">
        <v>33</v>
      </c>
      <c r="B111" s="5">
        <v>2020</v>
      </c>
      <c r="C111" s="14" t="s">
        <v>53</v>
      </c>
      <c r="D111" s="14" t="s">
        <v>54</v>
      </c>
      <c r="E111" s="22">
        <f>('2019-2022'!E115-'2019-2022'!R$2)/'2019-2022'!R$3</f>
        <v>0.34817153890420138</v>
      </c>
      <c r="F111" s="22">
        <f>('2019-2022'!F115-'2019-2022'!S$2)/'2019-2022'!S$3</f>
        <v>-4.0555946601196748E-2</v>
      </c>
      <c r="G111" s="22">
        <f>('2019-2022'!G115-'2019-2022'!T$2)/'2019-2022'!T$3</f>
        <v>-0.87151905682305164</v>
      </c>
      <c r="H111" s="22">
        <f>('2019-2022'!H115-'2019-2022'!U$2)/'2019-2022'!U$3</f>
        <v>0.33373711001772594</v>
      </c>
      <c r="I111" s="22">
        <f>('2019-2022'!I115-'2019-2022'!V$2)/'2019-2022'!V$3</f>
        <v>0.37205417910137339</v>
      </c>
      <c r="J111" s="22">
        <f>('2019-2022'!J115-'2019-2022'!W$2)/'2019-2022'!W$3</f>
        <v>0.38035841894037514</v>
      </c>
      <c r="K111" s="22">
        <f>('2019-2022'!K115-'2019-2022'!X$2)/'2019-2022'!X$3</f>
        <v>-0.53702023801957965</v>
      </c>
      <c r="L111" s="22">
        <f>('2019-2022'!L115-'2019-2022'!Y$2)/'2019-2022'!Y$3</f>
        <v>0.62259467747480302</v>
      </c>
      <c r="M111" s="22">
        <f>('2019-2022'!M115-'2019-2022'!Z$2)/'2019-2022'!Z$3</f>
        <v>0.55917800984067145</v>
      </c>
      <c r="N111" s="22">
        <f>('2019-2022'!N115-'2019-2022'!AA$2)/'2019-2022'!AA$3</f>
        <v>-0.17861549942148533</v>
      </c>
      <c r="O111" s="22">
        <f>('2019-2022'!O115-'2019-2022'!AB$2)/'2019-2022'!AB$3</f>
        <v>0.26310666078443956</v>
      </c>
      <c r="P111" s="22">
        <f>('2019-2022'!P115-'2019-2022'!AC$2)/'2019-2022'!AC$3</f>
        <v>0.83891270779708949</v>
      </c>
    </row>
    <row r="112" spans="1:16">
      <c r="A112" s="4" t="s">
        <v>33</v>
      </c>
      <c r="B112" s="5">
        <v>2021</v>
      </c>
      <c r="C112" s="14" t="s">
        <v>53</v>
      </c>
      <c r="D112" s="14" t="s">
        <v>54</v>
      </c>
      <c r="E112" s="22">
        <f>('2019-2022'!E116-'2019-2022'!R$2)/'2019-2022'!R$3</f>
        <v>0.59072051437225992</v>
      </c>
      <c r="F112" s="22">
        <f>('2019-2022'!F116-'2019-2022'!S$2)/'2019-2022'!S$3</f>
        <v>0.22931690688000428</v>
      </c>
      <c r="G112" s="22">
        <f>('2019-2022'!G116-'2019-2022'!T$2)/'2019-2022'!T$3</f>
        <v>-0.77944016139103611</v>
      </c>
      <c r="H112" s="22">
        <f>('2019-2022'!H116-'2019-2022'!U$2)/'2019-2022'!U$3</f>
        <v>0.82613593804851126</v>
      </c>
      <c r="I112" s="22">
        <f>('2019-2022'!I116-'2019-2022'!V$2)/'2019-2022'!V$3</f>
        <v>0.41912330618130872</v>
      </c>
      <c r="J112" s="22">
        <f>('2019-2022'!J116-'2019-2022'!W$2)/'2019-2022'!W$3</f>
        <v>0.41796386513371714</v>
      </c>
      <c r="K112" s="22">
        <f>('2019-2022'!K116-'2019-2022'!X$2)/'2019-2022'!X$3</f>
        <v>-0.4140894071674695</v>
      </c>
      <c r="L112" s="22">
        <f>('2019-2022'!L116-'2019-2022'!Y$2)/'2019-2022'!Y$3</f>
        <v>0.4809951174557282</v>
      </c>
      <c r="M112" s="22">
        <f>('2019-2022'!M116-'2019-2022'!Z$2)/'2019-2022'!Z$3</f>
        <v>0.31370045516145001</v>
      </c>
      <c r="N112" s="22">
        <f>('2019-2022'!N116-'2019-2022'!AA$2)/'2019-2022'!AA$3</f>
        <v>0.59140515080547384</v>
      </c>
      <c r="O112" s="22">
        <f>('2019-2022'!O116-'2019-2022'!AB$2)/'2019-2022'!AB$3</f>
        <v>0.43813685924850565</v>
      </c>
      <c r="P112" s="22">
        <f>('2019-2022'!P116-'2019-2022'!AC$2)/'2019-2022'!AC$3</f>
        <v>1.0923404248153883</v>
      </c>
    </row>
    <row r="113" spans="1:16">
      <c r="A113" s="4" t="s">
        <v>33</v>
      </c>
      <c r="B113" s="5">
        <v>2022</v>
      </c>
      <c r="C113" s="14" t="s">
        <v>53</v>
      </c>
      <c r="D113" s="14" t="s">
        <v>54</v>
      </c>
      <c r="E113" s="22">
        <f>('2019-2022'!E117-'2019-2022'!R$2)/'2019-2022'!R$3</f>
        <v>1.6383128243112921</v>
      </c>
      <c r="F113" s="22">
        <f>('2019-2022'!F117-'2019-2022'!S$2)/'2019-2022'!S$3</f>
        <v>0.9162608029430882</v>
      </c>
      <c r="G113" s="22">
        <f>('2019-2022'!G117-'2019-2022'!T$2)/'2019-2022'!T$3</f>
        <v>-0.14503524143855678</v>
      </c>
      <c r="H113" s="22">
        <f>('2019-2022'!H117-'2019-2022'!U$2)/'2019-2022'!U$3</f>
        <v>1.9848472560892791</v>
      </c>
      <c r="I113" s="22">
        <f>('2019-2022'!I117-'2019-2022'!V$2)/'2019-2022'!V$3</f>
        <v>1.3481206462248172</v>
      </c>
      <c r="J113" s="22">
        <f>('2019-2022'!J117-'2019-2022'!W$2)/'2019-2022'!W$3</f>
        <v>0.57150812622365355</v>
      </c>
      <c r="K113" s="22">
        <f>('2019-2022'!K117-'2019-2022'!X$2)/'2019-2022'!X$3</f>
        <v>-0.28919749689758451</v>
      </c>
      <c r="L113" s="22">
        <f>('2019-2022'!L117-'2019-2022'!Y$2)/'2019-2022'!Y$3</f>
        <v>0.265295801999828</v>
      </c>
      <c r="M113" s="22">
        <f>('2019-2022'!M117-'2019-2022'!Z$2)/'2019-2022'!Z$3</f>
        <v>1.0828589755206381</v>
      </c>
      <c r="N113" s="22">
        <f>('2019-2022'!N117-'2019-2022'!AA$2)/'2019-2022'!AA$3</f>
        <v>-0.31602073344484072</v>
      </c>
      <c r="O113" s="22">
        <f>('2019-2022'!O117-'2019-2022'!AB$2)/'2019-2022'!AB$3</f>
        <v>0.39429956506095531</v>
      </c>
      <c r="P113" s="22">
        <f>('2019-2022'!P117-'2019-2022'!AC$2)/'2019-2022'!AC$3</f>
        <v>1.0849809071921181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D43D8-BA08-4977-AFC8-B4E4594A1774}">
  <sheetPr>
    <tabColor theme="3" tint="0.249977111117893"/>
  </sheetPr>
  <dimension ref="A1:O287"/>
  <sheetViews>
    <sheetView workbookViewId="0">
      <selection activeCell="E1" sqref="E1:O1"/>
    </sheetView>
  </sheetViews>
  <sheetFormatPr defaultRowHeight="14.4"/>
  <cols>
    <col min="1" max="1" width="13.5546875" bestFit="1" customWidth="1"/>
    <col min="2" max="2" width="5" bestFit="1" customWidth="1"/>
    <col min="3" max="3" width="23.33203125" bestFit="1" customWidth="1"/>
    <col min="4" max="4" width="18.44140625" bestFit="1" customWidth="1"/>
    <col min="5" max="14" width="12.6640625" bestFit="1" customWidth="1"/>
    <col min="15" max="15" width="16.21875" bestFit="1" customWidth="1"/>
  </cols>
  <sheetData>
    <row r="1" spans="1:15">
      <c r="A1" s="1" t="s">
        <v>50</v>
      </c>
      <c r="B1" s="1" t="s">
        <v>49</v>
      </c>
      <c r="C1" s="1" t="s">
        <v>47</v>
      </c>
      <c r="D1" s="1" t="s">
        <v>48</v>
      </c>
      <c r="E1" s="13" t="s">
        <v>77</v>
      </c>
      <c r="F1" s="1" t="s">
        <v>34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78</v>
      </c>
    </row>
    <row r="2" spans="1:15">
      <c r="A2" s="9" t="s">
        <v>0</v>
      </c>
      <c r="B2" s="3">
        <v>2012</v>
      </c>
      <c r="C2" s="14" t="s">
        <v>51</v>
      </c>
      <c r="D2" s="14" t="s">
        <v>52</v>
      </c>
      <c r="E2" s="22">
        <f>('2012-2022'!E2-'2012-2022'!R$2)/'2012-2022'!R$3</f>
        <v>0.46131175776305922</v>
      </c>
      <c r="F2" s="22">
        <f>('2012-2022'!F2-'2012-2022'!S$2)/'2012-2022'!S$3</f>
        <v>0.61320248450437642</v>
      </c>
      <c r="G2" s="22">
        <f>('2012-2022'!G2-'2012-2022'!T$2)/'2012-2022'!T$3</f>
        <v>0.51305811962657411</v>
      </c>
      <c r="H2" s="22">
        <f>('2012-2022'!H2-'2012-2022'!U$2)/'2012-2022'!U$3</f>
        <v>0.38704089403929026</v>
      </c>
      <c r="I2" s="22">
        <f>('2012-2022'!I2-'2012-2022'!V$2)/'2012-2022'!V$3</f>
        <v>0.50009163895907105</v>
      </c>
      <c r="J2" s="22">
        <f>('2012-2022'!J2-'2012-2022'!W$2)/'2012-2022'!W$3</f>
        <v>0.22078999922988399</v>
      </c>
      <c r="K2" s="22">
        <f>('2012-2022'!K2-'2012-2022'!X$2)/'2012-2022'!X$3</f>
        <v>1.1419892323997258</v>
      </c>
      <c r="L2" s="22">
        <f>('2012-2022'!L2-'2012-2022'!Y$2)/'2012-2022'!Y$3</f>
        <v>-0.64550295928177093</v>
      </c>
      <c r="M2" s="22">
        <f>('2012-2022'!M2-'2012-2022'!Z$2)/'2012-2022'!Z$3</f>
        <v>-0.76351995790832028</v>
      </c>
      <c r="N2" s="22">
        <f>('2012-2022'!N2-'2012-2022'!AA$2)/'2012-2022'!AA$3</f>
        <v>0.47258316756458885</v>
      </c>
      <c r="O2" s="22">
        <f>('2012-2022'!P2-'2012-2022'!AC$2)/'2012-2022'!AC$3</f>
        <v>-0.80178648961536747</v>
      </c>
    </row>
    <row r="3" spans="1:15">
      <c r="A3" s="9" t="s">
        <v>0</v>
      </c>
      <c r="B3" s="3">
        <v>2013</v>
      </c>
      <c r="C3" s="14" t="s">
        <v>51</v>
      </c>
      <c r="D3" s="14" t="s">
        <v>52</v>
      </c>
      <c r="E3" s="22">
        <f>('2012-2022'!E3-'2012-2022'!R$2)/'2012-2022'!R$3</f>
        <v>0.80520701357757851</v>
      </c>
      <c r="F3" s="22">
        <f>('2012-2022'!F3-'2012-2022'!S$2)/'2012-2022'!S$3</f>
        <v>0.42991577405575893</v>
      </c>
      <c r="G3" s="22">
        <f>('2012-2022'!G3-'2012-2022'!T$2)/'2012-2022'!T$3</f>
        <v>0.400222113041659</v>
      </c>
      <c r="H3" s="22">
        <f>('2012-2022'!H3-'2012-2022'!U$2)/'2012-2022'!U$3</f>
        <v>0.66424304287579661</v>
      </c>
      <c r="I3" s="22">
        <f>('2012-2022'!I3-'2012-2022'!V$2)/'2012-2022'!V$3</f>
        <v>0.85467009557281293</v>
      </c>
      <c r="J3" s="22">
        <f>('2012-2022'!J3-'2012-2022'!W$2)/'2012-2022'!W$3</f>
        <v>0.10583261489966311</v>
      </c>
      <c r="K3" s="22">
        <f>('2012-2022'!K3-'2012-2022'!X$2)/'2012-2022'!X$3</f>
        <v>0.54210742674419421</v>
      </c>
      <c r="L3" s="22">
        <f>('2012-2022'!L3-'2012-2022'!Y$2)/'2012-2022'!Y$3</f>
        <v>-0.30051545599836915</v>
      </c>
      <c r="M3" s="22">
        <f>('2012-2022'!M3-'2012-2022'!Z$2)/'2012-2022'!Z$3</f>
        <v>-2.6500058510178368E-2</v>
      </c>
      <c r="N3" s="22">
        <f>('2012-2022'!N3-'2012-2022'!AA$2)/'2012-2022'!AA$3</f>
        <v>0.38091908696177057</v>
      </c>
      <c r="O3" s="22">
        <f>('2012-2022'!P3-'2012-2022'!AC$2)/'2012-2022'!AC$3</f>
        <v>-0.87645841241616163</v>
      </c>
    </row>
    <row r="4" spans="1:15">
      <c r="A4" s="9" t="s">
        <v>0</v>
      </c>
      <c r="B4" s="3">
        <v>2014</v>
      </c>
      <c r="C4" s="14" t="s">
        <v>51</v>
      </c>
      <c r="D4" s="14" t="s">
        <v>52</v>
      </c>
      <c r="E4" s="22">
        <f>('2012-2022'!E4-'2012-2022'!R$2)/'2012-2022'!R$3</f>
        <v>0.81947256685637415</v>
      </c>
      <c r="F4" s="22">
        <f>('2012-2022'!F4-'2012-2022'!S$2)/'2012-2022'!S$3</f>
        <v>0.65024616708522087</v>
      </c>
      <c r="G4" s="22">
        <f>('2012-2022'!G4-'2012-2022'!T$2)/'2012-2022'!T$3</f>
        <v>0.57557358175852824</v>
      </c>
      <c r="H4" s="22">
        <f>('2012-2022'!H4-'2012-2022'!U$2)/'2012-2022'!U$3</f>
        <v>0.66498584318111043</v>
      </c>
      <c r="I4" s="22">
        <f>('2012-2022'!I4-'2012-2022'!V$2)/'2012-2022'!V$3</f>
        <v>0.89452694762961837</v>
      </c>
      <c r="J4" s="22">
        <f>('2012-2022'!J4-'2012-2022'!W$2)/'2012-2022'!W$3</f>
        <v>-0.12512145844753678</v>
      </c>
      <c r="K4" s="22">
        <f>('2012-2022'!K4-'2012-2022'!X$2)/'2012-2022'!X$3</f>
        <v>-7.7939202943115562E-3</v>
      </c>
      <c r="L4" s="22">
        <f>('2012-2022'!L4-'2012-2022'!Y$2)/'2012-2022'!Y$3</f>
        <v>-0.32076303832856407</v>
      </c>
      <c r="M4" s="22">
        <f>('2012-2022'!M4-'2012-2022'!Z$2)/'2012-2022'!Z$3</f>
        <v>-0.40067222475668907</v>
      </c>
      <c r="N4" s="22">
        <f>('2012-2022'!N4-'2012-2022'!AA$2)/'2012-2022'!AA$3</f>
        <v>0.6675989311739321</v>
      </c>
      <c r="O4" s="22">
        <f>('2012-2022'!P4-'2012-2022'!AC$2)/'2012-2022'!AC$3</f>
        <v>-1.0858036350072151</v>
      </c>
    </row>
    <row r="5" spans="1:15">
      <c r="A5" s="9" t="s">
        <v>0</v>
      </c>
      <c r="B5" s="3">
        <v>2015</v>
      </c>
      <c r="C5" s="14" t="s">
        <v>51</v>
      </c>
      <c r="D5" s="14" t="s">
        <v>52</v>
      </c>
      <c r="E5" s="22">
        <f>('2012-2022'!E5-'2012-2022'!R$2)/'2012-2022'!R$3</f>
        <v>1.4124961542699082</v>
      </c>
      <c r="F5" s="22">
        <f>('2012-2022'!F5-'2012-2022'!S$2)/'2012-2022'!S$3</f>
        <v>0.78124703523265282</v>
      </c>
      <c r="G5" s="22">
        <f>('2012-2022'!G5-'2012-2022'!T$2)/'2012-2022'!T$3</f>
        <v>0.35944595714760808</v>
      </c>
      <c r="H5" s="22">
        <f>('2012-2022'!H5-'2012-2022'!U$2)/'2012-2022'!U$3</f>
        <v>1.3070457832840063</v>
      </c>
      <c r="I5" s="22">
        <f>('2012-2022'!I5-'2012-2022'!V$2)/'2012-2022'!V$3</f>
        <v>1.4144570202780131</v>
      </c>
      <c r="J5" s="22">
        <f>('2012-2022'!J5-'2012-2022'!W$2)/'2012-2022'!W$3</f>
        <v>0.5963961643052752</v>
      </c>
      <c r="K5" s="22">
        <f>('2012-2022'!K5-'2012-2022'!X$2)/'2012-2022'!X$3</f>
        <v>9.5645262736767114E-2</v>
      </c>
      <c r="L5" s="22">
        <f>('2012-2022'!L5-'2012-2022'!Y$2)/'2012-2022'!Y$3</f>
        <v>0.79271187278339084</v>
      </c>
      <c r="M5" s="22">
        <f>('2012-2022'!M5-'2012-2022'!Z$2)/'2012-2022'!Z$3</f>
        <v>0.64159132225009752</v>
      </c>
      <c r="N5" s="22">
        <f>('2012-2022'!N5-'2012-2022'!AA$2)/'2012-2022'!AA$3</f>
        <v>-0.15058705761366395</v>
      </c>
      <c r="O5" s="22">
        <f>('2012-2022'!P5-'2012-2022'!AC$2)/'2012-2022'!AC$3</f>
        <v>-1.1610230741289624</v>
      </c>
    </row>
    <row r="6" spans="1:15">
      <c r="A6" s="9" t="s">
        <v>0</v>
      </c>
      <c r="B6" s="3">
        <v>2016</v>
      </c>
      <c r="C6" s="14" t="s">
        <v>51</v>
      </c>
      <c r="D6" s="14" t="s">
        <v>52</v>
      </c>
      <c r="E6" s="22">
        <f>('2012-2022'!E6-'2012-2022'!R$2)/'2012-2022'!R$3</f>
        <v>1.1050953317179428</v>
      </c>
      <c r="F6" s="22">
        <f>('2012-2022'!F6-'2012-2022'!S$2)/'2012-2022'!S$3</f>
        <v>0.85488075545145192</v>
      </c>
      <c r="G6" s="22">
        <f>('2012-2022'!G6-'2012-2022'!T$2)/'2012-2022'!T$3</f>
        <v>-1.2055777314962705E-2</v>
      </c>
      <c r="H6" s="22">
        <f>('2012-2022'!H6-'2012-2022'!U$2)/'2012-2022'!U$3</f>
        <v>1.2079503965618439</v>
      </c>
      <c r="I6" s="22">
        <f>('2012-2022'!I6-'2012-2022'!V$2)/'2012-2022'!V$3</f>
        <v>0.98274852562763937</v>
      </c>
      <c r="J6" s="22">
        <f>('2012-2022'!J6-'2012-2022'!W$2)/'2012-2022'!W$3</f>
        <v>0.18858427317363996</v>
      </c>
      <c r="K6" s="22">
        <f>('2012-2022'!K6-'2012-2022'!X$2)/'2012-2022'!X$3</f>
        <v>0.43948567441033959</v>
      </c>
      <c r="L6" s="22">
        <f>('2012-2022'!L6-'2012-2022'!Y$2)/'2012-2022'!Y$3</f>
        <v>-3.4906038762886199E-2</v>
      </c>
      <c r="M6" s="22">
        <f>('2012-2022'!M6-'2012-2022'!Z$2)/'2012-2022'!Z$3</f>
        <v>-6.0895097650607501E-2</v>
      </c>
      <c r="N6" s="22">
        <f>('2012-2022'!N6-'2012-2022'!AA$2)/'2012-2022'!AA$3</f>
        <v>-0.28407508786877417</v>
      </c>
      <c r="O6" s="22">
        <f>('2012-2022'!P6-'2012-2022'!AC$2)/'2012-2022'!AC$3</f>
        <v>-1.1608959698808605</v>
      </c>
    </row>
    <row r="7" spans="1:15">
      <c r="A7" s="9" t="s">
        <v>0</v>
      </c>
      <c r="B7" s="3">
        <v>2017</v>
      </c>
      <c r="C7" s="14" t="s">
        <v>51</v>
      </c>
      <c r="D7" s="14" t="s">
        <v>52</v>
      </c>
      <c r="E7" s="22">
        <f>('2012-2022'!E7-'2012-2022'!R$2)/'2012-2022'!R$3</f>
        <v>1.7235449049617666</v>
      </c>
      <c r="F7" s="22">
        <f>('2012-2022'!F7-'2012-2022'!S$2)/'2012-2022'!S$3</f>
        <v>0.72978460011887558</v>
      </c>
      <c r="G7" s="22">
        <f>('2012-2022'!G7-'2012-2022'!T$2)/'2012-2022'!T$3</f>
        <v>1.1797891935269558</v>
      </c>
      <c r="H7" s="22">
        <f>('2012-2022'!H7-'2012-2022'!U$2)/'2012-2022'!U$3</f>
        <v>1.2331479791357489</v>
      </c>
      <c r="I7" s="22">
        <f>('2012-2022'!I7-'2012-2022'!V$2)/'2012-2022'!V$3</f>
        <v>1.9761987087292108</v>
      </c>
      <c r="J7" s="22">
        <f>('2012-2022'!J7-'2012-2022'!W$2)/'2012-2022'!W$3</f>
        <v>0.3903810692150439</v>
      </c>
      <c r="K7" s="22">
        <f>('2012-2022'!K7-'2012-2022'!X$2)/'2012-2022'!X$3</f>
        <v>-0.27066778559645838</v>
      </c>
      <c r="L7" s="22">
        <f>('2012-2022'!L7-'2012-2022'!Y$2)/'2012-2022'!Y$3</f>
        <v>7.7674937487687085E-2</v>
      </c>
      <c r="M7" s="22">
        <f>('2012-2022'!M7-'2012-2022'!Z$2)/'2012-2022'!Z$3</f>
        <v>5.3117815259941768E-2</v>
      </c>
      <c r="N7" s="22">
        <f>('2012-2022'!N7-'2012-2022'!AA$2)/'2012-2022'!AA$3</f>
        <v>0.10053570991262353</v>
      </c>
      <c r="O7" s="22">
        <f>('2012-2022'!P7-'2012-2022'!AC$2)/'2012-2022'!AC$3</f>
        <v>-1.1736092862812606</v>
      </c>
    </row>
    <row r="8" spans="1:15">
      <c r="A8" s="9" t="s">
        <v>0</v>
      </c>
      <c r="B8" s="3">
        <v>2018</v>
      </c>
      <c r="C8" s="14" t="s">
        <v>51</v>
      </c>
      <c r="D8" s="14" t="s">
        <v>52</v>
      </c>
      <c r="E8" s="22">
        <f>('2012-2022'!E8-'2012-2022'!R$2)/'2012-2022'!R$3</f>
        <v>0.9542137507966415</v>
      </c>
      <c r="F8" s="22">
        <f>('2012-2022'!F8-'2012-2022'!S$2)/'2012-2022'!S$3</f>
        <v>1.2689780925704646</v>
      </c>
      <c r="G8" s="22">
        <f>('2012-2022'!G8-'2012-2022'!T$2)/'2012-2022'!T$3</f>
        <v>-0.31297931487532887</v>
      </c>
      <c r="H8" s="22">
        <f>('2012-2022'!H8-'2012-2022'!U$2)/'2012-2022'!U$3</f>
        <v>1.3626428184222066</v>
      </c>
      <c r="I8" s="22">
        <f>('2012-2022'!I8-'2012-2022'!V$2)/'2012-2022'!V$3</f>
        <v>0.62846872006888332</v>
      </c>
      <c r="J8" s="22">
        <f>('2012-2022'!J8-'2012-2022'!W$2)/'2012-2022'!W$3</f>
        <v>0.24959854731695663</v>
      </c>
      <c r="K8" s="22">
        <f>('2012-2022'!K8-'2012-2022'!X$2)/'2012-2022'!X$3</f>
        <v>0.30004929879720138</v>
      </c>
      <c r="L8" s="22">
        <f>('2012-2022'!L8-'2012-2022'!Y$2)/'2012-2022'!Y$3</f>
        <v>-0.58465766529472618</v>
      </c>
      <c r="M8" s="22">
        <f>('2012-2022'!M8-'2012-2022'!Z$2)/'2012-2022'!Z$3</f>
        <v>0.11154504495310827</v>
      </c>
      <c r="N8" s="22">
        <f>('2012-2022'!N8-'2012-2022'!AA$2)/'2012-2022'!AA$3</f>
        <v>-0.83102874061904275</v>
      </c>
      <c r="O8" s="22">
        <f>('2012-2022'!P8-'2012-2022'!AC$2)/'2012-2022'!AC$3</f>
        <v>-1.3470425927916496</v>
      </c>
    </row>
    <row r="9" spans="1:15">
      <c r="A9" s="9" t="s">
        <v>0</v>
      </c>
      <c r="B9" s="3">
        <v>2019</v>
      </c>
      <c r="C9" s="14" t="s">
        <v>51</v>
      </c>
      <c r="D9" s="14" t="s">
        <v>52</v>
      </c>
      <c r="E9" s="22">
        <f>('2012-2022'!E9-'2012-2022'!R$2)/'2012-2022'!R$3</f>
        <v>1.6130318223749525</v>
      </c>
      <c r="F9" s="22">
        <f>('2012-2022'!F9-'2012-2022'!S$2)/'2012-2022'!S$3</f>
        <v>0.793798595660405</v>
      </c>
      <c r="G9" s="22">
        <f>('2012-2022'!G9-'2012-2022'!T$2)/'2012-2022'!T$3</f>
        <v>-0.39864154957627351</v>
      </c>
      <c r="H9" s="22">
        <f>('2012-2022'!H9-'2012-2022'!U$2)/'2012-2022'!U$3</f>
        <v>1.7897139581838895</v>
      </c>
      <c r="I9" s="22">
        <f>('2012-2022'!I9-'2012-2022'!V$2)/'2012-2022'!V$3</f>
        <v>1.4075996837353202</v>
      </c>
      <c r="J9" s="22">
        <f>('2012-2022'!J9-'2012-2022'!W$2)/'2012-2022'!W$3</f>
        <v>0.9196967512666423</v>
      </c>
      <c r="K9" s="22">
        <f>('2012-2022'!K9-'2012-2022'!X$2)/'2012-2022'!X$3</f>
        <v>0.90919660208907394</v>
      </c>
      <c r="L9" s="22">
        <f>('2012-2022'!L9-'2012-2022'!Y$2)/'2012-2022'!Y$3</f>
        <v>0.7905644469957972</v>
      </c>
      <c r="M9" s="22">
        <f>('2012-2022'!M9-'2012-2022'!Z$2)/'2012-2022'!Z$3</f>
        <v>-0.11292454387935813</v>
      </c>
      <c r="N9" s="22">
        <f>('2012-2022'!N9-'2012-2022'!AA$2)/'2012-2022'!AA$3</f>
        <v>9.7501109899783972E-2</v>
      </c>
      <c r="O9" s="22">
        <f>('2012-2022'!P9-'2012-2022'!AC$2)/'2012-2022'!AC$3</f>
        <v>-1.1649088684913089</v>
      </c>
    </row>
    <row r="10" spans="1:15">
      <c r="A10" s="9" t="s">
        <v>0</v>
      </c>
      <c r="B10" s="3">
        <v>2020</v>
      </c>
      <c r="C10" s="14" t="s">
        <v>51</v>
      </c>
      <c r="D10" s="14" t="s">
        <v>52</v>
      </c>
      <c r="E10" s="22">
        <f>('2012-2022'!E10-'2012-2022'!R$2)/'2012-2022'!R$3</f>
        <v>1.6891947723393095</v>
      </c>
      <c r="F10" s="22">
        <f>('2012-2022'!F10-'2012-2022'!S$2)/'2012-2022'!S$3</f>
        <v>0.54710386930395549</v>
      </c>
      <c r="G10" s="22">
        <f>('2012-2022'!G10-'2012-2022'!T$2)/'2012-2022'!T$3</f>
        <v>-0.15443589929905072</v>
      </c>
      <c r="H10" s="22">
        <f>('2012-2022'!H10-'2012-2022'!U$2)/'2012-2022'!U$3</f>
        <v>1.5883445676471202</v>
      </c>
      <c r="I10" s="22">
        <f>('2012-2022'!I10-'2012-2022'!V$2)/'2012-2022'!V$3</f>
        <v>1.6740679207760669</v>
      </c>
      <c r="J10" s="22">
        <f>('2012-2022'!J10-'2012-2022'!W$2)/'2012-2022'!W$3</f>
        <v>1.4272962473382664</v>
      </c>
      <c r="K10" s="22">
        <f>('2012-2022'!K10-'2012-2022'!X$2)/'2012-2022'!X$3</f>
        <v>2.1548993708998831</v>
      </c>
      <c r="L10" s="22">
        <f>('2012-2022'!L10-'2012-2022'!Y$2)/'2012-2022'!Y$3</f>
        <v>2.5914596372395562</v>
      </c>
      <c r="M10" s="22">
        <f>('2012-2022'!M10-'2012-2022'!Z$2)/'2012-2022'!Z$3</f>
        <v>0.41943113064214738</v>
      </c>
      <c r="N10" s="22">
        <f>('2012-2022'!N10-'2012-2022'!AA$2)/'2012-2022'!AA$3</f>
        <v>0.77778783817658448</v>
      </c>
      <c r="O10" s="22">
        <f>('2012-2022'!P10-'2012-2022'!AC$2)/'2012-2022'!AC$3</f>
        <v>-1.2308676756494727</v>
      </c>
    </row>
    <row r="11" spans="1:15">
      <c r="A11" s="9" t="s">
        <v>0</v>
      </c>
      <c r="B11" s="3">
        <v>2021</v>
      </c>
      <c r="C11" s="14" t="s">
        <v>51</v>
      </c>
      <c r="D11" s="14" t="s">
        <v>52</v>
      </c>
      <c r="E11" s="22">
        <f>('2012-2022'!E11-'2012-2022'!R$2)/'2012-2022'!R$3</f>
        <v>1.2758855633987807</v>
      </c>
      <c r="F11" s="22">
        <f>('2012-2022'!F11-'2012-2022'!S$2)/'2012-2022'!S$3</f>
        <v>-0.3044690211753015</v>
      </c>
      <c r="G11" s="22">
        <f>('2012-2022'!G11-'2012-2022'!T$2)/'2012-2022'!T$3</f>
        <v>0.35898325450416763</v>
      </c>
      <c r="H11" s="22">
        <f>('2012-2022'!H11-'2012-2022'!U$2)/'2012-2022'!U$3</f>
        <v>0.59120502045164502</v>
      </c>
      <c r="I11" s="22">
        <f>('2012-2022'!I11-'2012-2022'!V$2)/'2012-2022'!V$3</f>
        <v>1.6394813078738153</v>
      </c>
      <c r="J11" s="22">
        <f>('2012-2022'!J11-'2012-2022'!W$2)/'2012-2022'!W$3</f>
        <v>1.3305620744911262</v>
      </c>
      <c r="K11" s="22">
        <f>('2012-2022'!K11-'2012-2022'!X$2)/'2012-2022'!X$3</f>
        <v>2.1124216785973555</v>
      </c>
      <c r="L11" s="22">
        <f>('2012-2022'!L11-'2012-2022'!Y$2)/'2012-2022'!Y$3</f>
        <v>2.304100644704886</v>
      </c>
      <c r="M11" s="22">
        <f>('2012-2022'!M11-'2012-2022'!Z$2)/'2012-2022'!Z$3</f>
        <v>0.56106082722223038</v>
      </c>
      <c r="N11" s="22">
        <f>('2012-2022'!N11-'2012-2022'!AA$2)/'2012-2022'!AA$3</f>
        <v>0.62183339684959038</v>
      </c>
      <c r="O11" s="22">
        <f>('2012-2022'!P11-'2012-2022'!AC$2)/'2012-2022'!AC$3</f>
        <v>-1.2298449327629164</v>
      </c>
    </row>
    <row r="12" spans="1:15">
      <c r="A12" s="9" t="s">
        <v>0</v>
      </c>
      <c r="B12" s="3">
        <v>2022</v>
      </c>
      <c r="C12" s="14" t="s">
        <v>51</v>
      </c>
      <c r="D12" s="14" t="s">
        <v>52</v>
      </c>
      <c r="E12" s="22">
        <f>('2012-2022'!E12-'2012-2022'!R$2)/'2012-2022'!R$3</f>
        <v>1.2560582766572215</v>
      </c>
      <c r="F12" s="22">
        <f>('2012-2022'!F12-'2012-2022'!S$2)/'2012-2022'!S$3</f>
        <v>0.5934486212486908</v>
      </c>
      <c r="G12" s="22">
        <f>('2012-2022'!G12-'2012-2022'!T$2)/'2012-2022'!T$3</f>
        <v>-0.21864272013534033</v>
      </c>
      <c r="H12" s="22">
        <f>('2012-2022'!H12-'2012-2022'!U$2)/'2012-2022'!U$3</f>
        <v>1.4409162139685261</v>
      </c>
      <c r="I12" s="22">
        <f>('2012-2022'!I12-'2012-2022'!V$2)/'2012-2022'!V$3</f>
        <v>1.0583545739566158</v>
      </c>
      <c r="J12" s="22">
        <f>('2012-2022'!J12-'2012-2022'!W$2)/'2012-2022'!W$3</f>
        <v>1.5419528004114642</v>
      </c>
      <c r="K12" s="22">
        <f>('2012-2022'!K12-'2012-2022'!X$2)/'2012-2022'!X$3</f>
        <v>2.2446227990338707</v>
      </c>
      <c r="L12" s="22">
        <f>('2012-2022'!L12-'2012-2022'!Y$2)/'2012-2022'!Y$3</f>
        <v>2.7134309352606669</v>
      </c>
      <c r="M12" s="22">
        <f>('2012-2022'!M12-'2012-2022'!Z$2)/'2012-2022'!Z$3</f>
        <v>0.82516668695440143</v>
      </c>
      <c r="N12" s="22">
        <f>('2012-2022'!N12-'2012-2022'!AA$2)/'2012-2022'!AA$3</f>
        <v>1.4338622600981106</v>
      </c>
      <c r="O12" s="22">
        <f>('2012-2022'!P12-'2012-2022'!AC$2)/'2012-2022'!AC$3</f>
        <v>-1.2900142734274198</v>
      </c>
    </row>
    <row r="13" spans="1:15">
      <c r="A13" s="10" t="s">
        <v>1</v>
      </c>
      <c r="B13" s="11">
        <v>2012</v>
      </c>
      <c r="C13" s="14" t="s">
        <v>53</v>
      </c>
      <c r="D13" s="14" t="s">
        <v>54</v>
      </c>
      <c r="E13" s="22">
        <f>('2012-2022'!E13-'2012-2022'!R$2)/'2012-2022'!R$3</f>
        <v>0.73295182810425741</v>
      </c>
      <c r="F13" s="22">
        <f>('2012-2022'!F13-'2012-2022'!S$2)/'2012-2022'!S$3</f>
        <v>1.5129438558562091E-2</v>
      </c>
      <c r="G13" s="22">
        <f>('2012-2022'!G13-'2012-2022'!T$2)/'2012-2022'!T$3</f>
        <v>-5.4079615188708761E-2</v>
      </c>
      <c r="H13" s="22">
        <f>('2012-2022'!H13-'2012-2022'!U$2)/'2012-2022'!U$3</f>
        <v>0.59474877098466195</v>
      </c>
      <c r="I13" s="22">
        <f>('2012-2022'!I13-'2012-2022'!V$2)/'2012-2022'!V$3</f>
        <v>0.76652820195090066</v>
      </c>
      <c r="J13" s="22">
        <f>('2012-2022'!J13-'2012-2022'!W$2)/'2012-2022'!W$3</f>
        <v>0.64308801843891317</v>
      </c>
      <c r="K13" s="22">
        <f>('2012-2022'!K13-'2012-2022'!X$2)/'2012-2022'!X$3</f>
        <v>0.92293347000108816</v>
      </c>
      <c r="L13" s="22">
        <f>('2012-2022'!L13-'2012-2022'!Y$2)/'2012-2022'!Y$3</f>
        <v>0.80802667460017796</v>
      </c>
      <c r="M13" s="22">
        <f>('2012-2022'!M13-'2012-2022'!Z$2)/'2012-2022'!Z$3</f>
        <v>0.12291895499347098</v>
      </c>
      <c r="N13" s="22">
        <f>('2012-2022'!N13-'2012-2022'!AA$2)/'2012-2022'!AA$3</f>
        <v>1.1070864642259439</v>
      </c>
      <c r="O13" s="22">
        <f>('2012-2022'!P13-'2012-2022'!AC$2)/'2012-2022'!AC$3</f>
        <v>1.1331229878949978</v>
      </c>
    </row>
    <row r="14" spans="1:15">
      <c r="A14" s="10" t="s">
        <v>1</v>
      </c>
      <c r="B14" s="11">
        <v>2013</v>
      </c>
      <c r="C14" s="14" t="s">
        <v>53</v>
      </c>
      <c r="D14" s="14" t="s">
        <v>54</v>
      </c>
      <c r="E14" s="22">
        <f>('2012-2022'!E14-'2012-2022'!R$2)/'2012-2022'!R$3</f>
        <v>0.18655614506150298</v>
      </c>
      <c r="F14" s="22">
        <f>('2012-2022'!F14-'2012-2022'!S$2)/'2012-2022'!S$3</f>
        <v>-0.56318974413156631</v>
      </c>
      <c r="G14" s="22">
        <f>('2012-2022'!G14-'2012-2022'!T$2)/'2012-2022'!T$3</f>
        <v>0.11048348975792228</v>
      </c>
      <c r="H14" s="22">
        <f>('2012-2022'!H14-'2012-2022'!U$2)/'2012-2022'!U$3</f>
        <v>-0.25141867199920231</v>
      </c>
      <c r="I14" s="22">
        <f>('2012-2022'!I14-'2012-2022'!V$2)/'2012-2022'!V$3</f>
        <v>0.47470182994518589</v>
      </c>
      <c r="J14" s="22">
        <f>('2012-2022'!J14-'2012-2022'!W$2)/'2012-2022'!W$3</f>
        <v>-0.25577676353363715</v>
      </c>
      <c r="K14" s="22">
        <f>('2012-2022'!K14-'2012-2022'!X$2)/'2012-2022'!X$3</f>
        <v>-0.39875585903169453</v>
      </c>
      <c r="L14" s="22">
        <f>('2012-2022'!L14-'2012-2022'!Y$2)/'2012-2022'!Y$3</f>
        <v>-1.0973775860603112</v>
      </c>
      <c r="M14" s="22">
        <f>('2012-2022'!M14-'2012-2022'!Z$2)/'2012-2022'!Z$3</f>
        <v>-0.57932877696745944</v>
      </c>
      <c r="N14" s="22">
        <f>('2012-2022'!N14-'2012-2022'!AA$2)/'2012-2022'!AA$3</f>
        <v>0.7803106683537776</v>
      </c>
      <c r="O14" s="22">
        <f>('2012-2022'!P14-'2012-2022'!AC$2)/'2012-2022'!AC$3</f>
        <v>1.1642637801225806</v>
      </c>
    </row>
    <row r="15" spans="1:15">
      <c r="A15" s="10" t="s">
        <v>1</v>
      </c>
      <c r="B15" s="11">
        <v>2014</v>
      </c>
      <c r="C15" s="14" t="s">
        <v>53</v>
      </c>
      <c r="D15" s="14" t="s">
        <v>54</v>
      </c>
      <c r="E15" s="22">
        <f>('2012-2022'!E15-'2012-2022'!R$2)/'2012-2022'!R$3</f>
        <v>6.6263930834712312E-2</v>
      </c>
      <c r="F15" s="22">
        <f>('2012-2022'!F15-'2012-2022'!S$2)/'2012-2022'!S$3</f>
        <v>-0.23038585773901205</v>
      </c>
      <c r="G15" s="22">
        <f>('2012-2022'!G15-'2012-2022'!T$2)/'2012-2022'!T$3</f>
        <v>-0.93616216324399881</v>
      </c>
      <c r="H15" s="22">
        <f>('2012-2022'!H15-'2012-2022'!U$2)/'2012-2022'!U$3</f>
        <v>8.309270913570195E-2</v>
      </c>
      <c r="I15" s="22">
        <f>('2012-2022'!I15-'2012-2022'!V$2)/'2012-2022'!V$3</f>
        <v>6.4878600661008978E-2</v>
      </c>
      <c r="J15" s="22">
        <f>('2012-2022'!J15-'2012-2022'!W$2)/'2012-2022'!W$3</f>
        <v>-0.21039330331962214</v>
      </c>
      <c r="K15" s="22">
        <f>('2012-2022'!K15-'2012-2022'!X$2)/'2012-2022'!X$3</f>
        <v>-0.42025796078862104</v>
      </c>
      <c r="L15" s="22">
        <f>('2012-2022'!L15-'2012-2022'!Y$2)/'2012-2022'!Y$3</f>
        <v>-0.86417623735662663</v>
      </c>
      <c r="M15" s="22">
        <f>('2012-2022'!M15-'2012-2022'!Z$2)/'2012-2022'!Z$3</f>
        <v>-0.37965576073916174</v>
      </c>
      <c r="N15" s="22">
        <f>('2012-2022'!N15-'2012-2022'!AA$2)/'2012-2022'!AA$3</f>
        <v>0.66640034860525243</v>
      </c>
      <c r="O15" s="22">
        <f>('2012-2022'!P15-'2012-2022'!AC$2)/'2012-2022'!AC$3</f>
        <v>1.0752584960736706</v>
      </c>
    </row>
    <row r="16" spans="1:15">
      <c r="A16" s="10" t="s">
        <v>1</v>
      </c>
      <c r="B16" s="11">
        <v>2015</v>
      </c>
      <c r="C16" s="14" t="s">
        <v>53</v>
      </c>
      <c r="D16" s="14" t="s">
        <v>54</v>
      </c>
      <c r="E16" s="22">
        <f>('2012-2022'!E16-'2012-2022'!R$2)/'2012-2022'!R$3</f>
        <v>0.48797552267723932</v>
      </c>
      <c r="F16" s="22">
        <f>('2012-2022'!F16-'2012-2022'!S$2)/'2012-2022'!S$3</f>
        <v>0.52111727265471008</v>
      </c>
      <c r="G16" s="22">
        <f>('2012-2022'!G16-'2012-2022'!T$2)/'2012-2022'!T$3</f>
        <v>-1.1494321952967612</v>
      </c>
      <c r="H16" s="22">
        <f>('2012-2022'!H16-'2012-2022'!U$2)/'2012-2022'!U$3</f>
        <v>0.94186571333381408</v>
      </c>
      <c r="I16" s="22">
        <f>('2012-2022'!I16-'2012-2022'!V$2)/'2012-2022'!V$3</f>
        <v>0.16490577745634616</v>
      </c>
      <c r="J16" s="22">
        <f>('2012-2022'!J16-'2012-2022'!W$2)/'2012-2022'!W$3</f>
        <v>-7.8476913247602184E-2</v>
      </c>
      <c r="K16" s="22">
        <f>('2012-2022'!K16-'2012-2022'!X$2)/'2012-2022'!X$3</f>
        <v>-0.37177172413086329</v>
      </c>
      <c r="L16" s="22">
        <f>('2012-2022'!L16-'2012-2022'!Y$2)/'2012-2022'!Y$3</f>
        <v>-0.8072147487843836</v>
      </c>
      <c r="M16" s="22">
        <f>('2012-2022'!M16-'2012-2022'!Z$2)/'2012-2022'!Z$3</f>
        <v>-3.3068278507050929E-2</v>
      </c>
      <c r="N16" s="22">
        <f>('2012-2022'!N16-'2012-2022'!AA$2)/'2012-2022'!AA$3</f>
        <v>0.52127033329762751</v>
      </c>
      <c r="O16" s="22">
        <f>('2012-2022'!P16-'2012-2022'!AC$2)/'2012-2022'!AC$3</f>
        <v>1.0456507495447567</v>
      </c>
    </row>
    <row r="17" spans="1:15">
      <c r="A17" s="10" t="s">
        <v>1</v>
      </c>
      <c r="B17" s="11">
        <v>2016</v>
      </c>
      <c r="C17" s="14" t="s">
        <v>53</v>
      </c>
      <c r="D17" s="14" t="s">
        <v>54</v>
      </c>
      <c r="E17" s="22">
        <f>('2012-2022'!E17-'2012-2022'!R$2)/'2012-2022'!R$3</f>
        <v>0.7373229651348403</v>
      </c>
      <c r="F17" s="22">
        <f>('2012-2022'!F17-'2012-2022'!S$2)/'2012-2022'!S$3</f>
        <v>-0.33367228330351539</v>
      </c>
      <c r="G17" s="22">
        <f>('2012-2022'!G17-'2012-2022'!T$2)/'2012-2022'!T$3</f>
        <v>-0.60342743829845324</v>
      </c>
      <c r="H17" s="22">
        <f>('2012-2022'!H17-'2012-2022'!U$2)/'2012-2022'!U$3</f>
        <v>0.44345272228920096</v>
      </c>
      <c r="I17" s="22">
        <f>('2012-2022'!I17-'2012-2022'!V$2)/'2012-2022'!V$3</f>
        <v>0.90440307915687856</v>
      </c>
      <c r="J17" s="22">
        <f>('2012-2022'!J17-'2012-2022'!W$2)/'2012-2022'!W$3</f>
        <v>0.23230789765972859</v>
      </c>
      <c r="K17" s="22">
        <f>('2012-2022'!K17-'2012-2022'!X$2)/'2012-2022'!X$3</f>
        <v>-7.8952322623523502E-2</v>
      </c>
      <c r="L17" s="22">
        <f>('2012-2022'!L17-'2012-2022'!Y$2)/'2012-2022'!Y$3</f>
        <v>-0.43148105798357633</v>
      </c>
      <c r="M17" s="22">
        <f>('2012-2022'!M17-'2012-2022'!Z$2)/'2012-2022'!Z$3</f>
        <v>0.11488994882017241</v>
      </c>
      <c r="N17" s="22">
        <f>('2012-2022'!N17-'2012-2022'!AA$2)/'2012-2022'!AA$3</f>
        <v>0.88049545747239144</v>
      </c>
      <c r="O17" s="22">
        <f>('2012-2022'!P17-'2012-2022'!AC$2)/'2012-2022'!AC$3</f>
        <v>1.185995840679098</v>
      </c>
    </row>
    <row r="18" spans="1:15">
      <c r="A18" s="10" t="s">
        <v>1</v>
      </c>
      <c r="B18" s="11">
        <v>2017</v>
      </c>
      <c r="C18" s="14" t="s">
        <v>53</v>
      </c>
      <c r="D18" s="14" t="s">
        <v>54</v>
      </c>
      <c r="E18" s="22">
        <f>('2012-2022'!E18-'2012-2022'!R$2)/'2012-2022'!R$3</f>
        <v>1.4769076044979608</v>
      </c>
      <c r="F18" s="22">
        <f>('2012-2022'!F18-'2012-2022'!S$2)/'2012-2022'!S$3</f>
        <v>-0.23434755454785033</v>
      </c>
      <c r="G18" s="22">
        <f>('2012-2022'!G18-'2012-2022'!T$2)/'2012-2022'!T$3</f>
        <v>0.14733390085849521</v>
      </c>
      <c r="H18" s="22">
        <f>('2012-2022'!H18-'2012-2022'!U$2)/'2012-2022'!U$3</f>
        <v>0.80281522606756195</v>
      </c>
      <c r="I18" s="22">
        <f>('2012-2022'!I18-'2012-2022'!V$2)/'2012-2022'!V$3</f>
        <v>1.8467395296796589</v>
      </c>
      <c r="J18" s="22">
        <f>('2012-2022'!J18-'2012-2022'!W$2)/'2012-2022'!W$3</f>
        <v>0.36366573847838268</v>
      </c>
      <c r="K18" s="22">
        <f>('2012-2022'!K18-'2012-2022'!X$2)/'2012-2022'!X$3</f>
        <v>6.1334638333533253E-2</v>
      </c>
      <c r="L18" s="22">
        <f>('2012-2022'!L18-'2012-2022'!Y$2)/'2012-2022'!Y$3</f>
        <v>-0.20045334274461382</v>
      </c>
      <c r="M18" s="22">
        <f>('2012-2022'!M18-'2012-2022'!Z$2)/'2012-2022'!Z$3</f>
        <v>0.43338277862931657</v>
      </c>
      <c r="N18" s="22">
        <f>('2012-2022'!N18-'2012-2022'!AA$2)/'2012-2022'!AA$3</f>
        <v>0.95898012733817517</v>
      </c>
      <c r="O18" s="22">
        <f>('2012-2022'!P18-'2012-2022'!AC$2)/'2012-2022'!AC$3</f>
        <v>1.2783297222282504</v>
      </c>
    </row>
    <row r="19" spans="1:15">
      <c r="A19" s="10" t="s">
        <v>1</v>
      </c>
      <c r="B19" s="11">
        <v>2018</v>
      </c>
      <c r="C19" s="14" t="s">
        <v>53</v>
      </c>
      <c r="D19" s="14" t="s">
        <v>54</v>
      </c>
      <c r="E19" s="22">
        <f>('2012-2022'!E19-'2012-2022'!R$2)/'2012-2022'!R$3</f>
        <v>1.7798583951127753</v>
      </c>
      <c r="F19" s="22">
        <f>('2012-2022'!F19-'2012-2022'!S$2)/'2012-2022'!S$3</f>
        <v>0.92911064087231121</v>
      </c>
      <c r="G19" s="22">
        <f>('2012-2022'!G19-'2012-2022'!T$2)/'2012-2022'!T$3</f>
        <v>-0.21127995878265288</v>
      </c>
      <c r="H19" s="22">
        <f>('2012-2022'!H19-'2012-2022'!U$2)/'2012-2022'!U$3</f>
        <v>2.2053519430174751</v>
      </c>
      <c r="I19" s="22">
        <f>('2012-2022'!I19-'2012-2022'!V$2)/'2012-2022'!V$3</f>
        <v>1.3966980687687374</v>
      </c>
      <c r="J19" s="22">
        <f>('2012-2022'!J19-'2012-2022'!W$2)/'2012-2022'!W$3</f>
        <v>0.38739775466418852</v>
      </c>
      <c r="K19" s="22">
        <f>('2012-2022'!K19-'2012-2022'!X$2)/'2012-2022'!X$3</f>
        <v>0.12991001948533754</v>
      </c>
      <c r="L19" s="22">
        <f>('2012-2022'!L19-'2012-2022'!Y$2)/'2012-2022'!Y$3</f>
        <v>-0.14832563129651416</v>
      </c>
      <c r="M19" s="22">
        <f>('2012-2022'!M19-'2012-2022'!Z$2)/'2012-2022'!Z$3</f>
        <v>0.44504118998066566</v>
      </c>
      <c r="N19" s="22">
        <f>('2012-2022'!N19-'2012-2022'!AA$2)/'2012-2022'!AA$3</f>
        <v>1.1299635011254201</v>
      </c>
      <c r="O19" s="22">
        <f>('2012-2022'!P19-'2012-2022'!AC$2)/'2012-2022'!AC$3</f>
        <v>1.0247830230195945</v>
      </c>
    </row>
    <row r="20" spans="1:15">
      <c r="A20" s="10" t="s">
        <v>1</v>
      </c>
      <c r="B20" s="11">
        <v>2019</v>
      </c>
      <c r="C20" s="14" t="s">
        <v>53</v>
      </c>
      <c r="D20" s="14" t="s">
        <v>54</v>
      </c>
      <c r="E20" s="22">
        <f>('2012-2022'!E20-'2012-2022'!R$2)/'2012-2022'!R$3</f>
        <v>2.0056849877132135</v>
      </c>
      <c r="F20" s="22">
        <f>('2012-2022'!F20-'2012-2022'!S$2)/'2012-2022'!S$3</f>
        <v>0.84331348501869963</v>
      </c>
      <c r="G20" s="22">
        <f>('2012-2022'!G20-'2012-2022'!T$2)/'2012-2022'!T$3</f>
        <v>0.5682045416182453</v>
      </c>
      <c r="H20" s="22">
        <f>('2012-2022'!H20-'2012-2022'!U$2)/'2012-2022'!U$3</f>
        <v>1.9737676932784485</v>
      </c>
      <c r="I20" s="22">
        <f>('2012-2022'!I20-'2012-2022'!V$2)/'2012-2022'!V$3</f>
        <v>1.8950837772863958</v>
      </c>
      <c r="J20" s="22">
        <f>('2012-2022'!J20-'2012-2022'!W$2)/'2012-2022'!W$3</f>
        <v>0.469189339494612</v>
      </c>
      <c r="K20" s="22">
        <f>('2012-2022'!K20-'2012-2022'!X$2)/'2012-2022'!X$3</f>
        <v>-7.8716969916543866E-2</v>
      </c>
      <c r="L20" s="22">
        <f>('2012-2022'!L20-'2012-2022'!Y$2)/'2012-2022'!Y$3</f>
        <v>1.0671117546124433</v>
      </c>
      <c r="M20" s="22">
        <f>('2012-2022'!M20-'2012-2022'!Z$2)/'2012-2022'!Z$3</f>
        <v>0.69119629249409653</v>
      </c>
      <c r="N20" s="22">
        <f>('2012-2022'!N20-'2012-2022'!AA$2)/'2012-2022'!AA$3</f>
        <v>1.3850475859630014</v>
      </c>
      <c r="O20" s="22">
        <f>('2012-2022'!P20-'2012-2022'!AC$2)/'2012-2022'!AC$3</f>
        <v>1.0755320656521767</v>
      </c>
    </row>
    <row r="21" spans="1:15">
      <c r="A21" s="10" t="s">
        <v>1</v>
      </c>
      <c r="B21" s="11">
        <v>2020</v>
      </c>
      <c r="C21" s="14" t="s">
        <v>53</v>
      </c>
      <c r="D21" s="14" t="s">
        <v>54</v>
      </c>
      <c r="E21" s="22">
        <f>('2012-2022'!E21-'2012-2022'!R$2)/'2012-2022'!R$3</f>
        <v>1.155414507634144</v>
      </c>
      <c r="F21" s="22">
        <f>('2012-2022'!F21-'2012-2022'!S$2)/'2012-2022'!S$3</f>
        <v>0.88465066142283899</v>
      </c>
      <c r="G21" s="22">
        <f>('2012-2022'!G21-'2012-2022'!T$2)/'2012-2022'!T$3</f>
        <v>-0.17877009978868547</v>
      </c>
      <c r="H21" s="22">
        <f>('2012-2022'!H21-'2012-2022'!U$2)/'2012-2022'!U$3</f>
        <v>1.5272778590837963</v>
      </c>
      <c r="I21" s="22">
        <f>('2012-2022'!I21-'2012-2022'!V$2)/'2012-2022'!V$3</f>
        <v>0.84616871893135637</v>
      </c>
      <c r="J21" s="22">
        <f>('2012-2022'!J21-'2012-2022'!W$2)/'2012-2022'!W$3</f>
        <v>0.36619423992080807</v>
      </c>
      <c r="K21" s="22">
        <f>('2012-2022'!K21-'2012-2022'!X$2)/'2012-2022'!X$3</f>
        <v>-0.34725367417636616</v>
      </c>
      <c r="L21" s="22">
        <f>('2012-2022'!L21-'2012-2022'!Y$2)/'2012-2022'!Y$3</f>
        <v>0.73615588906873719</v>
      </c>
      <c r="M21" s="22">
        <f>('2012-2022'!M21-'2012-2022'!Z$2)/'2012-2022'!Z$3</f>
        <v>1.4938981020115147</v>
      </c>
      <c r="N21" s="22">
        <f>('2012-2022'!N21-'2012-2022'!AA$2)/'2012-2022'!AA$3</f>
        <v>0.26759042426850022</v>
      </c>
      <c r="O21" s="22">
        <f>('2012-2022'!P21-'2012-2022'!AC$2)/'2012-2022'!AC$3</f>
        <v>0.9626726709936223</v>
      </c>
    </row>
    <row r="22" spans="1:15">
      <c r="A22" s="10" t="s">
        <v>1</v>
      </c>
      <c r="B22" s="11">
        <v>2021</v>
      </c>
      <c r="C22" s="14" t="s">
        <v>53</v>
      </c>
      <c r="D22" s="14" t="s">
        <v>54</v>
      </c>
      <c r="E22" s="22">
        <f>('2012-2022'!E22-'2012-2022'!R$2)/'2012-2022'!R$3</f>
        <v>2.4361703698831052</v>
      </c>
      <c r="F22" s="22">
        <f>('2012-2022'!F22-'2012-2022'!S$2)/'2012-2022'!S$3</f>
        <v>1.1302185763594639</v>
      </c>
      <c r="G22" s="22">
        <f>('2012-2022'!G22-'2012-2022'!T$2)/'2012-2022'!T$3</f>
        <v>0.33709488516439234</v>
      </c>
      <c r="H22" s="22">
        <f>('2012-2022'!H22-'2012-2022'!U$2)/'2012-2022'!U$3</f>
        <v>2.686532112553317</v>
      </c>
      <c r="I22" s="22">
        <f>('2012-2022'!I22-'2012-2022'!V$2)/'2012-2022'!V$3</f>
        <v>2.1203592095361024</v>
      </c>
      <c r="J22" s="22">
        <f>('2012-2022'!J22-'2012-2022'!W$2)/'2012-2022'!W$3</f>
        <v>0.65378926224915079</v>
      </c>
      <c r="K22" s="22">
        <f>('2012-2022'!K22-'2012-2022'!X$2)/'2012-2022'!X$3</f>
        <v>1.4885195297995321E-2</v>
      </c>
      <c r="L22" s="22">
        <f>('2012-2022'!L22-'2012-2022'!Y$2)/'2012-2022'!Y$3</f>
        <v>0.7951937624672818</v>
      </c>
      <c r="M22" s="22">
        <f>('2012-2022'!M22-'2012-2022'!Z$2)/'2012-2022'!Z$3</f>
        <v>1.0335199543254971</v>
      </c>
      <c r="N22" s="22">
        <f>('2012-2022'!N22-'2012-2022'!AA$2)/'2012-2022'!AA$3</f>
        <v>1.5975070062711254</v>
      </c>
      <c r="O22" s="22">
        <f>('2012-2022'!P22-'2012-2022'!AC$2)/'2012-2022'!AC$3</f>
        <v>1.0114462546247958</v>
      </c>
    </row>
    <row r="23" spans="1:15">
      <c r="A23" s="10" t="s">
        <v>1</v>
      </c>
      <c r="B23" s="11">
        <v>2022</v>
      </c>
      <c r="C23" s="14" t="s">
        <v>53</v>
      </c>
      <c r="D23" s="14" t="s">
        <v>54</v>
      </c>
      <c r="E23" s="22">
        <f>('2012-2022'!E23-'2012-2022'!R$2)/'2012-2022'!R$3</f>
        <v>1.4739038972228853</v>
      </c>
      <c r="F23" s="22">
        <f>('2012-2022'!F23-'2012-2022'!S$2)/'2012-2022'!S$3</f>
        <v>0.36549234523450708</v>
      </c>
      <c r="G23" s="22">
        <f>('2012-2022'!G23-'2012-2022'!T$2)/'2012-2022'!T$3</f>
        <v>0.68128218952027686</v>
      </c>
      <c r="H23" s="22">
        <f>('2012-2022'!H23-'2012-2022'!U$2)/'2012-2022'!U$3</f>
        <v>1.2993143325348886</v>
      </c>
      <c r="I23" s="22">
        <f>('2012-2022'!I23-'2012-2022'!V$2)/'2012-2022'!V$3</f>
        <v>1.4605178576574509</v>
      </c>
      <c r="J23" s="22">
        <f>('2012-2022'!J23-'2012-2022'!W$2)/'2012-2022'!W$3</f>
        <v>0.34754857135885564</v>
      </c>
      <c r="K23" s="22">
        <f>('2012-2022'!K23-'2012-2022'!X$2)/'2012-2022'!X$3</f>
        <v>-0.16781354538045987</v>
      </c>
      <c r="L23" s="22">
        <f>('2012-2022'!L23-'2012-2022'!Y$2)/'2012-2022'!Y$3</f>
        <v>0.44137732042543332</v>
      </c>
      <c r="M23" s="22">
        <f>('2012-2022'!M23-'2012-2022'!Z$2)/'2012-2022'!Z$3</f>
        <v>0.95749678661947613</v>
      </c>
      <c r="N23" s="22">
        <f>('2012-2022'!N23-'2012-2022'!AA$2)/'2012-2022'!AA$3</f>
        <v>0.87263877029317793</v>
      </c>
      <c r="O23" s="22">
        <f>('2012-2022'!P23-'2012-2022'!AC$2)/'2012-2022'!AC$3</f>
        <v>1.0121264069316513</v>
      </c>
    </row>
    <row r="24" spans="1:15">
      <c r="A24" s="10" t="s">
        <v>2</v>
      </c>
      <c r="B24" s="11">
        <v>2012</v>
      </c>
      <c r="C24" s="14" t="s">
        <v>51</v>
      </c>
      <c r="D24" s="14" t="s">
        <v>54</v>
      </c>
      <c r="E24" s="22">
        <f>('2012-2022'!E24-'2012-2022'!R$2)/'2012-2022'!R$3</f>
        <v>1.259393203428711</v>
      </c>
      <c r="F24" s="22">
        <f>('2012-2022'!F24-'2012-2022'!S$2)/'2012-2022'!S$3</f>
        <v>7.4904172684847253E-2</v>
      </c>
      <c r="G24" s="22">
        <f>('2012-2022'!G24-'2012-2022'!T$2)/'2012-2022'!T$3</f>
        <v>-7.4798196595320859E-2</v>
      </c>
      <c r="H24" s="22">
        <f>('2012-2022'!H24-'2012-2022'!U$2)/'2012-2022'!U$3</f>
        <v>0.94626053463469195</v>
      </c>
      <c r="I24" s="22">
        <f>('2012-2022'!I24-'2012-2022'!V$2)/'2012-2022'!V$3</f>
        <v>1.4022033180848177</v>
      </c>
      <c r="J24" s="22">
        <f>('2012-2022'!J24-'2012-2022'!W$2)/'2012-2022'!W$3</f>
        <v>0.73891929229811604</v>
      </c>
      <c r="K24" s="22">
        <f>('2012-2022'!K24-'2012-2022'!X$2)/'2012-2022'!X$3</f>
        <v>1.7189809300685566</v>
      </c>
      <c r="L24" s="22">
        <f>('2012-2022'!L24-'2012-2022'!Y$2)/'2012-2022'!Y$3</f>
        <v>9.4732360306198863E-3</v>
      </c>
      <c r="M24" s="22">
        <f>('2012-2022'!M24-'2012-2022'!Z$2)/'2012-2022'!Z$3</f>
        <v>-1.1268893669074915</v>
      </c>
      <c r="N24" s="22">
        <f>('2012-2022'!N24-'2012-2022'!AA$2)/'2012-2022'!AA$3</f>
        <v>1.2497443979050447</v>
      </c>
      <c r="O24" s="22">
        <f>('2012-2022'!P24-'2012-2022'!AC$2)/'2012-2022'!AC$3</f>
        <v>0.90547010188867161</v>
      </c>
    </row>
    <row r="25" spans="1:15">
      <c r="A25" s="10" t="s">
        <v>2</v>
      </c>
      <c r="B25" s="11">
        <v>2013</v>
      </c>
      <c r="C25" s="14" t="s">
        <v>51</v>
      </c>
      <c r="D25" s="14" t="s">
        <v>54</v>
      </c>
      <c r="E25" s="22">
        <f>('2012-2022'!E25-'2012-2022'!R$2)/'2012-2022'!R$3</f>
        <v>1.3411268222130466</v>
      </c>
      <c r="F25" s="22">
        <f>('2012-2022'!F25-'2012-2022'!S$2)/'2012-2022'!S$3</f>
        <v>-0.57093537230103075</v>
      </c>
      <c r="G25" s="22">
        <f>('2012-2022'!G25-'2012-2022'!T$2)/'2012-2022'!T$3</f>
        <v>-0.17630524331164116</v>
      </c>
      <c r="H25" s="22">
        <f>('2012-2022'!H25-'2012-2022'!U$2)/'2012-2022'!U$3</f>
        <v>0.35703412088014125</v>
      </c>
      <c r="I25" s="22">
        <f>('2012-2022'!I25-'2012-2022'!V$2)/'2012-2022'!V$3</f>
        <v>2.0894713101806044</v>
      </c>
      <c r="J25" s="22">
        <f>('2012-2022'!J25-'2012-2022'!W$2)/'2012-2022'!W$3</f>
        <v>0.71429669685048613</v>
      </c>
      <c r="K25" s="22">
        <f>('2012-2022'!K25-'2012-2022'!X$2)/'2012-2022'!X$3</f>
        <v>1.9047443650850033</v>
      </c>
      <c r="L25" s="22">
        <f>('2012-2022'!L25-'2012-2022'!Y$2)/'2012-2022'!Y$3</f>
        <v>4.1083927611949324E-2</v>
      </c>
      <c r="M25" s="22">
        <f>('2012-2022'!M25-'2012-2022'!Z$2)/'2012-2022'!Z$3</f>
        <v>-1.1899352260279392</v>
      </c>
      <c r="N25" s="22">
        <f>('2012-2022'!N25-'2012-2022'!AA$2)/'2012-2022'!AA$3</f>
        <v>1.4668076060179609</v>
      </c>
      <c r="O25" s="22">
        <f>('2012-2022'!P25-'2012-2022'!AC$2)/'2012-2022'!AC$3</f>
        <v>0.84776012156182234</v>
      </c>
    </row>
    <row r="26" spans="1:15">
      <c r="A26" s="10" t="s">
        <v>2</v>
      </c>
      <c r="B26" s="11">
        <v>2014</v>
      </c>
      <c r="C26" s="14" t="s">
        <v>51</v>
      </c>
      <c r="D26" s="14" t="s">
        <v>54</v>
      </c>
      <c r="E26" s="22">
        <f>('2012-2022'!E26-'2012-2022'!R$2)/'2012-2022'!R$3</f>
        <v>1.814004868479093</v>
      </c>
      <c r="F26" s="22">
        <f>('2012-2022'!F26-'2012-2022'!S$2)/'2012-2022'!S$3</f>
        <v>-0.18902435488164035</v>
      </c>
      <c r="G26" s="22">
        <f>('2012-2022'!G26-'2012-2022'!T$2)/'2012-2022'!T$3</f>
        <v>-0.32476255152228423</v>
      </c>
      <c r="H26" s="22">
        <f>('2012-2022'!H26-'2012-2022'!U$2)/'2012-2022'!U$3</f>
        <v>0.992728081663384</v>
      </c>
      <c r="I26" s="22">
        <f>('2012-2022'!I26-'2012-2022'!V$2)/'2012-2022'!V$3</f>
        <v>2.4209296346756668</v>
      </c>
      <c r="J26" s="22">
        <f>('2012-2022'!J26-'2012-2022'!W$2)/'2012-2022'!W$3</f>
        <v>1.1696823445579421</v>
      </c>
      <c r="K26" s="22">
        <f>('2012-2022'!K26-'2012-2022'!X$2)/'2012-2022'!X$3</f>
        <v>2.0202924673511347</v>
      </c>
      <c r="L26" s="22">
        <f>('2012-2022'!L26-'2012-2022'!Y$2)/'2012-2022'!Y$3</f>
        <v>0.52439786953411471</v>
      </c>
      <c r="M26" s="22">
        <f>('2012-2022'!M26-'2012-2022'!Z$2)/'2012-2022'!Z$3</f>
        <v>-1.2218531534057064</v>
      </c>
      <c r="N26" s="22">
        <f>('2012-2022'!N26-'2012-2022'!AA$2)/'2012-2022'!AA$3</f>
        <v>1.3798998257134274</v>
      </c>
      <c r="O26" s="22">
        <f>('2012-2022'!P26-'2012-2022'!AC$2)/'2012-2022'!AC$3</f>
        <v>0.62444964972902539</v>
      </c>
    </row>
    <row r="27" spans="1:15">
      <c r="A27" s="10" t="s">
        <v>2</v>
      </c>
      <c r="B27" s="11">
        <v>2015</v>
      </c>
      <c r="C27" s="14" t="s">
        <v>51</v>
      </c>
      <c r="D27" s="14" t="s">
        <v>54</v>
      </c>
      <c r="E27" s="22">
        <f>('2012-2022'!E27-'2012-2022'!R$2)/'2012-2022'!R$3</f>
        <v>1.5929345555665499</v>
      </c>
      <c r="F27" s="22">
        <f>('2012-2022'!F27-'2012-2022'!S$2)/'2012-2022'!S$3</f>
        <v>-0.50750850463909236</v>
      </c>
      <c r="G27" s="22">
        <f>('2012-2022'!G27-'2012-2022'!T$2)/'2012-2022'!T$3</f>
        <v>-0.194287517812921</v>
      </c>
      <c r="H27" s="22">
        <f>('2012-2022'!H27-'2012-2022'!U$2)/'2012-2022'!U$3</f>
        <v>0.81030432235345207</v>
      </c>
      <c r="I27" s="22">
        <f>('2012-2022'!I27-'2012-2022'!V$2)/'2012-2022'!V$3</f>
        <v>2.0117093071236338</v>
      </c>
      <c r="J27" s="22">
        <f>('2012-2022'!J27-'2012-2022'!W$2)/'2012-2022'!W$3</f>
        <v>1.2433026848087614</v>
      </c>
      <c r="K27" s="22">
        <f>('2012-2022'!K27-'2012-2022'!X$2)/'2012-2022'!X$3</f>
        <v>2.2732232871709646</v>
      </c>
      <c r="L27" s="22">
        <f>('2012-2022'!L27-'2012-2022'!Y$2)/'2012-2022'!Y$3</f>
        <v>0.16049859147407769</v>
      </c>
      <c r="M27" s="22">
        <f>('2012-2022'!M27-'2012-2022'!Z$2)/'2012-2022'!Z$3</f>
        <v>-1.2536603462709968</v>
      </c>
      <c r="N27" s="22">
        <f>('2012-2022'!N27-'2012-2022'!AA$2)/'2012-2022'!AA$3</f>
        <v>0.78035932637130745</v>
      </c>
      <c r="O27" s="22">
        <f>('2012-2022'!P27-'2012-2022'!AC$2)/'2012-2022'!AC$3</f>
        <v>0.49769327250204071</v>
      </c>
    </row>
    <row r="28" spans="1:15">
      <c r="A28" s="10" t="s">
        <v>2</v>
      </c>
      <c r="B28" s="11">
        <v>2016</v>
      </c>
      <c r="C28" s="14" t="s">
        <v>51</v>
      </c>
      <c r="D28" s="14" t="s">
        <v>54</v>
      </c>
      <c r="E28" s="22">
        <f>('2012-2022'!E28-'2012-2022'!R$2)/'2012-2022'!R$3</f>
        <v>1.3920399841670579</v>
      </c>
      <c r="F28" s="22">
        <f>('2012-2022'!F28-'2012-2022'!S$2)/'2012-2022'!S$3</f>
        <v>-0.55816691102843641</v>
      </c>
      <c r="G28" s="22">
        <f>('2012-2022'!G28-'2012-2022'!T$2)/'2012-2022'!T$3</f>
        <v>-0.12023640481221917</v>
      </c>
      <c r="H28" s="22">
        <f>('2012-2022'!H28-'2012-2022'!U$2)/'2012-2022'!U$3</f>
        <v>0.63953577789986293</v>
      </c>
      <c r="I28" s="22">
        <f>('2012-2022'!I28-'2012-2022'!V$2)/'2012-2022'!V$3</f>
        <v>1.7841751327434492</v>
      </c>
      <c r="J28" s="22">
        <f>('2012-2022'!J28-'2012-2022'!W$2)/'2012-2022'!W$3</f>
        <v>0.85188949238286571</v>
      </c>
      <c r="K28" s="22">
        <f>('2012-2022'!K28-'2012-2022'!X$2)/'2012-2022'!X$3</f>
        <v>1.9508897214073584</v>
      </c>
      <c r="L28" s="22">
        <f>('2012-2022'!L28-'2012-2022'!Y$2)/'2012-2022'!Y$3</f>
        <v>-0.10340971346870974</v>
      </c>
      <c r="M28" s="22">
        <f>('2012-2022'!M28-'2012-2022'!Z$2)/'2012-2022'!Z$3</f>
        <v>-1.2087213054968111</v>
      </c>
      <c r="N28" s="22">
        <f>('2012-2022'!N28-'2012-2022'!AA$2)/'2012-2022'!AA$3</f>
        <v>0.34686610951737995</v>
      </c>
      <c r="O28" s="22">
        <f>('2012-2022'!P28-'2012-2022'!AC$2)/'2012-2022'!AC$3</f>
        <v>0.56445468452655689</v>
      </c>
    </row>
    <row r="29" spans="1:15">
      <c r="A29" s="10" t="s">
        <v>2</v>
      </c>
      <c r="B29" s="11">
        <v>2017</v>
      </c>
      <c r="C29" s="14" t="s">
        <v>51</v>
      </c>
      <c r="D29" s="14" t="s">
        <v>54</v>
      </c>
      <c r="E29" s="22">
        <f>('2012-2022'!E29-'2012-2022'!R$2)/'2012-2022'!R$3</f>
        <v>1.2899769637469793</v>
      </c>
      <c r="F29" s="22">
        <f>('2012-2022'!F29-'2012-2022'!S$2)/'2012-2022'!S$3</f>
        <v>-0.84032271378727597</v>
      </c>
      <c r="G29" s="22">
        <f>('2012-2022'!G29-'2012-2022'!T$2)/'2012-2022'!T$3</f>
        <v>5.2280718334509736E-6</v>
      </c>
      <c r="H29" s="22">
        <f>('2012-2022'!H29-'2012-2022'!U$2)/'2012-2022'!U$3</f>
        <v>0.31337093413660799</v>
      </c>
      <c r="I29" s="22">
        <f>('2012-2022'!I29-'2012-2022'!V$2)/'2012-2022'!V$3</f>
        <v>1.8060540836288501</v>
      </c>
      <c r="J29" s="22">
        <f>('2012-2022'!J29-'2012-2022'!W$2)/'2012-2022'!W$3</f>
        <v>0.90565728333889139</v>
      </c>
      <c r="K29" s="22">
        <f>('2012-2022'!K29-'2012-2022'!X$2)/'2012-2022'!X$3</f>
        <v>1.8999775943608523</v>
      </c>
      <c r="L29" s="22">
        <f>('2012-2022'!L29-'2012-2022'!Y$2)/'2012-2022'!Y$3</f>
        <v>0.13323614583122223</v>
      </c>
      <c r="M29" s="22">
        <f>('2012-2022'!M29-'2012-2022'!Z$2)/'2012-2022'!Z$3</f>
        <v>-1.0873295965764462</v>
      </c>
      <c r="N29" s="22">
        <f>('2012-2022'!N29-'2012-2022'!AA$2)/'2012-2022'!AA$3</f>
        <v>0.66705641093564727</v>
      </c>
      <c r="O29" s="22">
        <f>('2012-2022'!P29-'2012-2022'!AC$2)/'2012-2022'!AC$3</f>
        <v>0.51928980548244175</v>
      </c>
    </row>
    <row r="30" spans="1:15">
      <c r="A30" s="10" t="s">
        <v>2</v>
      </c>
      <c r="B30" s="11">
        <v>2018</v>
      </c>
      <c r="C30" s="14" t="s">
        <v>51</v>
      </c>
      <c r="D30" s="14" t="s">
        <v>54</v>
      </c>
      <c r="E30" s="22">
        <f>('2012-2022'!E30-'2012-2022'!R$2)/'2012-2022'!R$3</f>
        <v>1.3516315048601673</v>
      </c>
      <c r="F30" s="22">
        <f>('2012-2022'!F30-'2012-2022'!S$2)/'2012-2022'!S$3</f>
        <v>-0.31185908828950909</v>
      </c>
      <c r="G30" s="22">
        <f>('2012-2022'!G30-'2012-2022'!T$2)/'2012-2022'!T$3</f>
        <v>-0.64841767229502001</v>
      </c>
      <c r="H30" s="22">
        <f>('2012-2022'!H30-'2012-2022'!U$2)/'2012-2022'!U$3</f>
        <v>1.0307641243059942</v>
      </c>
      <c r="I30" s="22">
        <f>('2012-2022'!I30-'2012-2022'!V$2)/'2012-2022'!V$3</f>
        <v>1.4739787483396727</v>
      </c>
      <c r="J30" s="22">
        <f>('2012-2022'!J30-'2012-2022'!W$2)/'2012-2022'!W$3</f>
        <v>0.96521450185846536</v>
      </c>
      <c r="K30" s="22">
        <f>('2012-2022'!K30-'2012-2022'!X$2)/'2012-2022'!X$3</f>
        <v>2.1223550050696263</v>
      </c>
      <c r="L30" s="22">
        <f>('2012-2022'!L30-'2012-2022'!Y$2)/'2012-2022'!Y$3</f>
        <v>3.0990489809804404E-2</v>
      </c>
      <c r="M30" s="22">
        <f>('2012-2022'!M30-'2012-2022'!Z$2)/'2012-2022'!Z$3</f>
        <v>-1.1176689217484577</v>
      </c>
      <c r="N30" s="22">
        <f>('2012-2022'!N30-'2012-2022'!AA$2)/'2012-2022'!AA$3</f>
        <v>1.0556970260452652</v>
      </c>
      <c r="O30" s="22">
        <f>('2012-2022'!P30-'2012-2022'!AC$2)/'2012-2022'!AC$3</f>
        <v>0.43779712425210232</v>
      </c>
    </row>
    <row r="31" spans="1:15">
      <c r="A31" s="10" t="s">
        <v>2</v>
      </c>
      <c r="B31" s="11">
        <v>2019</v>
      </c>
      <c r="C31" s="14" t="s">
        <v>51</v>
      </c>
      <c r="D31" s="14" t="s">
        <v>54</v>
      </c>
      <c r="E31" s="22">
        <f>('2012-2022'!E31-'2012-2022'!R$2)/'2012-2022'!R$3</f>
        <v>3.1673713568229491</v>
      </c>
      <c r="F31" s="22">
        <f>('2012-2022'!F31-'2012-2022'!S$2)/'2012-2022'!S$3</f>
        <v>-1.4606610822619475E-2</v>
      </c>
      <c r="G31" s="22">
        <f>('2012-2022'!G31-'2012-2022'!T$2)/'2012-2022'!T$3</f>
        <v>-0.55827384990117901</v>
      </c>
      <c r="H31" s="22">
        <f>('2012-2022'!H31-'2012-2022'!U$2)/'2012-2022'!U$3</f>
        <v>2.7922887378336463</v>
      </c>
      <c r="I31" s="22">
        <f>('2012-2022'!I31-'2012-2022'!V$2)/'2012-2022'!V$3</f>
        <v>3.2068246818847634</v>
      </c>
      <c r="J31" s="22">
        <f>('2012-2022'!J31-'2012-2022'!W$2)/'2012-2022'!W$3</f>
        <v>2.0961249253088599</v>
      </c>
      <c r="K31" s="22">
        <f>('2012-2022'!K31-'2012-2022'!X$2)/'2012-2022'!X$3</f>
        <v>2.5604862340892289</v>
      </c>
      <c r="L31" s="22">
        <f>('2012-2022'!L31-'2012-2022'!Y$2)/'2012-2022'!Y$3</f>
        <v>2.3307843789452565</v>
      </c>
      <c r="M31" s="22">
        <f>('2012-2022'!M31-'2012-2022'!Z$2)/'2012-2022'!Z$3</f>
        <v>1.5497514364902016</v>
      </c>
      <c r="N31" s="22">
        <f>('2012-2022'!N31-'2012-2022'!AA$2)/'2012-2022'!AA$3</f>
        <v>0.17549125623006287</v>
      </c>
      <c r="O31" s="22">
        <f>('2012-2022'!P31-'2012-2022'!AC$2)/'2012-2022'!AC$3</f>
        <v>0.31442139314921125</v>
      </c>
    </row>
    <row r="32" spans="1:15">
      <c r="A32" s="10" t="s">
        <v>2</v>
      </c>
      <c r="B32" s="11">
        <v>2020</v>
      </c>
      <c r="C32" s="14" t="s">
        <v>51</v>
      </c>
      <c r="D32" s="14" t="s">
        <v>54</v>
      </c>
      <c r="E32" s="22">
        <f>('2012-2022'!E32-'2012-2022'!R$2)/'2012-2022'!R$3</f>
        <v>1.9580936843032686</v>
      </c>
      <c r="F32" s="22">
        <f>('2012-2022'!F32-'2012-2022'!S$2)/'2012-2022'!S$3</f>
        <v>0.61692353666504007</v>
      </c>
      <c r="G32" s="22">
        <f>('2012-2022'!G32-'2012-2022'!T$2)/'2012-2022'!T$3</f>
        <v>-0.65608235915832613</v>
      </c>
      <c r="H32" s="22">
        <f>('2012-2022'!H32-'2012-2022'!U$2)/'2012-2022'!U$3</f>
        <v>2.3435862388322168</v>
      </c>
      <c r="I32" s="22">
        <f>('2012-2022'!I32-'2012-2022'!V$2)/'2012-2022'!V$3</f>
        <v>1.5871579956224784</v>
      </c>
      <c r="J32" s="22">
        <f>('2012-2022'!J32-'2012-2022'!W$2)/'2012-2022'!W$3</f>
        <v>1.7621899283504157</v>
      </c>
      <c r="K32" s="22">
        <f>('2012-2022'!K32-'2012-2022'!X$2)/'2012-2022'!X$3</f>
        <v>2.2545701297470537</v>
      </c>
      <c r="L32" s="22">
        <f>('2012-2022'!L32-'2012-2022'!Y$2)/'2012-2022'!Y$3</f>
        <v>1.9153641653872393</v>
      </c>
      <c r="M32" s="22">
        <f>('2012-2022'!M32-'2012-2022'!Z$2)/'2012-2022'!Z$3</f>
        <v>0.77900327207525644</v>
      </c>
      <c r="N32" s="22">
        <f>('2012-2022'!N32-'2012-2022'!AA$2)/'2012-2022'!AA$3</f>
        <v>0.11738222469285195</v>
      </c>
      <c r="O32" s="22">
        <f>('2012-2022'!P32-'2012-2022'!AC$2)/'2012-2022'!AC$3</f>
        <v>7.9339131833952109E-2</v>
      </c>
    </row>
    <row r="33" spans="1:15">
      <c r="A33" s="10" t="s">
        <v>2</v>
      </c>
      <c r="B33" s="11">
        <v>2021</v>
      </c>
      <c r="C33" s="14" t="s">
        <v>51</v>
      </c>
      <c r="D33" s="14" t="s">
        <v>54</v>
      </c>
      <c r="E33" s="22">
        <f>('2012-2022'!E33-'2012-2022'!R$2)/'2012-2022'!R$3</f>
        <v>2.6630389506521701</v>
      </c>
      <c r="F33" s="22">
        <f>('2012-2022'!F33-'2012-2022'!S$2)/'2012-2022'!S$3</f>
        <v>-0.10641940126403966</v>
      </c>
      <c r="G33" s="22">
        <f>('2012-2022'!G33-'2012-2022'!T$2)/'2012-2022'!T$3</f>
        <v>0.16902362335957019</v>
      </c>
      <c r="H33" s="22">
        <f>('2012-2022'!H33-'2012-2022'!U$2)/'2012-2022'!U$3</f>
        <v>1.8414828232672014</v>
      </c>
      <c r="I33" s="22">
        <f>('2012-2022'!I33-'2012-2022'!V$2)/'2012-2022'!V$3</f>
        <v>3.0231453987763239</v>
      </c>
      <c r="J33" s="22">
        <f>('2012-2022'!J33-'2012-2022'!W$2)/'2012-2022'!W$3</f>
        <v>1.6777465527696347</v>
      </c>
      <c r="K33" s="22">
        <f>('2012-2022'!K33-'2012-2022'!X$2)/'2012-2022'!X$3</f>
        <v>2.218784808900149</v>
      </c>
      <c r="L33" s="22">
        <f>('2012-2022'!L33-'2012-2022'!Y$2)/'2012-2022'!Y$3</f>
        <v>2.3114033057626227</v>
      </c>
      <c r="M33" s="22">
        <f>('2012-2022'!M33-'2012-2022'!Z$2)/'2012-2022'!Z$3</f>
        <v>0.69609192336724701</v>
      </c>
      <c r="N33" s="22">
        <f>('2012-2022'!N33-'2012-2022'!AA$2)/'2012-2022'!AA$3</f>
        <v>0.92919910216718693</v>
      </c>
      <c r="O33" s="22">
        <f>('2012-2022'!P33-'2012-2022'!AC$2)/'2012-2022'!AC$3</f>
        <v>5.8498309669911285E-2</v>
      </c>
    </row>
    <row r="34" spans="1:15">
      <c r="A34" s="10" t="s">
        <v>2</v>
      </c>
      <c r="B34" s="11">
        <v>2022</v>
      </c>
      <c r="C34" s="14" t="s">
        <v>51</v>
      </c>
      <c r="D34" s="14" t="s">
        <v>54</v>
      </c>
      <c r="E34" s="22">
        <f>('2012-2022'!E34-'2012-2022'!R$2)/'2012-2022'!R$3</f>
        <v>1.7881666586017955</v>
      </c>
      <c r="F34" s="22">
        <f>('2012-2022'!F34-'2012-2022'!S$2)/'2012-2022'!S$3</f>
        <v>-0.22246737680594403</v>
      </c>
      <c r="G34" s="22">
        <f>('2012-2022'!G34-'2012-2022'!T$2)/'2012-2022'!T$3</f>
        <v>-0.44450232185000693</v>
      </c>
      <c r="H34" s="22">
        <f>('2012-2022'!H34-'2012-2022'!U$2)/'2012-2022'!U$3</f>
        <v>1.3714407179245238</v>
      </c>
      <c r="I34" s="22">
        <f>('2012-2022'!I34-'2012-2022'!V$2)/'2012-2022'!V$3</f>
        <v>1.9412037567103397</v>
      </c>
      <c r="J34" s="22">
        <f>('2012-2022'!J34-'2012-2022'!W$2)/'2012-2022'!W$3</f>
        <v>1.6228087891238017</v>
      </c>
      <c r="K34" s="22">
        <f>('2012-2022'!K34-'2012-2022'!X$2)/'2012-2022'!X$3</f>
        <v>1.9732064017124229</v>
      </c>
      <c r="L34" s="22">
        <f>('2012-2022'!L34-'2012-2022'!Y$2)/'2012-2022'!Y$3</f>
        <v>2.1385094388376169</v>
      </c>
      <c r="M34" s="22">
        <f>('2012-2022'!M34-'2012-2022'!Z$2)/'2012-2022'!Z$3</f>
        <v>0.74815316234880058</v>
      </c>
      <c r="N34" s="22">
        <f>('2012-2022'!N34-'2012-2022'!AA$2)/'2012-2022'!AA$3</f>
        <v>0.35457056644119561</v>
      </c>
      <c r="O34" s="22">
        <f>('2012-2022'!P34-'2012-2022'!AC$2)/'2012-2022'!AC$3</f>
        <v>8.059303269733483E-4</v>
      </c>
    </row>
    <row r="35" spans="1:15">
      <c r="A35" s="10" t="s">
        <v>3</v>
      </c>
      <c r="B35" s="11">
        <v>2012</v>
      </c>
      <c r="C35" s="14" t="s">
        <v>51</v>
      </c>
      <c r="D35" s="14" t="s">
        <v>52</v>
      </c>
      <c r="E35" s="22">
        <f>('2012-2022'!E35-'2012-2022'!R$2)/'2012-2022'!R$3</f>
        <v>1.3323569821519334</v>
      </c>
      <c r="F35" s="22">
        <f>('2012-2022'!F35-'2012-2022'!S$2)/'2012-2022'!S$3</f>
        <v>1.0720215979760483</v>
      </c>
      <c r="G35" s="22">
        <f>('2012-2022'!G35-'2012-2022'!T$2)/'2012-2022'!T$3</f>
        <v>0.35703900001524819</v>
      </c>
      <c r="H35" s="22">
        <f>('2012-2022'!H35-'2012-2022'!U$2)/'2012-2022'!U$3</f>
        <v>1.3212705497004462</v>
      </c>
      <c r="I35" s="22">
        <f>('2012-2022'!I35-'2012-2022'!V$2)/'2012-2022'!V$3</f>
        <v>1.2846744213427854</v>
      </c>
      <c r="J35" s="22">
        <f>('2012-2022'!J35-'2012-2022'!W$2)/'2012-2022'!W$3</f>
        <v>0.44877321757247002</v>
      </c>
      <c r="K35" s="22">
        <f>('2012-2022'!K35-'2012-2022'!X$2)/'2012-2022'!X$3</f>
        <v>2.6345841534197443</v>
      </c>
      <c r="L35" s="22">
        <f>('2012-2022'!L35-'2012-2022'!Y$2)/'2012-2022'!Y$3</f>
        <v>-0.93576940527214358</v>
      </c>
      <c r="M35" s="22">
        <f>('2012-2022'!M35-'2012-2022'!Z$2)/'2012-2022'!Z$3</f>
        <v>-0.85405779834748785</v>
      </c>
      <c r="N35" s="22">
        <f>('2012-2022'!N35-'2012-2022'!AA$2)/'2012-2022'!AA$3</f>
        <v>1.6782880924232388</v>
      </c>
      <c r="O35" s="22">
        <f>('2012-2022'!P35-'2012-2022'!AC$2)/'2012-2022'!AC$3</f>
        <v>-0.76092982854746827</v>
      </c>
    </row>
    <row r="36" spans="1:15">
      <c r="A36" s="10" t="s">
        <v>3</v>
      </c>
      <c r="B36" s="11">
        <v>2013</v>
      </c>
      <c r="C36" s="14" t="s">
        <v>51</v>
      </c>
      <c r="D36" s="14" t="s">
        <v>52</v>
      </c>
      <c r="E36" s="22">
        <f>('2012-2022'!E36-'2012-2022'!R$2)/'2012-2022'!R$3</f>
        <v>1.4988547182163467</v>
      </c>
      <c r="F36" s="22">
        <f>('2012-2022'!F36-'2012-2022'!S$2)/'2012-2022'!S$3</f>
        <v>0.84980784357583372</v>
      </c>
      <c r="G36" s="22">
        <f>('2012-2022'!G36-'2012-2022'!T$2)/'2012-2022'!T$3</f>
        <v>-0.39473480928473126</v>
      </c>
      <c r="H36" s="22">
        <f>('2012-2022'!H36-'2012-2022'!U$2)/'2012-2022'!U$3</f>
        <v>1.6017746147651821</v>
      </c>
      <c r="I36" s="22">
        <f>('2012-2022'!I36-'2012-2022'!V$2)/'2012-2022'!V$3</f>
        <v>1.3625229322414851</v>
      </c>
      <c r="J36" s="22">
        <f>('2012-2022'!J36-'2012-2022'!W$2)/'2012-2022'!W$3</f>
        <v>0.5595724951534955</v>
      </c>
      <c r="K36" s="22">
        <f>('2012-2022'!K36-'2012-2022'!X$2)/'2012-2022'!X$3</f>
        <v>2.6546207720455035</v>
      </c>
      <c r="L36" s="22">
        <f>('2012-2022'!L36-'2012-2022'!Y$2)/'2012-2022'!Y$3</f>
        <v>-1.5052845337777254</v>
      </c>
      <c r="M36" s="22">
        <f>('2012-2022'!M36-'2012-2022'!Z$2)/'2012-2022'!Z$3</f>
        <v>-0.80447405079234258</v>
      </c>
      <c r="N36" s="22">
        <f>('2012-2022'!N36-'2012-2022'!AA$2)/'2012-2022'!AA$3</f>
        <v>1.423289966554119</v>
      </c>
      <c r="O36" s="22">
        <f>('2012-2022'!P36-'2012-2022'!AC$2)/'2012-2022'!AC$3</f>
        <v>-0.74311109532098696</v>
      </c>
    </row>
    <row r="37" spans="1:15">
      <c r="A37" s="10" t="s">
        <v>3</v>
      </c>
      <c r="B37" s="11">
        <v>2014</v>
      </c>
      <c r="C37" s="14" t="s">
        <v>51</v>
      </c>
      <c r="D37" s="14" t="s">
        <v>52</v>
      </c>
      <c r="E37" s="22">
        <f>('2012-2022'!E37-'2012-2022'!R$2)/'2012-2022'!R$3</f>
        <v>0.70793249865449748</v>
      </c>
      <c r="F37" s="22">
        <f>('2012-2022'!F37-'2012-2022'!S$2)/'2012-2022'!S$3</f>
        <v>0.27232479519866754</v>
      </c>
      <c r="G37" s="22">
        <f>('2012-2022'!G37-'2012-2022'!T$2)/'2012-2022'!T$3</f>
        <v>2.8586882478822691E-2</v>
      </c>
      <c r="H37" s="22">
        <f>('2012-2022'!H37-'2012-2022'!U$2)/'2012-2022'!U$3</f>
        <v>0.46471245728863642</v>
      </c>
      <c r="I37" s="22">
        <f>('2012-2022'!I37-'2012-2022'!V$2)/'2012-2022'!V$3</f>
        <v>0.87990967730064384</v>
      </c>
      <c r="J37" s="22">
        <f>('2012-2022'!J37-'2012-2022'!W$2)/'2012-2022'!W$3</f>
        <v>0.52209854469049599</v>
      </c>
      <c r="K37" s="22">
        <f>('2012-2022'!K37-'2012-2022'!X$2)/'2012-2022'!X$3</f>
        <v>2.2060496843470303</v>
      </c>
      <c r="L37" s="22">
        <f>('2012-2022'!L37-'2012-2022'!Y$2)/'2012-2022'!Y$3</f>
        <v>-1.1923369139056328</v>
      </c>
      <c r="M37" s="22">
        <f>('2012-2022'!M37-'2012-2022'!Z$2)/'2012-2022'!Z$3</f>
        <v>-0.88885909072572622</v>
      </c>
      <c r="N37" s="22">
        <f>('2012-2022'!N37-'2012-2022'!AA$2)/'2012-2022'!AA$3</f>
        <v>1.3017109798591535</v>
      </c>
      <c r="O37" s="22">
        <f>('2012-2022'!P37-'2012-2022'!AC$2)/'2012-2022'!AC$3</f>
        <v>-0.71772859070127892</v>
      </c>
    </row>
    <row r="38" spans="1:15">
      <c r="A38" s="10" t="s">
        <v>3</v>
      </c>
      <c r="B38" s="11">
        <v>2015</v>
      </c>
      <c r="C38" s="14" t="s">
        <v>51</v>
      </c>
      <c r="D38" s="14" t="s">
        <v>52</v>
      </c>
      <c r="E38" s="22">
        <f>('2012-2022'!E38-'2012-2022'!R$2)/'2012-2022'!R$3</f>
        <v>1.1956880411203237</v>
      </c>
      <c r="F38" s="22">
        <f>('2012-2022'!F38-'2012-2022'!S$2)/'2012-2022'!S$3</f>
        <v>0.57541521944772245</v>
      </c>
      <c r="G38" s="22">
        <f>('2012-2022'!G38-'2012-2022'!T$2)/'2012-2022'!T$3</f>
        <v>-0.48637888420678099</v>
      </c>
      <c r="H38" s="22">
        <f>('2012-2022'!H38-'2012-2022'!U$2)/'2012-2022'!U$3</f>
        <v>1.2365331966094626</v>
      </c>
      <c r="I38" s="22">
        <f>('2012-2022'!I38-'2012-2022'!V$2)/'2012-2022'!V$3</f>
        <v>1.1218122719287635</v>
      </c>
      <c r="J38" s="22">
        <f>('2012-2022'!J38-'2012-2022'!W$2)/'2012-2022'!W$3</f>
        <v>0.70100414154147705</v>
      </c>
      <c r="K38" s="22">
        <f>('2012-2022'!K38-'2012-2022'!X$2)/'2012-2022'!X$3</f>
        <v>2.2461451589452119</v>
      </c>
      <c r="L38" s="22">
        <f>('2012-2022'!L38-'2012-2022'!Y$2)/'2012-2022'!Y$3</f>
        <v>-1.0074524237024918</v>
      </c>
      <c r="M38" s="22">
        <f>('2012-2022'!M38-'2012-2022'!Z$2)/'2012-2022'!Z$3</f>
        <v>-0.52852222245501235</v>
      </c>
      <c r="N38" s="22">
        <f>('2012-2022'!N38-'2012-2022'!AA$2)/'2012-2022'!AA$3</f>
        <v>0.83680569766703872</v>
      </c>
      <c r="O38" s="22">
        <f>('2012-2022'!P38-'2012-2022'!AC$2)/'2012-2022'!AC$3</f>
        <v>-0.65082913667437303</v>
      </c>
    </row>
    <row r="39" spans="1:15">
      <c r="A39" s="10" t="s">
        <v>3</v>
      </c>
      <c r="B39" s="11">
        <v>2016</v>
      </c>
      <c r="C39" s="14" t="s">
        <v>51</v>
      </c>
      <c r="D39" s="14" t="s">
        <v>52</v>
      </c>
      <c r="E39" s="22">
        <f>('2012-2022'!E39-'2012-2022'!R$2)/'2012-2022'!R$3</f>
        <v>2.1056583044345696</v>
      </c>
      <c r="F39" s="22">
        <f>('2012-2022'!F39-'2012-2022'!S$2)/'2012-2022'!S$3</f>
        <v>1.7676030976733514</v>
      </c>
      <c r="G39" s="22">
        <f>('2012-2022'!G39-'2012-2022'!T$2)/'2012-2022'!T$3</f>
        <v>-0.51009529290822853</v>
      </c>
      <c r="H39" s="22">
        <f>('2012-2022'!H39-'2012-2022'!U$2)/'2012-2022'!U$3</f>
        <v>2.0137942965160929</v>
      </c>
      <c r="I39" s="22">
        <f>('2012-2022'!I39-'2012-2022'!V$2)/'2012-2022'!V$3</f>
        <v>2.2195323827527362</v>
      </c>
      <c r="J39" s="22">
        <f>('2012-2022'!J39-'2012-2022'!W$2)/'2012-2022'!W$3</f>
        <v>1.4342678240160009</v>
      </c>
      <c r="K39" s="22">
        <f>('2012-2022'!K39-'2012-2022'!X$2)/'2012-2022'!X$3</f>
        <v>2.338142608120275</v>
      </c>
      <c r="L39" s="22">
        <f>('2012-2022'!L39-'2012-2022'!Y$2)/'2012-2022'!Y$3</f>
        <v>0.50909624962904843</v>
      </c>
      <c r="M39" s="22">
        <f>('2012-2022'!M39-'2012-2022'!Z$2)/'2012-2022'!Z$3</f>
        <v>-1.7905130826797717</v>
      </c>
      <c r="N39" s="22">
        <f>('2012-2022'!N39-'2012-2022'!AA$2)/'2012-2022'!AA$3</f>
        <v>0.40996504824775987</v>
      </c>
      <c r="O39" s="22">
        <f>('2012-2022'!P39-'2012-2022'!AC$2)/'2012-2022'!AC$3</f>
        <v>-0.69676393304329132</v>
      </c>
    </row>
    <row r="40" spans="1:15">
      <c r="A40" s="10" t="s">
        <v>3</v>
      </c>
      <c r="B40" s="11">
        <v>2017</v>
      </c>
      <c r="C40" s="14" t="s">
        <v>51</v>
      </c>
      <c r="D40" s="14" t="s">
        <v>52</v>
      </c>
      <c r="E40" s="22">
        <f>('2012-2022'!E40-'2012-2022'!R$2)/'2012-2022'!R$3</f>
        <v>0.92219717557231995</v>
      </c>
      <c r="F40" s="22">
        <f>('2012-2022'!F40-'2012-2022'!S$2)/'2012-2022'!S$3</f>
        <v>0.88775961344438448</v>
      </c>
      <c r="G40" s="22">
        <f>('2012-2022'!G40-'2012-2022'!T$2)/'2012-2022'!T$3</f>
        <v>-0.41732515858250518</v>
      </c>
      <c r="H40" s="22">
        <f>('2012-2022'!H40-'2012-2022'!U$2)/'2012-2022'!U$3</f>
        <v>1.2225986903410695</v>
      </c>
      <c r="I40" s="22">
        <f>('2012-2022'!I40-'2012-2022'!V$2)/'2012-2022'!V$3</f>
        <v>0.67412230148654673</v>
      </c>
      <c r="J40" s="22">
        <f>('2012-2022'!J40-'2012-2022'!W$2)/'2012-2022'!W$3</f>
        <v>1.4843940993272062</v>
      </c>
      <c r="K40" s="22">
        <f>('2012-2022'!K40-'2012-2022'!X$2)/'2012-2022'!X$3</f>
        <v>2.6310468587663114</v>
      </c>
      <c r="L40" s="22">
        <f>('2012-2022'!L40-'2012-2022'!Y$2)/'2012-2022'!Y$3</f>
        <v>-1.0798880796726942E-3</v>
      </c>
      <c r="M40" s="22">
        <f>('2012-2022'!M40-'2012-2022'!Z$2)/'2012-2022'!Z$3</f>
        <v>-1.5324633615445566</v>
      </c>
      <c r="N40" s="22">
        <f>('2012-2022'!N40-'2012-2022'!AA$2)/'2012-2022'!AA$3</f>
        <v>0.47261244424634652</v>
      </c>
      <c r="O40" s="22">
        <f>('2012-2022'!P40-'2012-2022'!AC$2)/'2012-2022'!AC$3</f>
        <v>-0.8282544720571442</v>
      </c>
    </row>
    <row r="41" spans="1:15">
      <c r="A41" s="10" t="s">
        <v>3</v>
      </c>
      <c r="B41" s="11">
        <v>2018</v>
      </c>
      <c r="C41" s="14" t="s">
        <v>51</v>
      </c>
      <c r="D41" s="14" t="s">
        <v>52</v>
      </c>
      <c r="E41" s="22">
        <f>('2012-2022'!E41-'2012-2022'!R$2)/'2012-2022'!R$3</f>
        <v>1.045248080804422</v>
      </c>
      <c r="F41" s="22">
        <f>('2012-2022'!F41-'2012-2022'!S$2)/'2012-2022'!S$3</f>
        <v>-8.9419753844657106E-3</v>
      </c>
      <c r="G41" s="22">
        <f>('2012-2022'!G41-'2012-2022'!T$2)/'2012-2022'!T$3</f>
        <v>-0.26342000799365378</v>
      </c>
      <c r="H41" s="22">
        <f>('2012-2022'!H41-'2012-2022'!U$2)/'2012-2022'!U$3</f>
        <v>0.78750405390956046</v>
      </c>
      <c r="I41" s="22">
        <f>('2012-2022'!I41-'2012-2022'!V$2)/'2012-2022'!V$3</f>
        <v>1.1651908399451671</v>
      </c>
      <c r="J41" s="22">
        <f>('2012-2022'!J41-'2012-2022'!W$2)/'2012-2022'!W$3</f>
        <v>1.30219219898168</v>
      </c>
      <c r="K41" s="22">
        <f>('2012-2022'!K41-'2012-2022'!X$2)/'2012-2022'!X$3</f>
        <v>2.1203056718804327</v>
      </c>
      <c r="L41" s="22">
        <f>('2012-2022'!L41-'2012-2022'!Y$2)/'2012-2022'!Y$3</f>
        <v>3.1825928910990571E-2</v>
      </c>
      <c r="M41" s="22">
        <f>('2012-2022'!M41-'2012-2022'!Z$2)/'2012-2022'!Z$3</f>
        <v>-1.5686560411792256</v>
      </c>
      <c r="N41" s="22">
        <f>('2012-2022'!N41-'2012-2022'!AA$2)/'2012-2022'!AA$3</f>
        <v>0.78816946640870078</v>
      </c>
      <c r="O41" s="22">
        <f>('2012-2022'!P41-'2012-2022'!AC$2)/'2012-2022'!AC$3</f>
        <v>-0.90306280248325055</v>
      </c>
    </row>
    <row r="42" spans="1:15">
      <c r="A42" s="10" t="s">
        <v>3</v>
      </c>
      <c r="B42" s="11">
        <v>2019</v>
      </c>
      <c r="C42" s="14" t="s">
        <v>51</v>
      </c>
      <c r="D42" s="14" t="s">
        <v>52</v>
      </c>
      <c r="E42" s="22">
        <f>('2012-2022'!E42-'2012-2022'!R$2)/'2012-2022'!R$3</f>
        <v>1.7289652903000461</v>
      </c>
      <c r="F42" s="22">
        <f>('2012-2022'!F42-'2012-2022'!S$2)/'2012-2022'!S$3</f>
        <v>0.87147733628643309</v>
      </c>
      <c r="G42" s="22">
        <f>('2012-2022'!G42-'2012-2022'!T$2)/'2012-2022'!T$3</f>
        <v>-1.2528055430265264E-2</v>
      </c>
      <c r="H42" s="22">
        <f>('2012-2022'!H42-'2012-2022'!U$2)/'2012-2022'!U$3</f>
        <v>1.876212538178863</v>
      </c>
      <c r="I42" s="22">
        <f>('2012-2022'!I42-'2012-2022'!V$2)/'2012-2022'!V$3</f>
        <v>1.5302226963627876</v>
      </c>
      <c r="J42" s="22">
        <f>('2012-2022'!J42-'2012-2022'!W$2)/'2012-2022'!W$3</f>
        <v>1.8209957044168275</v>
      </c>
      <c r="K42" s="22">
        <f>('2012-2022'!K42-'2012-2022'!X$2)/'2012-2022'!X$3</f>
        <v>1.5147759269403718</v>
      </c>
      <c r="L42" s="22">
        <f>('2012-2022'!L42-'2012-2022'!Y$2)/'2012-2022'!Y$3</f>
        <v>1.9773912718620685</v>
      </c>
      <c r="M42" s="22">
        <f>('2012-2022'!M42-'2012-2022'!Z$2)/'2012-2022'!Z$3</f>
        <v>-0.47501114450618953</v>
      </c>
      <c r="N42" s="22">
        <f>('2012-2022'!N42-'2012-2022'!AA$2)/'2012-2022'!AA$3</f>
        <v>0.11712941789580575</v>
      </c>
      <c r="O42" s="22">
        <f>('2012-2022'!P42-'2012-2022'!AC$2)/'2012-2022'!AC$3</f>
        <v>-0.74782074145169286</v>
      </c>
    </row>
    <row r="43" spans="1:15">
      <c r="A43" s="10" t="s">
        <v>3</v>
      </c>
      <c r="B43" s="11">
        <v>2020</v>
      </c>
      <c r="C43" s="14" t="s">
        <v>51</v>
      </c>
      <c r="D43" s="14" t="s">
        <v>52</v>
      </c>
      <c r="E43" s="22">
        <f>('2012-2022'!E43-'2012-2022'!R$2)/'2012-2022'!R$3</f>
        <v>3.0361418353563834</v>
      </c>
      <c r="F43" s="22">
        <f>('2012-2022'!F43-'2012-2022'!S$2)/'2012-2022'!S$3</f>
        <v>0.83840563514917199</v>
      </c>
      <c r="G43" s="22">
        <f>('2012-2022'!G43-'2012-2022'!T$2)/'2012-2022'!T$3</f>
        <v>0.17329589205157944</v>
      </c>
      <c r="H43" s="22">
        <f>('2012-2022'!H43-'2012-2022'!U$2)/'2012-2022'!U$3</f>
        <v>3.0039091876639281</v>
      </c>
      <c r="I43" s="22">
        <f>('2012-2022'!I43-'2012-2022'!V$2)/'2012-2022'!V$3</f>
        <v>2.8695423441435941</v>
      </c>
      <c r="J43" s="22">
        <f>('2012-2022'!J43-'2012-2022'!W$2)/'2012-2022'!W$3</f>
        <v>1.1636594575324701</v>
      </c>
      <c r="K43" s="22">
        <f>('2012-2022'!K43-'2012-2022'!X$2)/'2012-2022'!X$3</f>
        <v>1.5970727548950554</v>
      </c>
      <c r="L43" s="22">
        <f>('2012-2022'!L43-'2012-2022'!Y$2)/'2012-2022'!Y$3</f>
        <v>2.0070506857278092</v>
      </c>
      <c r="M43" s="22">
        <f>('2012-2022'!M43-'2012-2022'!Z$2)/'2012-2022'!Z$3</f>
        <v>-4.8130165291679163E-2</v>
      </c>
      <c r="N43" s="22">
        <f>('2012-2022'!N43-'2012-2022'!AA$2)/'2012-2022'!AA$3</f>
        <v>0.19184005116621763</v>
      </c>
      <c r="O43" s="22">
        <f>('2012-2022'!P43-'2012-2022'!AC$2)/'2012-2022'!AC$3</f>
        <v>-0.8377065775814192</v>
      </c>
    </row>
    <row r="44" spans="1:15">
      <c r="A44" s="10" t="s">
        <v>3</v>
      </c>
      <c r="B44" s="11">
        <v>2021</v>
      </c>
      <c r="C44" s="14" t="s">
        <v>51</v>
      </c>
      <c r="D44" s="14" t="s">
        <v>52</v>
      </c>
      <c r="E44" s="22">
        <f>('2012-2022'!E44-'2012-2022'!R$2)/'2012-2022'!R$3</f>
        <v>0.42987054998835256</v>
      </c>
      <c r="F44" s="22">
        <f>('2012-2022'!F44-'2012-2022'!S$2)/'2012-2022'!S$3</f>
        <v>0.44316600947304158</v>
      </c>
      <c r="G44" s="22">
        <f>('2012-2022'!G44-'2012-2022'!T$2)/'2012-2022'!T$3</f>
        <v>1.1005507196598043E-2</v>
      </c>
      <c r="H44" s="22">
        <f>('2012-2022'!H44-'2012-2022'!U$2)/'2012-2022'!U$3</f>
        <v>0.51057687376862304</v>
      </c>
      <c r="I44" s="22">
        <f>('2012-2022'!I44-'2012-2022'!V$2)/'2012-2022'!V$3</f>
        <v>0.35213150142885946</v>
      </c>
      <c r="J44" s="22">
        <f>('2012-2022'!J44-'2012-2022'!W$2)/'2012-2022'!W$3</f>
        <v>0.42010349689379695</v>
      </c>
      <c r="K44" s="22">
        <f>('2012-2022'!K44-'2012-2022'!X$2)/'2012-2022'!X$3</f>
        <v>0.2627980905146548</v>
      </c>
      <c r="L44" s="22">
        <f>('2012-2022'!L44-'2012-2022'!Y$2)/'2012-2022'!Y$3</f>
        <v>1.3118399011098598</v>
      </c>
      <c r="M44" s="22">
        <f>('2012-2022'!M44-'2012-2022'!Z$2)/'2012-2022'!Z$3</f>
        <v>0.48026834410757618</v>
      </c>
      <c r="N44" s="22">
        <f>('2012-2022'!N44-'2012-2022'!AA$2)/'2012-2022'!AA$3</f>
        <v>-0.41615009026231181</v>
      </c>
      <c r="O44" s="22">
        <f>('2012-2022'!P44-'2012-2022'!AC$2)/'2012-2022'!AC$3</f>
        <v>-0.74248512890031504</v>
      </c>
    </row>
    <row r="45" spans="1:15">
      <c r="A45" s="10" t="s">
        <v>3</v>
      </c>
      <c r="B45" s="11">
        <v>2022</v>
      </c>
      <c r="C45" s="14" t="s">
        <v>51</v>
      </c>
      <c r="D45" s="14" t="s">
        <v>52</v>
      </c>
      <c r="E45" s="22">
        <f>('2012-2022'!E45-'2012-2022'!R$2)/'2012-2022'!R$3</f>
        <v>2.1355713234236942</v>
      </c>
      <c r="F45" s="22">
        <f>('2012-2022'!F45-'2012-2022'!S$2)/'2012-2022'!S$3</f>
        <v>-7.1306686337935077E-2</v>
      </c>
      <c r="G45" s="22">
        <f>('2012-2022'!G45-'2012-2022'!T$2)/'2012-2022'!T$3</f>
        <v>0.19704853038581802</v>
      </c>
      <c r="H45" s="22">
        <f>('2012-2022'!H45-'2012-2022'!U$2)/'2012-2022'!U$3</f>
        <v>1.5396664517743661</v>
      </c>
      <c r="I45" s="22">
        <f>('2012-2022'!I45-'2012-2022'!V$2)/'2012-2022'!V$3</f>
        <v>2.3621518560108861</v>
      </c>
      <c r="J45" s="22">
        <f>('2012-2022'!J45-'2012-2022'!W$2)/'2012-2022'!W$3</f>
        <v>1.3166538335352636</v>
      </c>
      <c r="K45" s="22">
        <f>('2012-2022'!K45-'2012-2022'!X$2)/'2012-2022'!X$3</f>
        <v>0.31267005277619303</v>
      </c>
      <c r="L45" s="22">
        <f>('2012-2022'!L45-'2012-2022'!Y$2)/'2012-2022'!Y$3</f>
        <v>1.7596015787795769</v>
      </c>
      <c r="M45" s="22">
        <f>('2012-2022'!M45-'2012-2022'!Z$2)/'2012-2022'!Z$3</f>
        <v>-0.45633559215020697</v>
      </c>
      <c r="N45" s="22">
        <f>('2012-2022'!N45-'2012-2022'!AA$2)/'2012-2022'!AA$3</f>
        <v>0.53716786814702966</v>
      </c>
      <c r="O45" s="22">
        <f>('2012-2022'!P45-'2012-2022'!AC$2)/'2012-2022'!AC$3</f>
        <v>-0.80554417395910272</v>
      </c>
    </row>
    <row r="46" spans="1:15">
      <c r="A46" s="10" t="s">
        <v>4</v>
      </c>
      <c r="B46" s="11">
        <v>2012</v>
      </c>
      <c r="C46" s="14" t="s">
        <v>55</v>
      </c>
      <c r="D46" s="14" t="s">
        <v>54</v>
      </c>
      <c r="E46" s="22">
        <f>('2012-2022'!E46-'2012-2022'!R$2)/'2012-2022'!R$3</f>
        <v>-0.18844490113836113</v>
      </c>
      <c r="F46" s="22">
        <f>('2012-2022'!F46-'2012-2022'!S$2)/'2012-2022'!S$3</f>
        <v>0.25133739938939936</v>
      </c>
      <c r="G46" s="22">
        <f>('2012-2022'!G46-'2012-2022'!T$2)/'2012-2022'!T$3</f>
        <v>1.1671166674923406</v>
      </c>
      <c r="H46" s="22">
        <f>('2012-2022'!H46-'2012-2022'!U$2)/'2012-2022'!U$3</f>
        <v>-0.386146938354545</v>
      </c>
      <c r="I46" s="22">
        <f>('2012-2022'!I46-'2012-2022'!V$2)/'2012-2022'!V$3</f>
        <v>-1.5590691254366124E-2</v>
      </c>
      <c r="J46" s="22">
        <f>('2012-2022'!J46-'2012-2022'!W$2)/'2012-2022'!W$3</f>
        <v>-0.63702910323892392</v>
      </c>
      <c r="K46" s="22">
        <f>('2012-2022'!K46-'2012-2022'!X$2)/'2012-2022'!X$3</f>
        <v>9.8765842876399779E-2</v>
      </c>
      <c r="L46" s="22">
        <f>('2012-2022'!L46-'2012-2022'!Y$2)/'2012-2022'!Y$3</f>
        <v>-1.4545349110035219</v>
      </c>
      <c r="M46" s="22">
        <f>('2012-2022'!M46-'2012-2022'!Z$2)/'2012-2022'!Z$3</f>
        <v>0.34419597035558991</v>
      </c>
      <c r="N46" s="22">
        <f>('2012-2022'!N46-'2012-2022'!AA$2)/'2012-2022'!AA$3</f>
        <v>-1.7188805240304008</v>
      </c>
      <c r="O46" s="22">
        <f>('2012-2022'!P46-'2012-2022'!AC$2)/'2012-2022'!AC$3</f>
        <v>-0.78036433209700118</v>
      </c>
    </row>
    <row r="47" spans="1:15">
      <c r="A47" s="10" t="s">
        <v>4</v>
      </c>
      <c r="B47" s="11">
        <v>2013</v>
      </c>
      <c r="C47" s="14" t="s">
        <v>55</v>
      </c>
      <c r="D47" s="14" t="s">
        <v>54</v>
      </c>
      <c r="E47" s="22">
        <f>('2012-2022'!E47-'2012-2022'!R$2)/'2012-2022'!R$3</f>
        <v>-0.1342405740808737</v>
      </c>
      <c r="F47" s="22">
        <f>('2012-2022'!F47-'2012-2022'!S$2)/'2012-2022'!S$3</f>
        <v>-2.1056267522096585E-2</v>
      </c>
      <c r="G47" s="22">
        <f>('2012-2022'!G47-'2012-2022'!T$2)/'2012-2022'!T$3</f>
        <v>1.2477637795425729</v>
      </c>
      <c r="H47" s="22">
        <f>('2012-2022'!H47-'2012-2022'!U$2)/'2012-2022'!U$3</f>
        <v>-0.31391623049419937</v>
      </c>
      <c r="I47" s="22">
        <f>('2012-2022'!I47-'2012-2022'!V$2)/'2012-2022'!V$3</f>
        <v>-4.0851543299835466E-2</v>
      </c>
      <c r="J47" s="22">
        <f>('2012-2022'!J47-'2012-2022'!W$2)/'2012-2022'!W$3</f>
        <v>-0.3665598867279653</v>
      </c>
      <c r="K47" s="22">
        <f>('2012-2022'!K47-'2012-2022'!X$2)/'2012-2022'!X$3</f>
        <v>0.13688335402265717</v>
      </c>
      <c r="L47" s="22">
        <f>('2012-2022'!L47-'2012-2022'!Y$2)/'2012-2022'!Y$3</f>
        <v>-1.3776269630818858</v>
      </c>
      <c r="M47" s="22">
        <f>('2012-2022'!M47-'2012-2022'!Z$2)/'2012-2022'!Z$3</f>
        <v>0.31619772505515092</v>
      </c>
      <c r="N47" s="22">
        <f>('2012-2022'!N47-'2012-2022'!AA$2)/'2012-2022'!AA$3</f>
        <v>-1.6917561192992019</v>
      </c>
      <c r="O47" s="22">
        <f>('2012-2022'!P47-'2012-2022'!AC$2)/'2012-2022'!AC$3</f>
        <v>-0.75530744567965113</v>
      </c>
    </row>
    <row r="48" spans="1:15">
      <c r="A48" s="10" t="s">
        <v>4</v>
      </c>
      <c r="B48" s="11">
        <v>2014</v>
      </c>
      <c r="C48" s="14" t="s">
        <v>55</v>
      </c>
      <c r="D48" s="14" t="s">
        <v>54</v>
      </c>
      <c r="E48" s="22">
        <f>('2012-2022'!E48-'2012-2022'!R$2)/'2012-2022'!R$3</f>
        <v>-0.40242106589818144</v>
      </c>
      <c r="F48" s="22">
        <f>('2012-2022'!F48-'2012-2022'!S$2)/'2012-2022'!S$3</f>
        <v>-0.64649104211520592</v>
      </c>
      <c r="G48" s="22">
        <f>('2012-2022'!G48-'2012-2022'!T$2)/'2012-2022'!T$3</f>
        <v>0.83768060840516356</v>
      </c>
      <c r="H48" s="22">
        <f>('2012-2022'!H48-'2012-2022'!U$2)/'2012-2022'!U$3</f>
        <v>-0.67740397533389207</v>
      </c>
      <c r="I48" s="22">
        <f>('2012-2022'!I48-'2012-2022'!V$2)/'2012-2022'!V$3</f>
        <v>-0.23728217609519514</v>
      </c>
      <c r="J48" s="22">
        <f>('2012-2022'!J48-'2012-2022'!W$2)/'2012-2022'!W$3</f>
        <v>-0.47687957732163005</v>
      </c>
      <c r="K48" s="22">
        <f>('2012-2022'!K48-'2012-2022'!X$2)/'2012-2022'!X$3</f>
        <v>4.4428897949444809E-2</v>
      </c>
      <c r="L48" s="22">
        <f>('2012-2022'!L48-'2012-2022'!Y$2)/'2012-2022'!Y$3</f>
        <v>-1.3293323850132039</v>
      </c>
      <c r="M48" s="22">
        <f>('2012-2022'!M48-'2012-2022'!Z$2)/'2012-2022'!Z$3</f>
        <v>0.15514755070621847</v>
      </c>
      <c r="N48" s="22">
        <f>('2012-2022'!N48-'2012-2022'!AA$2)/'2012-2022'!AA$3</f>
        <v>-1.6394085840678796</v>
      </c>
      <c r="O48" s="22">
        <f>('2012-2022'!P48-'2012-2022'!AC$2)/'2012-2022'!AC$3</f>
        <v>-0.89021433567067498</v>
      </c>
    </row>
    <row r="49" spans="1:15">
      <c r="A49" s="10" t="s">
        <v>4</v>
      </c>
      <c r="B49" s="11">
        <v>2015</v>
      </c>
      <c r="C49" s="14" t="s">
        <v>55</v>
      </c>
      <c r="D49" s="14" t="s">
        <v>54</v>
      </c>
      <c r="E49" s="22">
        <f>('2012-2022'!E49-'2012-2022'!R$2)/'2012-2022'!R$3</f>
        <v>-0.55402536164073335</v>
      </c>
      <c r="F49" s="22">
        <f>('2012-2022'!F49-'2012-2022'!S$2)/'2012-2022'!S$3</f>
        <v>-0.10962687930922126</v>
      </c>
      <c r="G49" s="22">
        <f>('2012-2022'!G49-'2012-2022'!T$2)/'2012-2022'!T$3</f>
        <v>2.5077841501227695E-2</v>
      </c>
      <c r="H49" s="22">
        <f>('2012-2022'!H49-'2012-2022'!U$2)/'2012-2022'!U$3</f>
        <v>-0.46678683295900786</v>
      </c>
      <c r="I49" s="22">
        <f>('2012-2022'!I49-'2012-2022'!V$2)/'2012-2022'!V$3</f>
        <v>-0.58660928172910543</v>
      </c>
      <c r="J49" s="22">
        <f>('2012-2022'!J49-'2012-2022'!W$2)/'2012-2022'!W$3</f>
        <v>-0.33692586336642216</v>
      </c>
      <c r="K49" s="22">
        <f>('2012-2022'!K49-'2012-2022'!X$2)/'2012-2022'!X$3</f>
        <v>-0.1076003620130133</v>
      </c>
      <c r="L49" s="22">
        <f>('2012-2022'!L49-'2012-2022'!Y$2)/'2012-2022'!Y$3</f>
        <v>-1.3647507472913667</v>
      </c>
      <c r="M49" s="22">
        <f>('2012-2022'!M49-'2012-2022'!Z$2)/'2012-2022'!Z$3</f>
        <v>0.18255212227036507</v>
      </c>
      <c r="N49" s="22">
        <f>('2012-2022'!N49-'2012-2022'!AA$2)/'2012-2022'!AA$3</f>
        <v>-1.3988596750200262</v>
      </c>
      <c r="O49" s="22">
        <f>('2012-2022'!P49-'2012-2022'!AC$2)/'2012-2022'!AC$3</f>
        <v>-0.8560095893080869</v>
      </c>
    </row>
    <row r="50" spans="1:15">
      <c r="A50" s="10" t="s">
        <v>4</v>
      </c>
      <c r="B50" s="11">
        <v>2016</v>
      </c>
      <c r="C50" s="14" t="s">
        <v>55</v>
      </c>
      <c r="D50" s="14" t="s">
        <v>54</v>
      </c>
      <c r="E50" s="22">
        <f>('2012-2022'!E50-'2012-2022'!R$2)/'2012-2022'!R$3</f>
        <v>-0.34640571874381015</v>
      </c>
      <c r="F50" s="22">
        <f>('2012-2022'!F50-'2012-2022'!S$2)/'2012-2022'!S$3</f>
        <v>-0.15824491735468285</v>
      </c>
      <c r="G50" s="22">
        <f>('2012-2022'!G50-'2012-2022'!T$2)/'2012-2022'!T$3</f>
        <v>0.35819525148254244</v>
      </c>
      <c r="H50" s="22">
        <f>('2012-2022'!H50-'2012-2022'!U$2)/'2012-2022'!U$3</f>
        <v>-0.38281476487526966</v>
      </c>
      <c r="I50" s="22">
        <f>('2012-2022'!I50-'2012-2022'!V$2)/'2012-2022'!V$3</f>
        <v>-0.3195627836401273</v>
      </c>
      <c r="J50" s="22">
        <f>('2012-2022'!J50-'2012-2022'!W$2)/'2012-2022'!W$3</f>
        <v>-0.10822091630320749</v>
      </c>
      <c r="K50" s="22">
        <f>('2012-2022'!K50-'2012-2022'!X$2)/'2012-2022'!X$3</f>
        <v>2.5983906659807943E-3</v>
      </c>
      <c r="L50" s="22">
        <f>('2012-2022'!L50-'2012-2022'!Y$2)/'2012-2022'!Y$3</f>
        <v>-0.88015180730313358</v>
      </c>
      <c r="M50" s="22">
        <f>('2012-2022'!M50-'2012-2022'!Z$2)/'2012-2022'!Z$3</f>
        <v>0.30984002002520078</v>
      </c>
      <c r="N50" s="22">
        <f>('2012-2022'!N50-'2012-2022'!AA$2)/'2012-2022'!AA$3</f>
        <v>-1.2587388447372694</v>
      </c>
      <c r="O50" s="22">
        <f>('2012-2022'!P50-'2012-2022'!AC$2)/'2012-2022'!AC$3</f>
        <v>-0.81318463535365704</v>
      </c>
    </row>
    <row r="51" spans="1:15">
      <c r="A51" s="10" t="s">
        <v>4</v>
      </c>
      <c r="B51" s="11">
        <v>2017</v>
      </c>
      <c r="C51" s="14" t="s">
        <v>55</v>
      </c>
      <c r="D51" s="14" t="s">
        <v>54</v>
      </c>
      <c r="E51" s="22">
        <f>('2012-2022'!E51-'2012-2022'!R$2)/'2012-2022'!R$3</f>
        <v>-0.24577061245589013</v>
      </c>
      <c r="F51" s="22">
        <f>('2012-2022'!F51-'2012-2022'!S$2)/'2012-2022'!S$3</f>
        <v>0.26720161388236829</v>
      </c>
      <c r="G51" s="22">
        <f>('2012-2022'!G51-'2012-2022'!T$2)/'2012-2022'!T$3</f>
        <v>1.4639687420665255E-2</v>
      </c>
      <c r="H51" s="22">
        <f>('2012-2022'!H51-'2012-2022'!U$2)/'2012-2022'!U$3</f>
        <v>-8.7878224272876657E-2</v>
      </c>
      <c r="I51" s="22">
        <f>('2012-2022'!I51-'2012-2022'!V$2)/'2012-2022'!V$3</f>
        <v>-0.33646615358528387</v>
      </c>
      <c r="J51" s="22">
        <f>('2012-2022'!J51-'2012-2022'!W$2)/'2012-2022'!W$3</f>
        <v>-4.8277002853257686E-2</v>
      </c>
      <c r="K51" s="22">
        <f>('2012-2022'!K51-'2012-2022'!X$2)/'2012-2022'!X$3</f>
        <v>4.1663167017719174E-2</v>
      </c>
      <c r="L51" s="22">
        <f>('2012-2022'!L51-'2012-2022'!Y$2)/'2012-2022'!Y$3</f>
        <v>-0.75005972797608245</v>
      </c>
      <c r="M51" s="22">
        <f>('2012-2022'!M51-'2012-2022'!Z$2)/'2012-2022'!Z$3</f>
        <v>-0.60421721729387035</v>
      </c>
      <c r="N51" s="22">
        <f>('2012-2022'!N51-'2012-2022'!AA$2)/'2012-2022'!AA$3</f>
        <v>-0.69702701920839938</v>
      </c>
      <c r="O51" s="22">
        <f>('2012-2022'!P51-'2012-2022'!AC$2)/'2012-2022'!AC$3</f>
        <v>-0.66823110374609906</v>
      </c>
    </row>
    <row r="52" spans="1:15">
      <c r="A52" s="10" t="s">
        <v>4</v>
      </c>
      <c r="B52" s="11">
        <v>2018</v>
      </c>
      <c r="C52" s="14" t="s">
        <v>55</v>
      </c>
      <c r="D52" s="14" t="s">
        <v>54</v>
      </c>
      <c r="E52" s="22">
        <f>('2012-2022'!E52-'2012-2022'!R$2)/'2012-2022'!R$3</f>
        <v>0.34197445986247554</v>
      </c>
      <c r="F52" s="22">
        <f>('2012-2022'!F52-'2012-2022'!S$2)/'2012-2022'!S$3</f>
        <v>0.21992009938130211</v>
      </c>
      <c r="G52" s="22">
        <f>('2012-2022'!G52-'2012-2022'!T$2)/'2012-2022'!T$3</f>
        <v>1.7534579709503977</v>
      </c>
      <c r="H52" s="22">
        <f>('2012-2022'!H52-'2012-2022'!U$2)/'2012-2022'!U$3</f>
        <v>4.3020846025716694E-2</v>
      </c>
      <c r="I52" s="22">
        <f>('2012-2022'!I52-'2012-2022'!V$2)/'2012-2022'!V$3</f>
        <v>0.47193367359915739</v>
      </c>
      <c r="J52" s="22">
        <f>('2012-2022'!J52-'2012-2022'!W$2)/'2012-2022'!W$3</f>
        <v>7.9971249117391396E-2</v>
      </c>
      <c r="K52" s="22">
        <f>('2012-2022'!K52-'2012-2022'!X$2)/'2012-2022'!X$3</f>
        <v>7.9253401589420604E-3</v>
      </c>
      <c r="L52" s="22">
        <f>('2012-2022'!L52-'2012-2022'!Y$2)/'2012-2022'!Y$3</f>
        <v>-0.56675046633862969</v>
      </c>
      <c r="M52" s="22">
        <f>('2012-2022'!M52-'2012-2022'!Z$2)/'2012-2022'!Z$3</f>
        <v>-0.35170580502762644</v>
      </c>
      <c r="N52" s="22">
        <f>('2012-2022'!N52-'2012-2022'!AA$2)/'2012-2022'!AA$3</f>
        <v>-0.72530022511231174</v>
      </c>
      <c r="O52" s="22">
        <f>('2012-2022'!P52-'2012-2022'!AC$2)/'2012-2022'!AC$3</f>
        <v>-0.54257063921021598</v>
      </c>
    </row>
    <row r="53" spans="1:15">
      <c r="A53" s="10" t="s">
        <v>4</v>
      </c>
      <c r="B53" s="11">
        <v>2019</v>
      </c>
      <c r="C53" s="14" t="s">
        <v>55</v>
      </c>
      <c r="D53" s="14" t="s">
        <v>54</v>
      </c>
      <c r="E53" s="22">
        <f>('2012-2022'!E53-'2012-2022'!R$2)/'2012-2022'!R$3</f>
        <v>0.3509978101852787</v>
      </c>
      <c r="F53" s="22">
        <f>('2012-2022'!F53-'2012-2022'!S$2)/'2012-2022'!S$3</f>
        <v>0.41057762157106792</v>
      </c>
      <c r="G53" s="22">
        <f>('2012-2022'!G53-'2012-2022'!T$2)/'2012-2022'!T$3</f>
        <v>0.94478364367636969</v>
      </c>
      <c r="H53" s="22">
        <f>('2012-2022'!H53-'2012-2022'!U$2)/'2012-2022'!U$3</f>
        <v>0.28900003520083162</v>
      </c>
      <c r="I53" s="22">
        <f>('2012-2022'!I53-'2012-2022'!V$2)/'2012-2022'!V$3</f>
        <v>0.34824167371585851</v>
      </c>
      <c r="J53" s="22">
        <f>('2012-2022'!J53-'2012-2022'!W$2)/'2012-2022'!W$3</f>
        <v>1.7184205007595437</v>
      </c>
      <c r="K53" s="22">
        <f>('2012-2022'!K53-'2012-2022'!X$2)/'2012-2022'!X$3</f>
        <v>0.25378004878436955</v>
      </c>
      <c r="L53" s="22">
        <f>('2012-2022'!L53-'2012-2022'!Y$2)/'2012-2022'!Y$3</f>
        <v>1.9519522784567116</v>
      </c>
      <c r="M53" s="22">
        <f>('2012-2022'!M53-'2012-2022'!Z$2)/'2012-2022'!Z$3</f>
        <v>0.8317248080730818</v>
      </c>
      <c r="N53" s="22">
        <f>('2012-2022'!N53-'2012-2022'!AA$2)/'2012-2022'!AA$3</f>
        <v>0.67490286130395927</v>
      </c>
      <c r="O53" s="22">
        <f>('2012-2022'!P53-'2012-2022'!AC$2)/'2012-2022'!AC$3</f>
        <v>-0.55616501057668699</v>
      </c>
    </row>
    <row r="54" spans="1:15">
      <c r="A54" s="10" t="s">
        <v>4</v>
      </c>
      <c r="B54" s="11">
        <v>2020</v>
      </c>
      <c r="C54" s="14" t="s">
        <v>55</v>
      </c>
      <c r="D54" s="14" t="s">
        <v>54</v>
      </c>
      <c r="E54" s="22">
        <f>('2012-2022'!E54-'2012-2022'!R$2)/'2012-2022'!R$3</f>
        <v>0.7354700125740351</v>
      </c>
      <c r="F54" s="22">
        <f>('2012-2022'!F54-'2012-2022'!S$2)/'2012-2022'!S$3</f>
        <v>5.5604219666385638E-2</v>
      </c>
      <c r="G54" s="22">
        <f>('2012-2022'!G54-'2012-2022'!T$2)/'2012-2022'!T$3</f>
        <v>1.0166993644112921</v>
      </c>
      <c r="H54" s="22">
        <f>('2012-2022'!H54-'2012-2022'!U$2)/'2012-2022'!U$3</f>
        <v>0.38848399581751164</v>
      </c>
      <c r="I54" s="22">
        <f>('2012-2022'!I54-'2012-2022'!V$2)/'2012-2022'!V$3</f>
        <v>0.87374188461365265</v>
      </c>
      <c r="J54" s="22">
        <f>('2012-2022'!J54-'2012-2022'!W$2)/'2012-2022'!W$3</f>
        <v>2.0482951777557048</v>
      </c>
      <c r="K54" s="22">
        <f>('2012-2022'!K54-'2012-2022'!X$2)/'2012-2022'!X$3</f>
        <v>0.62135694467543223</v>
      </c>
      <c r="L54" s="22">
        <f>('2012-2022'!L54-'2012-2022'!Y$2)/'2012-2022'!Y$3</f>
        <v>2.0751746193830938</v>
      </c>
      <c r="M54" s="22">
        <f>('2012-2022'!M54-'2012-2022'!Z$2)/'2012-2022'!Z$3</f>
        <v>1.2814127552954926</v>
      </c>
      <c r="N54" s="22">
        <f>('2012-2022'!N54-'2012-2022'!AA$2)/'2012-2022'!AA$3</f>
        <v>0.14619022105921584</v>
      </c>
      <c r="O54" s="22">
        <f>('2012-2022'!P54-'2012-2022'!AC$2)/'2012-2022'!AC$3</f>
        <v>-0.78623677465767161</v>
      </c>
    </row>
    <row r="55" spans="1:15">
      <c r="A55" s="10" t="s">
        <v>4</v>
      </c>
      <c r="B55" s="11">
        <v>2021</v>
      </c>
      <c r="C55" s="14" t="s">
        <v>55</v>
      </c>
      <c r="D55" s="14" t="s">
        <v>54</v>
      </c>
      <c r="E55" s="22">
        <f>('2012-2022'!E55-'2012-2022'!R$2)/'2012-2022'!R$3</f>
        <v>0.60959223372764471</v>
      </c>
      <c r="F55" s="22">
        <f>('2012-2022'!F55-'2012-2022'!S$2)/'2012-2022'!S$3</f>
        <v>-0.16262093870626376</v>
      </c>
      <c r="G55" s="22">
        <f>('2012-2022'!G55-'2012-2022'!T$2)/'2012-2022'!T$3</f>
        <v>1.0255427124495269</v>
      </c>
      <c r="H55" s="22">
        <f>('2012-2022'!H55-'2012-2022'!U$2)/'2012-2022'!U$3</f>
        <v>0.10794269275513919</v>
      </c>
      <c r="I55" s="22">
        <f>('2012-2022'!I55-'2012-2022'!V$2)/'2012-2022'!V$3</f>
        <v>0.87521027556564301</v>
      </c>
      <c r="J55" s="22">
        <f>('2012-2022'!J55-'2012-2022'!W$2)/'2012-2022'!W$3</f>
        <v>1.7075788526143432</v>
      </c>
      <c r="K55" s="22">
        <f>('2012-2022'!K55-'2012-2022'!X$2)/'2012-2022'!X$3</f>
        <v>0.42912625411219196</v>
      </c>
      <c r="L55" s="22">
        <f>('2012-2022'!L55-'2012-2022'!Y$2)/'2012-2022'!Y$3</f>
        <v>2.0908814043260056</v>
      </c>
      <c r="M55" s="22">
        <f>('2012-2022'!M55-'2012-2022'!Z$2)/'2012-2022'!Z$3</f>
        <v>0.7160012976188409</v>
      </c>
      <c r="N55" s="22">
        <f>('2012-2022'!N55-'2012-2022'!AA$2)/'2012-2022'!AA$3</f>
        <v>0.84105823145317093</v>
      </c>
      <c r="O55" s="22">
        <f>('2012-2022'!P55-'2012-2022'!AC$2)/'2012-2022'!AC$3</f>
        <v>-0.62277203682803894</v>
      </c>
    </row>
    <row r="56" spans="1:15">
      <c r="A56" s="10" t="s">
        <v>4</v>
      </c>
      <c r="B56" s="11">
        <v>2022</v>
      </c>
      <c r="C56" s="14" t="s">
        <v>55</v>
      </c>
      <c r="D56" s="14" t="s">
        <v>54</v>
      </c>
      <c r="E56" s="22">
        <f>('2012-2022'!E56-'2012-2022'!R$2)/'2012-2022'!R$3</f>
        <v>1.0532042740100847</v>
      </c>
      <c r="F56" s="22">
        <f>('2012-2022'!F56-'2012-2022'!S$2)/'2012-2022'!S$3</f>
        <v>-0.82725136324385051</v>
      </c>
      <c r="G56" s="22">
        <f>('2012-2022'!G56-'2012-2022'!T$2)/'2012-2022'!T$3</f>
        <v>1.5680292937569107</v>
      </c>
      <c r="H56" s="22">
        <f>('2012-2022'!H56-'2012-2022'!U$2)/'2012-2022'!U$3</f>
        <v>0.21786151460882242</v>
      </c>
      <c r="I56" s="22">
        <f>('2012-2022'!I56-'2012-2022'!V$2)/'2012-2022'!V$3</f>
        <v>1.2657635977941444</v>
      </c>
      <c r="J56" s="22">
        <f>('2012-2022'!J56-'2012-2022'!W$2)/'2012-2022'!W$3</f>
        <v>1.9286116642814499</v>
      </c>
      <c r="K56" s="22">
        <f>('2012-2022'!K56-'2012-2022'!X$2)/'2012-2022'!X$3</f>
        <v>0.3161132831646542</v>
      </c>
      <c r="L56" s="22">
        <f>('2012-2022'!L56-'2012-2022'!Y$2)/'2012-2022'!Y$3</f>
        <v>1.9734908842016288</v>
      </c>
      <c r="M56" s="22">
        <f>('2012-2022'!M56-'2012-2022'!Z$2)/'2012-2022'!Z$3</f>
        <v>0.95397851150169122</v>
      </c>
      <c r="N56" s="22">
        <f>('2012-2022'!N56-'2012-2022'!AA$2)/'2012-2022'!AA$3</f>
        <v>0.94580264141485682</v>
      </c>
      <c r="O56" s="22">
        <f>('2012-2022'!P56-'2012-2022'!AC$2)/'2012-2022'!AC$3</f>
        <v>-0.66359286732154721</v>
      </c>
    </row>
    <row r="57" spans="1:15">
      <c r="A57" s="10" t="s">
        <v>7</v>
      </c>
      <c r="B57" s="11">
        <v>2012</v>
      </c>
      <c r="C57" s="14" t="s">
        <v>55</v>
      </c>
      <c r="D57" s="14" t="s">
        <v>54</v>
      </c>
      <c r="E57" s="22">
        <f>('2012-2022'!E57-'2012-2022'!R$2)/'2012-2022'!R$3</f>
        <v>-1.0450466986242062</v>
      </c>
      <c r="F57" s="22">
        <f>('2012-2022'!F57-'2012-2022'!S$2)/'2012-2022'!S$3</f>
        <v>-0.88994082849662715</v>
      </c>
      <c r="G57" s="22">
        <f>('2012-2022'!G57-'2012-2022'!T$2)/'2012-2022'!T$3</f>
        <v>-0.32266706350945579</v>
      </c>
      <c r="H57" s="22">
        <f>('2012-2022'!H57-'2012-2022'!U$2)/'2012-2022'!U$3</f>
        <v>-1.0518390528913493</v>
      </c>
      <c r="I57" s="22">
        <f>('2012-2022'!I57-'2012-2022'!V$2)/'2012-2022'!V$3</f>
        <v>-0.97322158720394303</v>
      </c>
      <c r="J57" s="22">
        <f>('2012-2022'!J57-'2012-2022'!W$2)/'2012-2022'!W$3</f>
        <v>-1.2424730937337816</v>
      </c>
      <c r="K57" s="22">
        <f>('2012-2022'!K57-'2012-2022'!X$2)/'2012-2022'!X$3</f>
        <v>-1.0194312600085482</v>
      </c>
      <c r="L57" s="22">
        <f>('2012-2022'!L57-'2012-2022'!Y$2)/'2012-2022'!Y$3</f>
        <v>-1.3870341675007354</v>
      </c>
      <c r="M57" s="22">
        <f>('2012-2022'!M57-'2012-2022'!Z$2)/'2012-2022'!Z$3</f>
        <v>0.62562772053438265</v>
      </c>
      <c r="N57" s="22">
        <f>('2012-2022'!N57-'2012-2022'!AA$2)/'2012-2022'!AA$3</f>
        <v>-0.53720553848313102</v>
      </c>
      <c r="O57" s="22">
        <f>('2012-2022'!P57-'2012-2022'!AC$2)/'2012-2022'!AC$3</f>
        <v>0.85015046089828206</v>
      </c>
    </row>
    <row r="58" spans="1:15">
      <c r="A58" s="10" t="s">
        <v>7</v>
      </c>
      <c r="B58" s="11">
        <v>2013</v>
      </c>
      <c r="C58" s="14" t="s">
        <v>55</v>
      </c>
      <c r="D58" s="14" t="s">
        <v>54</v>
      </c>
      <c r="E58" s="22">
        <f>('2012-2022'!E58-'2012-2022'!R$2)/'2012-2022'!R$3</f>
        <v>-1.1770798176268795</v>
      </c>
      <c r="F58" s="22">
        <f>('2012-2022'!F58-'2012-2022'!S$2)/'2012-2022'!S$3</f>
        <v>-1.0951968432879642</v>
      </c>
      <c r="G58" s="22">
        <f>('2012-2022'!G58-'2012-2022'!T$2)/'2012-2022'!T$3</f>
        <v>-0.63140265514717886</v>
      </c>
      <c r="H58" s="22">
        <f>('2012-2022'!H58-'2012-2022'!U$2)/'2012-2022'!U$3</f>
        <v>-1.1555101153202172</v>
      </c>
      <c r="I58" s="22">
        <f>('2012-2022'!I58-'2012-2022'!V$2)/'2012-2022'!V$3</f>
        <v>-1.1142556998338455</v>
      </c>
      <c r="J58" s="22">
        <f>('2012-2022'!J58-'2012-2022'!W$2)/'2012-2022'!W$3</f>
        <v>-1.1875565851583196</v>
      </c>
      <c r="K58" s="22">
        <f>('2012-2022'!K58-'2012-2022'!X$2)/'2012-2022'!X$3</f>
        <v>-1.0183026101809232</v>
      </c>
      <c r="L58" s="22">
        <f>('2012-2022'!L58-'2012-2022'!Y$2)/'2012-2022'!Y$3</f>
        <v>-1.3332041036336133</v>
      </c>
      <c r="M58" s="22">
        <f>('2012-2022'!M58-'2012-2022'!Z$2)/'2012-2022'!Z$3</f>
        <v>0.53473173846588751</v>
      </c>
      <c r="N58" s="22">
        <f>('2012-2022'!N58-'2012-2022'!AA$2)/'2012-2022'!AA$3</f>
        <v>-0.83919096172772023</v>
      </c>
      <c r="O58" s="22">
        <f>('2012-2022'!P58-'2012-2022'!AC$2)/'2012-2022'!AC$3</f>
        <v>0.81776867358364336</v>
      </c>
    </row>
    <row r="59" spans="1:15">
      <c r="A59" s="10" t="s">
        <v>7</v>
      </c>
      <c r="B59" s="11">
        <v>2014</v>
      </c>
      <c r="C59" s="14" t="s">
        <v>55</v>
      </c>
      <c r="D59" s="14" t="s">
        <v>54</v>
      </c>
      <c r="E59" s="22">
        <f>('2012-2022'!E59-'2012-2022'!R$2)/'2012-2022'!R$3</f>
        <v>-0.78330008987071464</v>
      </c>
      <c r="F59" s="22">
        <f>('2012-2022'!F59-'2012-2022'!S$2)/'2012-2022'!S$3</f>
        <v>0.38916001449861781</v>
      </c>
      <c r="G59" s="22">
        <f>('2012-2022'!G59-'2012-2022'!T$2)/'2012-2022'!T$3</f>
        <v>0.29528142280338876</v>
      </c>
      <c r="H59" s="22">
        <f>('2012-2022'!H59-'2012-2022'!U$2)/'2012-2022'!U$3</f>
        <v>-0.61662300190337915</v>
      </c>
      <c r="I59" s="22">
        <f>('2012-2022'!I59-'2012-2022'!V$2)/'2012-2022'!V$3</f>
        <v>-0.83767616695310942</v>
      </c>
      <c r="J59" s="22">
        <f>('2012-2022'!J59-'2012-2022'!W$2)/'2012-2022'!W$3</f>
        <v>-1.3020959299563686</v>
      </c>
      <c r="K59" s="22">
        <f>('2012-2022'!K59-'2012-2022'!X$2)/'2012-2022'!X$3</f>
        <v>-1.0659864387333686</v>
      </c>
      <c r="L59" s="22">
        <f>('2012-2022'!L59-'2012-2022'!Y$2)/'2012-2022'!Y$3</f>
        <v>-1.4156498773786643</v>
      </c>
      <c r="M59" s="22">
        <f>('2012-2022'!M59-'2012-2022'!Z$2)/'2012-2022'!Z$3</f>
        <v>0.35078674030750356</v>
      </c>
      <c r="N59" s="22">
        <f>('2012-2022'!N59-'2012-2022'!AA$2)/'2012-2022'!AA$3</f>
        <v>-0.44799865783031667</v>
      </c>
      <c r="O59" s="22">
        <f>('2012-2022'!P59-'2012-2022'!AC$2)/'2012-2022'!AC$3</f>
        <v>0.91735152035663814</v>
      </c>
    </row>
    <row r="60" spans="1:15">
      <c r="A60" s="10" t="s">
        <v>7</v>
      </c>
      <c r="B60" s="11">
        <v>2015</v>
      </c>
      <c r="C60" s="14" t="s">
        <v>55</v>
      </c>
      <c r="D60" s="14" t="s">
        <v>54</v>
      </c>
      <c r="E60" s="22">
        <f>('2012-2022'!E60-'2012-2022'!R$2)/'2012-2022'!R$3</f>
        <v>-1.1316762569021528</v>
      </c>
      <c r="F60" s="22">
        <f>('2012-2022'!F60-'2012-2022'!S$2)/'2012-2022'!S$3</f>
        <v>-0.30914809724606102</v>
      </c>
      <c r="G60" s="22">
        <f>('2012-2022'!G60-'2012-2022'!T$2)/'2012-2022'!T$3</f>
        <v>-0.74269040828819188</v>
      </c>
      <c r="H60" s="22">
        <f>('2012-2022'!H60-'2012-2022'!U$2)/'2012-2022'!U$3</f>
        <v>-0.93765785042786043</v>
      </c>
      <c r="I60" s="22">
        <f>('2012-2022'!I60-'2012-2022'!V$2)/'2012-2022'!V$3</f>
        <v>-1.1797321377688395</v>
      </c>
      <c r="J60" s="22">
        <f>('2012-2022'!J60-'2012-2022'!W$2)/'2012-2022'!W$3</f>
        <v>-1.3202076491489767</v>
      </c>
      <c r="K60" s="22">
        <f>('2012-2022'!K60-'2012-2022'!X$2)/'2012-2022'!X$3</f>
        <v>-0.99912319584134823</v>
      </c>
      <c r="L60" s="22">
        <f>('2012-2022'!L60-'2012-2022'!Y$2)/'2012-2022'!Y$3</f>
        <v>-1.4435899127632243</v>
      </c>
      <c r="M60" s="22">
        <f>('2012-2022'!M60-'2012-2022'!Z$2)/'2012-2022'!Z$3</f>
        <v>0.39043854563748071</v>
      </c>
      <c r="N60" s="22">
        <f>('2012-2022'!N60-'2012-2022'!AA$2)/'2012-2022'!AA$3</f>
        <v>-0.40614562316452513</v>
      </c>
      <c r="O60" s="22">
        <f>('2012-2022'!P60-'2012-2022'!AC$2)/'2012-2022'!AC$3</f>
        <v>1.0234461025702224</v>
      </c>
    </row>
    <row r="61" spans="1:15">
      <c r="A61" s="10" t="s">
        <v>7</v>
      </c>
      <c r="B61" s="11">
        <v>2016</v>
      </c>
      <c r="C61" s="14" t="s">
        <v>55</v>
      </c>
      <c r="D61" s="14" t="s">
        <v>54</v>
      </c>
      <c r="E61" s="22">
        <f>('2012-2022'!E61-'2012-2022'!R$2)/'2012-2022'!R$3</f>
        <v>-1.2572285201428659</v>
      </c>
      <c r="F61" s="22">
        <f>('2012-2022'!F61-'2012-2022'!S$2)/'2012-2022'!S$3</f>
        <v>-0.65563876409061095</v>
      </c>
      <c r="G61" s="22">
        <f>('2012-2022'!G61-'2012-2022'!T$2)/'2012-2022'!T$3</f>
        <v>-1.368108894505887</v>
      </c>
      <c r="H61" s="22">
        <f>('2012-2022'!H61-'2012-2022'!U$2)/'2012-2022'!U$3</f>
        <v>-0.98853658585014426</v>
      </c>
      <c r="I61" s="22">
        <f>('2012-2022'!I61-'2012-2022'!V$2)/'2012-2022'!V$3</f>
        <v>-1.3508935929935662</v>
      </c>
      <c r="J61" s="22">
        <f>('2012-2022'!J61-'2012-2022'!W$2)/'2012-2022'!W$3</f>
        <v>-1.2147258340585685</v>
      </c>
      <c r="K61" s="22">
        <f>('2012-2022'!K61-'2012-2022'!X$2)/'2012-2022'!X$3</f>
        <v>-1.0766826296575076</v>
      </c>
      <c r="L61" s="22">
        <f>('2012-2022'!L61-'2012-2022'!Y$2)/'2012-2022'!Y$3</f>
        <v>-1.5389448845446663</v>
      </c>
      <c r="M61" s="22">
        <f>('2012-2022'!M61-'2012-2022'!Z$2)/'2012-2022'!Z$3</f>
        <v>0.14157375798048585</v>
      </c>
      <c r="N61" s="22">
        <f>('2012-2022'!N61-'2012-2022'!AA$2)/'2012-2022'!AA$3</f>
        <v>-0.45004761944270838</v>
      </c>
      <c r="O61" s="22">
        <f>('2012-2022'!P61-'2012-2022'!AC$2)/'2012-2022'!AC$3</f>
        <v>1.0841581821457602</v>
      </c>
    </row>
    <row r="62" spans="1:15">
      <c r="A62" s="10" t="s">
        <v>7</v>
      </c>
      <c r="B62" s="11">
        <v>2017</v>
      </c>
      <c r="C62" s="14" t="s">
        <v>55</v>
      </c>
      <c r="D62" s="14" t="s">
        <v>54</v>
      </c>
      <c r="E62" s="22">
        <f>('2012-2022'!E62-'2012-2022'!R$2)/'2012-2022'!R$3</f>
        <v>-1.0539276866066376</v>
      </c>
      <c r="F62" s="22">
        <f>('2012-2022'!F62-'2012-2022'!S$2)/'2012-2022'!S$3</f>
        <v>-1.1531393337017004</v>
      </c>
      <c r="G62" s="22">
        <f>('2012-2022'!G62-'2012-2022'!T$2)/'2012-2022'!T$3</f>
        <v>-8.9639725528605385E-2</v>
      </c>
      <c r="H62" s="22">
        <f>('2012-2022'!H62-'2012-2022'!U$2)/'2012-2022'!U$3</f>
        <v>-1.1030913396527073</v>
      </c>
      <c r="I62" s="22">
        <f>('2012-2022'!I62-'2012-2022'!V$2)/'2012-2022'!V$3</f>
        <v>-0.99142043383324974</v>
      </c>
      <c r="J62" s="22">
        <f>('2012-2022'!J62-'2012-2022'!W$2)/'2012-2022'!W$3</f>
        <v>-1.2110407077323861</v>
      </c>
      <c r="K62" s="22">
        <f>('2012-2022'!K62-'2012-2022'!X$2)/'2012-2022'!X$3</f>
        <v>-1.022224104932008</v>
      </c>
      <c r="L62" s="22">
        <f>('2012-2022'!L62-'2012-2022'!Y$2)/'2012-2022'!Y$3</f>
        <v>-1.4053006153114291</v>
      </c>
      <c r="M62" s="22">
        <f>('2012-2022'!M62-'2012-2022'!Z$2)/'2012-2022'!Z$3</f>
        <v>-0.10407881854906512</v>
      </c>
      <c r="N62" s="22">
        <f>('2012-2022'!N62-'2012-2022'!AA$2)/'2012-2022'!AA$3</f>
        <v>-0.17657937199363855</v>
      </c>
      <c r="O62" s="22">
        <f>('2012-2022'!P62-'2012-2022'!AC$2)/'2012-2022'!AC$3</f>
        <v>1.090641630290778</v>
      </c>
    </row>
    <row r="63" spans="1:15">
      <c r="A63" s="10" t="s">
        <v>7</v>
      </c>
      <c r="B63" s="11">
        <v>2018</v>
      </c>
      <c r="C63" s="14" t="s">
        <v>55</v>
      </c>
      <c r="D63" s="14" t="s">
        <v>54</v>
      </c>
      <c r="E63" s="22">
        <f>('2012-2022'!E63-'2012-2022'!R$2)/'2012-2022'!R$3</f>
        <v>-1.0181855058535323</v>
      </c>
      <c r="F63" s="22">
        <f>('2012-2022'!F63-'2012-2022'!S$2)/'2012-2022'!S$3</f>
        <v>-9.9536858091122157E-2</v>
      </c>
      <c r="G63" s="22">
        <f>('2012-2022'!G63-'2012-2022'!T$2)/'2012-2022'!T$3</f>
        <v>-0.45826151073054466</v>
      </c>
      <c r="H63" s="22">
        <f>('2012-2022'!H63-'2012-2022'!U$2)/'2012-2022'!U$3</f>
        <v>-0.74259016789825372</v>
      </c>
      <c r="I63" s="22">
        <f>('2012-2022'!I63-'2012-2022'!V$2)/'2012-2022'!V$3</f>
        <v>-1.1320425138748944</v>
      </c>
      <c r="J63" s="22">
        <f>('2012-2022'!J63-'2012-2022'!W$2)/'2012-2022'!W$3</f>
        <v>-1.1365730423981113</v>
      </c>
      <c r="K63" s="22">
        <f>('2012-2022'!K63-'2012-2022'!X$2)/'2012-2022'!X$3</f>
        <v>-1.114071500609034</v>
      </c>
      <c r="L63" s="22">
        <f>('2012-2022'!L63-'2012-2022'!Y$2)/'2012-2022'!Y$3</f>
        <v>-1.4384300845086997</v>
      </c>
      <c r="M63" s="22">
        <f>('2012-2022'!M63-'2012-2022'!Z$2)/'2012-2022'!Z$3</f>
        <v>-0.43736359537082292</v>
      </c>
      <c r="N63" s="22">
        <f>('2012-2022'!N63-'2012-2022'!AA$2)/'2012-2022'!AA$3</f>
        <v>-0.16702127612943321</v>
      </c>
      <c r="O63" s="22">
        <f>('2012-2022'!P63-'2012-2022'!AC$2)/'2012-2022'!AC$3</f>
        <v>1.0716387280110111</v>
      </c>
    </row>
    <row r="64" spans="1:15">
      <c r="A64" s="10" t="s">
        <v>7</v>
      </c>
      <c r="B64" s="11">
        <v>2019</v>
      </c>
      <c r="C64" s="14" t="s">
        <v>55</v>
      </c>
      <c r="D64" s="14" t="s">
        <v>54</v>
      </c>
      <c r="E64" s="22">
        <f>('2012-2022'!E64-'2012-2022'!R$2)/'2012-2022'!R$3</f>
        <v>-0.35408506702854725</v>
      </c>
      <c r="F64" s="22">
        <f>('2012-2022'!F64-'2012-2022'!S$2)/'2012-2022'!S$3</f>
        <v>0.27836068664741037</v>
      </c>
      <c r="G64" s="22">
        <f>('2012-2022'!G64-'2012-2022'!T$2)/'2012-2022'!T$3</f>
        <v>0.24048504104057655</v>
      </c>
      <c r="H64" s="22">
        <f>('2012-2022'!H64-'2012-2022'!U$2)/'2012-2022'!U$3</f>
        <v>-0.16922449237278731</v>
      </c>
      <c r="I64" s="22">
        <f>('2012-2022'!I64-'2012-2022'!V$2)/'2012-2022'!V$3</f>
        <v>-0.45907330206235347</v>
      </c>
      <c r="J64" s="22">
        <f>('2012-2022'!J64-'2012-2022'!W$2)/'2012-2022'!W$3</f>
        <v>-0.48652070454983842</v>
      </c>
      <c r="K64" s="22">
        <f>('2012-2022'!K64-'2012-2022'!X$2)/'2012-2022'!X$3</f>
        <v>-0.74252104198128932</v>
      </c>
      <c r="L64" s="22">
        <f>('2012-2022'!L64-'2012-2022'!Y$2)/'2012-2022'!Y$3</f>
        <v>0.36971150972676559</v>
      </c>
      <c r="M64" s="22">
        <f>('2012-2022'!M64-'2012-2022'!Z$2)/'2012-2022'!Z$3</f>
        <v>-0.57603654700592799</v>
      </c>
      <c r="N64" s="22">
        <f>('2012-2022'!N64-'2012-2022'!AA$2)/'2012-2022'!AA$3</f>
        <v>0.4586403697811125</v>
      </c>
      <c r="O64" s="22">
        <f>('2012-2022'!P64-'2012-2022'!AC$2)/'2012-2022'!AC$3</f>
        <v>1.0535177607465112</v>
      </c>
    </row>
    <row r="65" spans="1:15">
      <c r="A65" s="10" t="s">
        <v>7</v>
      </c>
      <c r="B65" s="11">
        <v>2020</v>
      </c>
      <c r="C65" s="14" t="s">
        <v>55</v>
      </c>
      <c r="D65" s="14" t="s">
        <v>54</v>
      </c>
      <c r="E65" s="22">
        <f>('2012-2022'!E65-'2012-2022'!R$2)/'2012-2022'!R$3</f>
        <v>-0.98840838487876048</v>
      </c>
      <c r="F65" s="22">
        <f>('2012-2022'!F65-'2012-2022'!S$2)/'2012-2022'!S$3</f>
        <v>0.29380298119607573</v>
      </c>
      <c r="G65" s="22">
        <f>('2012-2022'!G65-'2012-2022'!T$2)/'2012-2022'!T$3</f>
        <v>-0.44368486392408379</v>
      </c>
      <c r="H65" s="22">
        <f>('2012-2022'!H65-'2012-2022'!U$2)/'2012-2022'!U$3</f>
        <v>-0.63155481544789249</v>
      </c>
      <c r="I65" s="22">
        <f>('2012-2022'!I65-'2012-2022'!V$2)/'2012-2022'!V$3</f>
        <v>-1.1473844115988439</v>
      </c>
      <c r="J65" s="22">
        <f>('2012-2022'!J65-'2012-2022'!W$2)/'2012-2022'!W$3</f>
        <v>-0.33132122050166662</v>
      </c>
      <c r="K65" s="22">
        <f>('2012-2022'!K65-'2012-2022'!X$2)/'2012-2022'!X$3</f>
        <v>-0.73284002080692878</v>
      </c>
      <c r="L65" s="22">
        <f>('2012-2022'!L65-'2012-2022'!Y$2)/'2012-2022'!Y$3</f>
        <v>0.21439658016326862</v>
      </c>
      <c r="M65" s="22">
        <f>('2012-2022'!M65-'2012-2022'!Z$2)/'2012-2022'!Z$3</f>
        <v>-0.46973860012955482</v>
      </c>
      <c r="N65" s="22">
        <f>('2012-2022'!N65-'2012-2022'!AA$2)/'2012-2022'!AA$3</f>
        <v>-0.54606547669313954</v>
      </c>
      <c r="O65" s="22">
        <f>('2012-2022'!P65-'2012-2022'!AC$2)/'2012-2022'!AC$3</f>
        <v>0.92412111021152699</v>
      </c>
    </row>
    <row r="66" spans="1:15">
      <c r="A66" s="10" t="s">
        <v>7</v>
      </c>
      <c r="B66" s="11">
        <v>2021</v>
      </c>
      <c r="C66" s="14" t="s">
        <v>55</v>
      </c>
      <c r="D66" s="14" t="s">
        <v>54</v>
      </c>
      <c r="E66" s="22">
        <f>('2012-2022'!E66-'2012-2022'!R$2)/'2012-2022'!R$3</f>
        <v>-0.60159635154393531</v>
      </c>
      <c r="F66" s="22">
        <f>('2012-2022'!F66-'2012-2022'!S$2)/'2012-2022'!S$3</f>
        <v>9.9712080817907917E-3</v>
      </c>
      <c r="G66" s="22">
        <f>('2012-2022'!G66-'2012-2022'!T$2)/'2012-2022'!T$3</f>
        <v>-6.8468025800186794E-2</v>
      </c>
      <c r="H66" s="22">
        <f>('2012-2022'!H66-'2012-2022'!U$2)/'2012-2022'!U$3</f>
        <v>-0.42000544136762064</v>
      </c>
      <c r="I66" s="22">
        <f>('2012-2022'!I66-'2012-2022'!V$2)/'2012-2022'!V$3</f>
        <v>-0.68923234332086214</v>
      </c>
      <c r="J66" s="22">
        <f>('2012-2022'!J66-'2012-2022'!W$2)/'2012-2022'!W$3</f>
        <v>-1.2384615214345756</v>
      </c>
      <c r="K66" s="22">
        <f>('2012-2022'!K66-'2012-2022'!X$2)/'2012-2022'!X$3</f>
        <v>-1.0381123523588485</v>
      </c>
      <c r="L66" s="22">
        <f>('2012-2022'!L66-'2012-2022'!Y$2)/'2012-2022'!Y$3</f>
        <v>-0.14724830694364699</v>
      </c>
      <c r="M66" s="22">
        <f>('2012-2022'!M66-'2012-2022'!Z$2)/'2012-2022'!Z$3</f>
        <v>0.26123818311651581</v>
      </c>
      <c r="N66" s="22">
        <f>('2012-2022'!N66-'2012-2022'!AA$2)/'2012-2022'!AA$3</f>
        <v>0.20960384211700592</v>
      </c>
      <c r="O66" s="22">
        <f>('2012-2022'!P66-'2012-2022'!AC$2)/'2012-2022'!AC$3</f>
        <v>0.98785678738038818</v>
      </c>
    </row>
    <row r="67" spans="1:15">
      <c r="A67" s="10" t="s">
        <v>7</v>
      </c>
      <c r="B67" s="11">
        <v>2022</v>
      </c>
      <c r="C67" s="14" t="s">
        <v>55</v>
      </c>
      <c r="D67" s="14" t="s">
        <v>54</v>
      </c>
      <c r="E67" s="22">
        <f>('2012-2022'!E67-'2012-2022'!R$2)/'2012-2022'!R$3</f>
        <v>1.722459759141938E-2</v>
      </c>
      <c r="F67" s="22">
        <f>('2012-2022'!F67-'2012-2022'!S$2)/'2012-2022'!S$3</f>
        <v>0.82533282547043152</v>
      </c>
      <c r="G67" s="22">
        <f>('2012-2022'!G67-'2012-2022'!T$2)/'2012-2022'!T$3</f>
        <v>-9.6825720090271697E-2</v>
      </c>
      <c r="H67" s="22">
        <f>('2012-2022'!H67-'2012-2022'!U$2)/'2012-2022'!U$3</f>
        <v>0.52228935740109739</v>
      </c>
      <c r="I67" s="22">
        <f>('2012-2022'!I67-'2012-2022'!V$2)/'2012-2022'!V$3</f>
        <v>-0.28580535969383686</v>
      </c>
      <c r="J67" s="22">
        <f>('2012-2022'!J67-'2012-2022'!W$2)/'2012-2022'!W$3</f>
        <v>-1.3210164382654732</v>
      </c>
      <c r="K67" s="22">
        <f>('2012-2022'!K67-'2012-2022'!X$2)/'2012-2022'!X$3</f>
        <v>-0.91137287643061837</v>
      </c>
      <c r="L67" s="22">
        <f>('2012-2022'!L67-'2012-2022'!Y$2)/'2012-2022'!Y$3</f>
        <v>-0.59940177206218115</v>
      </c>
      <c r="M67" s="22">
        <f>('2012-2022'!M67-'2012-2022'!Z$2)/'2012-2022'!Z$3</f>
        <v>0.4576328089956046</v>
      </c>
      <c r="N67" s="22">
        <f>('2012-2022'!N67-'2012-2022'!AA$2)/'2012-2022'!AA$3</f>
        <v>-0.32831486990470032</v>
      </c>
      <c r="O67" s="22">
        <f>('2012-2022'!P67-'2012-2022'!AC$2)/'2012-2022'!AC$3</f>
        <v>0.92588799755358797</v>
      </c>
    </row>
    <row r="68" spans="1:15">
      <c r="A68" s="10" t="s">
        <v>8</v>
      </c>
      <c r="B68" s="11">
        <v>2012</v>
      </c>
      <c r="C68" s="14" t="s">
        <v>55</v>
      </c>
      <c r="D68" s="14" t="s">
        <v>54</v>
      </c>
      <c r="E68" s="22">
        <f>('2012-2022'!E68-'2012-2022'!R$2)/'2012-2022'!R$3</f>
        <v>-0.9319778466589963</v>
      </c>
      <c r="F68" s="22">
        <f>('2012-2022'!F68-'2012-2022'!S$2)/'2012-2022'!S$3</f>
        <v>-1.1411302359899411</v>
      </c>
      <c r="G68" s="22">
        <f>('2012-2022'!G68-'2012-2022'!T$2)/'2012-2022'!T$3</f>
        <v>0.87514216993319116</v>
      </c>
      <c r="H68" s="22">
        <f>('2012-2022'!H68-'2012-2022'!U$2)/'2012-2022'!U$3</f>
        <v>-1.1509529224412645</v>
      </c>
      <c r="I68" s="22">
        <f>('2012-2022'!I68-'2012-2022'!V$2)/'2012-2022'!V$3</f>
        <v>-0.7409064749745421</v>
      </c>
      <c r="J68" s="22">
        <f>('2012-2022'!J68-'2012-2022'!W$2)/'2012-2022'!W$3</f>
        <v>-0.12111491809113475</v>
      </c>
      <c r="K68" s="22">
        <f>('2012-2022'!K68-'2012-2022'!X$2)/'2012-2022'!X$3</f>
        <v>-0.90105916003697739</v>
      </c>
      <c r="L68" s="22">
        <f>('2012-2022'!L68-'2012-2022'!Y$2)/'2012-2022'!Y$3</f>
        <v>-1.1130779913111348</v>
      </c>
      <c r="M68" s="22">
        <f>('2012-2022'!M68-'2012-2022'!Z$2)/'2012-2022'!Z$3</f>
        <v>3.0265870842004778</v>
      </c>
      <c r="N68" s="22">
        <f>('2012-2022'!N68-'2012-2022'!AA$2)/'2012-2022'!AA$3</f>
        <v>-1.9800624509111564</v>
      </c>
      <c r="O68" s="22">
        <f>('2012-2022'!P68-'2012-2022'!AC$2)/'2012-2022'!AC$3</f>
        <v>-0.85809103137690423</v>
      </c>
    </row>
    <row r="69" spans="1:15">
      <c r="A69" s="10" t="s">
        <v>8</v>
      </c>
      <c r="B69" s="11">
        <v>2013</v>
      </c>
      <c r="C69" s="14" t="s">
        <v>55</v>
      </c>
      <c r="D69" s="14" t="s">
        <v>54</v>
      </c>
      <c r="E69" s="22">
        <f>('2012-2022'!E69-'2012-2022'!R$2)/'2012-2022'!R$3</f>
        <v>-0.96992018587794682</v>
      </c>
      <c r="F69" s="22">
        <f>('2012-2022'!F69-'2012-2022'!S$2)/'2012-2022'!S$3</f>
        <v>4.2131953576547206E-2</v>
      </c>
      <c r="G69" s="22">
        <f>('2012-2022'!G69-'2012-2022'!T$2)/'2012-2022'!T$3</f>
        <v>0.6391468908096678</v>
      </c>
      <c r="H69" s="22">
        <f>('2012-2022'!H69-'2012-2022'!U$2)/'2012-2022'!U$3</f>
        <v>-0.87144342917126072</v>
      </c>
      <c r="I69" s="22">
        <f>('2012-2022'!I69-'2012-2022'!V$2)/'2012-2022'!V$3</f>
        <v>-0.97133211509190287</v>
      </c>
      <c r="J69" s="22">
        <f>('2012-2022'!J69-'2012-2022'!W$2)/'2012-2022'!W$3</f>
        <v>-0.46995460130307659</v>
      </c>
      <c r="K69" s="22">
        <f>('2012-2022'!K69-'2012-2022'!X$2)/'2012-2022'!X$3</f>
        <v>-1.0156840219149892</v>
      </c>
      <c r="L69" s="22">
        <f>('2012-2022'!L69-'2012-2022'!Y$2)/'2012-2022'!Y$3</f>
        <v>-1.3376892718144393</v>
      </c>
      <c r="M69" s="22">
        <f>('2012-2022'!M69-'2012-2022'!Z$2)/'2012-2022'!Z$3</f>
        <v>2.6879726423207138</v>
      </c>
      <c r="N69" s="22">
        <f>('2012-2022'!N69-'2012-2022'!AA$2)/'2012-2022'!AA$3</f>
        <v>-1.9429173209105246</v>
      </c>
      <c r="O69" s="22">
        <f>('2012-2022'!P69-'2012-2022'!AC$2)/'2012-2022'!AC$3</f>
        <v>-0.69450912128294817</v>
      </c>
    </row>
    <row r="70" spans="1:15">
      <c r="A70" s="10" t="s">
        <v>8</v>
      </c>
      <c r="B70" s="11">
        <v>2014</v>
      </c>
      <c r="C70" s="14" t="s">
        <v>55</v>
      </c>
      <c r="D70" s="14" t="s">
        <v>54</v>
      </c>
      <c r="E70" s="22">
        <f>('2012-2022'!E70-'2012-2022'!R$2)/'2012-2022'!R$3</f>
        <v>-0.42993199563706802</v>
      </c>
      <c r="F70" s="22">
        <f>('2012-2022'!F70-'2012-2022'!S$2)/'2012-2022'!S$3</f>
        <v>1.1706788668611321</v>
      </c>
      <c r="G70" s="22">
        <f>('2012-2022'!G70-'2012-2022'!T$2)/'2012-2022'!T$3</f>
        <v>0.43186420539295983</v>
      </c>
      <c r="H70" s="22">
        <f>('2012-2022'!H70-'2012-2022'!U$2)/'2012-2022'!U$3</f>
        <v>-0.10831405557831061</v>
      </c>
      <c r="I70" s="22">
        <f>('2012-2022'!I70-'2012-2022'!V$2)/'2012-2022'!V$3</f>
        <v>-0.605223841731516</v>
      </c>
      <c r="J70" s="22">
        <f>('2012-2022'!J70-'2012-2022'!W$2)/'2012-2022'!W$3</f>
        <v>-0.50861928213064078</v>
      </c>
      <c r="K70" s="22">
        <f>('2012-2022'!K70-'2012-2022'!X$2)/'2012-2022'!X$3</f>
        <v>-0.90206133475476102</v>
      </c>
      <c r="L70" s="22">
        <f>('2012-2022'!L70-'2012-2022'!Y$2)/'2012-2022'!Y$3</f>
        <v>-1.2626470237481244</v>
      </c>
      <c r="M70" s="22">
        <f>('2012-2022'!M70-'2012-2022'!Z$2)/'2012-2022'!Z$3</f>
        <v>2.8457974447957421</v>
      </c>
      <c r="N70" s="22">
        <f>('2012-2022'!N70-'2012-2022'!AA$2)/'2012-2022'!AA$3</f>
        <v>-1.5471352465197585</v>
      </c>
      <c r="O70" s="22">
        <f>('2012-2022'!P70-'2012-2022'!AC$2)/'2012-2022'!AC$3</f>
        <v>-0.84668509091716837</v>
      </c>
    </row>
    <row r="71" spans="1:15">
      <c r="A71" s="10" t="s">
        <v>8</v>
      </c>
      <c r="B71" s="11">
        <v>2015</v>
      </c>
      <c r="C71" s="14" t="s">
        <v>55</v>
      </c>
      <c r="D71" s="14" t="s">
        <v>54</v>
      </c>
      <c r="E71" s="22">
        <f>('2012-2022'!E71-'2012-2022'!R$2)/'2012-2022'!R$3</f>
        <v>-1.1382560300283209</v>
      </c>
      <c r="F71" s="22">
        <f>('2012-2022'!F71-'2012-2022'!S$2)/'2012-2022'!S$3</f>
        <v>-1.2322949425605836</v>
      </c>
      <c r="G71" s="22">
        <f>('2012-2022'!G71-'2012-2022'!T$2)/'2012-2022'!T$3</f>
        <v>-0.60115145990831054</v>
      </c>
      <c r="H71" s="22">
        <f>('2012-2022'!H71-'2012-2022'!U$2)/'2012-2022'!U$3</f>
        <v>-1.1677552391106785</v>
      </c>
      <c r="I71" s="22">
        <f>('2012-2022'!I71-'2012-2022'!V$2)/'2012-2022'!V$3</f>
        <v>-1.0508572559142424</v>
      </c>
      <c r="J71" s="22">
        <f>('2012-2022'!J71-'2012-2022'!W$2)/'2012-2022'!W$3</f>
        <v>-0.40074985132250596</v>
      </c>
      <c r="K71" s="22">
        <f>('2012-2022'!K71-'2012-2022'!X$2)/'2012-2022'!X$3</f>
        <v>-0.87910181738268478</v>
      </c>
      <c r="L71" s="22">
        <f>('2012-2022'!L71-'2012-2022'!Y$2)/'2012-2022'!Y$3</f>
        <v>-1.133098645322566</v>
      </c>
      <c r="M71" s="22">
        <f>('2012-2022'!M71-'2012-2022'!Z$2)/'2012-2022'!Z$3</f>
        <v>2.182697205491738</v>
      </c>
      <c r="N71" s="22">
        <f>('2012-2022'!N71-'2012-2022'!AA$2)/'2012-2022'!AA$3</f>
        <v>-1.9029679635708299</v>
      </c>
      <c r="O71" s="22">
        <f>('2012-2022'!P71-'2012-2022'!AC$2)/'2012-2022'!AC$3</f>
        <v>-0.74276196723297605</v>
      </c>
    </row>
    <row r="72" spans="1:15">
      <c r="A72" s="10" t="s">
        <v>8</v>
      </c>
      <c r="B72" s="11">
        <v>2016</v>
      </c>
      <c r="C72" s="14" t="s">
        <v>55</v>
      </c>
      <c r="D72" s="14" t="s">
        <v>54</v>
      </c>
      <c r="E72" s="22">
        <f>('2012-2022'!E72-'2012-2022'!R$2)/'2012-2022'!R$3</f>
        <v>-1.3588065989226004</v>
      </c>
      <c r="F72" s="22">
        <f>('2012-2022'!F72-'2012-2022'!S$2)/'2012-2022'!S$3</f>
        <v>-1.7611742331469407</v>
      </c>
      <c r="G72" s="22">
        <f>('2012-2022'!G72-'2012-2022'!T$2)/'2012-2022'!T$3</f>
        <v>-0.89255739917073296</v>
      </c>
      <c r="H72" s="22">
        <f>('2012-2022'!H72-'2012-2022'!U$2)/'2012-2022'!U$3</f>
        <v>-1.3887285721588907</v>
      </c>
      <c r="I72" s="22">
        <f>('2012-2022'!I72-'2012-2022'!V$2)/'2012-2022'!V$3</f>
        <v>-1.2568740912745096</v>
      </c>
      <c r="J72" s="22">
        <f>('2012-2022'!J72-'2012-2022'!W$2)/'2012-2022'!W$3</f>
        <v>-0.84074386644696109</v>
      </c>
      <c r="K72" s="22">
        <f>('2012-2022'!K72-'2012-2022'!X$2)/'2012-2022'!X$3</f>
        <v>-0.9890253978453597</v>
      </c>
      <c r="L72" s="22">
        <f>('2012-2022'!L72-'2012-2022'!Y$2)/'2012-2022'!Y$3</f>
        <v>-1.5183998846157087</v>
      </c>
      <c r="M72" s="22">
        <f>('2012-2022'!M72-'2012-2022'!Z$2)/'2012-2022'!Z$3</f>
        <v>2.8022757090661821</v>
      </c>
      <c r="N72" s="22">
        <f>('2012-2022'!N72-'2012-2022'!AA$2)/'2012-2022'!AA$3</f>
        <v>-1.9797623241858138</v>
      </c>
      <c r="O72" s="22">
        <f>('2012-2022'!P72-'2012-2022'!AC$2)/'2012-2022'!AC$3</f>
        <v>-0.85074438069235414</v>
      </c>
    </row>
    <row r="73" spans="1:15">
      <c r="A73" s="10" t="s">
        <v>8</v>
      </c>
      <c r="B73" s="11">
        <v>2017</v>
      </c>
      <c r="C73" s="14" t="s">
        <v>55</v>
      </c>
      <c r="D73" s="14" t="s">
        <v>54</v>
      </c>
      <c r="E73" s="22">
        <f>('2012-2022'!E73-'2012-2022'!R$2)/'2012-2022'!R$3</f>
        <v>-1.0752390330122508</v>
      </c>
      <c r="F73" s="22">
        <f>('2012-2022'!F73-'2012-2022'!S$2)/'2012-2022'!S$3</f>
        <v>0.75671781244036063</v>
      </c>
      <c r="G73" s="22">
        <f>('2012-2022'!G73-'2012-2022'!T$2)/'2012-2022'!T$3</f>
        <v>0.13806307302741239</v>
      </c>
      <c r="H73" s="22">
        <f>('2012-2022'!H73-'2012-2022'!U$2)/'2012-2022'!U$3</f>
        <v>-0.77798710428178752</v>
      </c>
      <c r="I73" s="22">
        <f>('2012-2022'!I73-'2012-2022'!V$2)/'2012-2022'!V$3</f>
        <v>-1.1937220900952514</v>
      </c>
      <c r="J73" s="22">
        <f>('2012-2022'!J73-'2012-2022'!W$2)/'2012-2022'!W$3</f>
        <v>-0.69436447921757893</v>
      </c>
      <c r="K73" s="22">
        <f>('2012-2022'!K73-'2012-2022'!X$2)/'2012-2022'!X$3</f>
        <v>-1.1343957902236386</v>
      </c>
      <c r="L73" s="22">
        <f>('2012-2022'!L73-'2012-2022'!Y$2)/'2012-2022'!Y$3</f>
        <v>-1.509150234267145</v>
      </c>
      <c r="M73" s="22">
        <f>('2012-2022'!M73-'2012-2022'!Z$2)/'2012-2022'!Z$3</f>
        <v>2.8039409490241325</v>
      </c>
      <c r="N73" s="22">
        <f>('2012-2022'!N73-'2012-2022'!AA$2)/'2012-2022'!AA$3</f>
        <v>-1.9308578726624519</v>
      </c>
      <c r="O73" s="22">
        <f>('2012-2022'!P73-'2012-2022'!AC$2)/'2012-2022'!AC$3</f>
        <v>-0.84278949029235695</v>
      </c>
    </row>
    <row r="74" spans="1:15">
      <c r="A74" s="10" t="s">
        <v>8</v>
      </c>
      <c r="B74" s="11">
        <v>2018</v>
      </c>
      <c r="C74" s="14" t="s">
        <v>55</v>
      </c>
      <c r="D74" s="14" t="s">
        <v>54</v>
      </c>
      <c r="E74" s="22">
        <f>('2012-2022'!E74-'2012-2022'!R$2)/'2012-2022'!R$3</f>
        <v>-0.686800429657625</v>
      </c>
      <c r="F74" s="22">
        <f>('2012-2022'!F74-'2012-2022'!S$2)/'2012-2022'!S$3</f>
        <v>2.401275423638066</v>
      </c>
      <c r="G74" s="22">
        <f>('2012-2022'!G74-'2012-2022'!T$2)/'2012-2022'!T$3</f>
        <v>-0.50320826014595865</v>
      </c>
      <c r="H74" s="22">
        <f>('2012-2022'!H74-'2012-2022'!U$2)/'2012-2022'!U$3</f>
        <v>2.2406688252253584E-2</v>
      </c>
      <c r="I74" s="22">
        <f>('2012-2022'!I74-'2012-2022'!V$2)/'2012-2022'!V$3</f>
        <v>-1.084845888787163</v>
      </c>
      <c r="J74" s="22">
        <f>('2012-2022'!J74-'2012-2022'!W$2)/'2012-2022'!W$3</f>
        <v>-0.43442579705671408</v>
      </c>
      <c r="K74" s="22">
        <f>('2012-2022'!K74-'2012-2022'!X$2)/'2012-2022'!X$3</f>
        <v>-1.006005011650279</v>
      </c>
      <c r="L74" s="22">
        <f>('2012-2022'!L74-'2012-2022'!Y$2)/'2012-2022'!Y$3</f>
        <v>-1.4508452841170754</v>
      </c>
      <c r="M74" s="22">
        <f>('2012-2022'!M74-'2012-2022'!Z$2)/'2012-2022'!Z$3</f>
        <v>2.5753101670740826</v>
      </c>
      <c r="N74" s="22">
        <f>('2012-2022'!N74-'2012-2022'!AA$2)/'2012-2022'!AA$3</f>
        <v>-1.5903811549895392</v>
      </c>
      <c r="O74" s="22">
        <f>('2012-2022'!P74-'2012-2022'!AC$2)/'2012-2022'!AC$3</f>
        <v>-0.67934977100414096</v>
      </c>
    </row>
    <row r="75" spans="1:15">
      <c r="A75" s="10" t="s">
        <v>8</v>
      </c>
      <c r="B75" s="11">
        <v>2019</v>
      </c>
      <c r="C75" s="14" t="s">
        <v>55</v>
      </c>
      <c r="D75" s="14" t="s">
        <v>54</v>
      </c>
      <c r="E75" s="22">
        <f>('2012-2022'!E75-'2012-2022'!R$2)/'2012-2022'!R$3</f>
        <v>-0.6557575450665224</v>
      </c>
      <c r="F75" s="22">
        <f>('2012-2022'!F75-'2012-2022'!S$2)/'2012-2022'!S$3</f>
        <v>1.8351584415279636</v>
      </c>
      <c r="G75" s="22">
        <f>('2012-2022'!G75-'2012-2022'!T$2)/'2012-2022'!T$3</f>
        <v>-1.7245924190934692</v>
      </c>
      <c r="H75" s="22">
        <f>('2012-2022'!H75-'2012-2022'!U$2)/'2012-2022'!U$3</f>
        <v>0.24696368958506004</v>
      </c>
      <c r="I75" s="22">
        <f>('2012-2022'!I75-'2012-2022'!V$2)/'2012-2022'!V$3</f>
        <v>-1.1753302991021539</v>
      </c>
      <c r="J75" s="22">
        <f>('2012-2022'!J75-'2012-2022'!W$2)/'2012-2022'!W$3</f>
        <v>2.0776388744427863E-2</v>
      </c>
      <c r="K75" s="22">
        <f>('2012-2022'!K75-'2012-2022'!X$2)/'2012-2022'!X$3</f>
        <v>-0.59680779659774452</v>
      </c>
      <c r="L75" s="22">
        <f>('2012-2022'!L75-'2012-2022'!Y$2)/'2012-2022'!Y$3</f>
        <v>-0.92573938039769921</v>
      </c>
      <c r="M75" s="22">
        <f>('2012-2022'!M75-'2012-2022'!Z$2)/'2012-2022'!Z$3</f>
        <v>0.38860667819034977</v>
      </c>
      <c r="N75" s="22">
        <f>('2012-2022'!N75-'2012-2022'!AA$2)/'2012-2022'!AA$3</f>
        <v>0.3142311323706144</v>
      </c>
      <c r="O75" s="22">
        <f>('2012-2022'!P75-'2012-2022'!AC$2)/'2012-2022'!AC$3</f>
        <v>-0.51355365713415124</v>
      </c>
    </row>
    <row r="76" spans="1:15">
      <c r="A76" s="10" t="s">
        <v>8</v>
      </c>
      <c r="B76" s="11">
        <v>2020</v>
      </c>
      <c r="C76" s="14" t="s">
        <v>55</v>
      </c>
      <c r="D76" s="14" t="s">
        <v>54</v>
      </c>
      <c r="E76" s="22">
        <f>('2012-2022'!E76-'2012-2022'!R$2)/'2012-2022'!R$3</f>
        <v>-9.3617865333197089E-2</v>
      </c>
      <c r="F76" s="22">
        <f>('2012-2022'!F76-'2012-2022'!S$2)/'2012-2022'!S$3</f>
        <v>3.107232308284833</v>
      </c>
      <c r="G76" s="22">
        <f>('2012-2022'!G76-'2012-2022'!T$2)/'2012-2022'!T$3</f>
        <v>-0.4062362818296007</v>
      </c>
      <c r="H76" s="22">
        <f>('2012-2022'!H76-'2012-2022'!U$2)/'2012-2022'!U$3</f>
        <v>0.94355655960044293</v>
      </c>
      <c r="I76" s="22">
        <f>('2012-2022'!I76-'2012-2022'!V$2)/'2012-2022'!V$3</f>
        <v>-0.72752495040728415</v>
      </c>
      <c r="J76" s="22">
        <f>('2012-2022'!J76-'2012-2022'!W$2)/'2012-2022'!W$3</f>
        <v>0.16072666494722437</v>
      </c>
      <c r="K76" s="22">
        <f>('2012-2022'!K76-'2012-2022'!X$2)/'2012-2022'!X$3</f>
        <v>-0.73491831366972116</v>
      </c>
      <c r="L76" s="22">
        <f>('2012-2022'!L76-'2012-2022'!Y$2)/'2012-2022'!Y$3</f>
        <v>-0.73750264783150754</v>
      </c>
      <c r="M76" s="22">
        <f>('2012-2022'!M76-'2012-2022'!Z$2)/'2012-2022'!Z$3</f>
        <v>2.0460439919486388</v>
      </c>
      <c r="N76" s="22">
        <f>('2012-2022'!N76-'2012-2022'!AA$2)/'2012-2022'!AA$3</f>
        <v>-1.0505568529602765</v>
      </c>
      <c r="O76" s="22">
        <f>('2012-2022'!P76-'2012-2022'!AC$2)/'2012-2022'!AC$3</f>
        <v>-0.48414869908415731</v>
      </c>
    </row>
    <row r="77" spans="1:15">
      <c r="A77" s="10" t="s">
        <v>8</v>
      </c>
      <c r="B77" s="11">
        <v>2021</v>
      </c>
      <c r="C77" s="14" t="s">
        <v>55</v>
      </c>
      <c r="D77" s="14" t="s">
        <v>54</v>
      </c>
      <c r="E77" s="22">
        <f>('2012-2022'!E77-'2012-2022'!R$2)/'2012-2022'!R$3</f>
        <v>-0.9687801722598508</v>
      </c>
      <c r="F77" s="22">
        <f>('2012-2022'!F77-'2012-2022'!S$2)/'2012-2022'!S$3</f>
        <v>1.1937565429060415</v>
      </c>
      <c r="G77" s="22">
        <f>('2012-2022'!G77-'2012-2022'!T$2)/'2012-2022'!T$3</f>
        <v>-0.38678275156422715</v>
      </c>
      <c r="H77" s="22">
        <f>('2012-2022'!H77-'2012-2022'!U$2)/'2012-2022'!U$3</f>
        <v>-0.53394774915368182</v>
      </c>
      <c r="I77" s="22">
        <f>('2012-2022'!I77-'2012-2022'!V$2)/'2012-2022'!V$3</f>
        <v>-1.1791232361401363</v>
      </c>
      <c r="J77" s="22">
        <f>('2012-2022'!J77-'2012-2022'!W$2)/'2012-2022'!W$3</f>
        <v>0.14755540057347488</v>
      </c>
      <c r="K77" s="22">
        <f>('2012-2022'!K77-'2012-2022'!X$2)/'2012-2022'!X$3</f>
        <v>-0.86291968384217899</v>
      </c>
      <c r="L77" s="22">
        <f>('2012-2022'!L77-'2012-2022'!Y$2)/'2012-2022'!Y$3</f>
        <v>-0.73047739376025378</v>
      </c>
      <c r="M77" s="22">
        <f>('2012-2022'!M77-'2012-2022'!Z$2)/'2012-2022'!Z$3</f>
        <v>1.327062675747896</v>
      </c>
      <c r="N77" s="22">
        <f>('2012-2022'!N77-'2012-2022'!AA$2)/'2012-2022'!AA$3</f>
        <v>0.23833207399201478</v>
      </c>
      <c r="O77" s="22">
        <f>('2012-2022'!P77-'2012-2022'!AC$2)/'2012-2022'!AC$3</f>
        <v>-0.54169184722779062</v>
      </c>
    </row>
    <row r="78" spans="1:15">
      <c r="A78" s="10" t="s">
        <v>8</v>
      </c>
      <c r="B78" s="11">
        <v>2022</v>
      </c>
      <c r="C78" s="14" t="s">
        <v>55</v>
      </c>
      <c r="D78" s="14" t="s">
        <v>54</v>
      </c>
      <c r="E78" s="22">
        <f>('2012-2022'!E78-'2012-2022'!R$2)/'2012-2022'!R$3</f>
        <v>-1.1941893537190371</v>
      </c>
      <c r="F78" s="22">
        <f>('2012-2022'!F78-'2012-2022'!S$2)/'2012-2022'!S$3</f>
        <v>0.2860335393752631</v>
      </c>
      <c r="G78" s="22">
        <f>('2012-2022'!G78-'2012-2022'!T$2)/'2012-2022'!T$3</f>
        <v>-0.5052303800390805</v>
      </c>
      <c r="H78" s="22">
        <f>('2012-2022'!H78-'2012-2022'!U$2)/'2012-2022'!U$3</f>
        <v>-0.89195103104741535</v>
      </c>
      <c r="I78" s="22">
        <f>('2012-2022'!I78-'2012-2022'!V$2)/'2012-2022'!V$3</f>
        <v>-1.3083130913770051</v>
      </c>
      <c r="J78" s="22">
        <f>('2012-2022'!J78-'2012-2022'!W$2)/'2012-2022'!W$3</f>
        <v>0.20613244026617564</v>
      </c>
      <c r="K78" s="22">
        <f>('2012-2022'!K78-'2012-2022'!X$2)/'2012-2022'!X$3</f>
        <v>-0.97373071516614973</v>
      </c>
      <c r="L78" s="22">
        <f>('2012-2022'!L78-'2012-2022'!Y$2)/'2012-2022'!Y$3</f>
        <v>-1.0548451009891893</v>
      </c>
      <c r="M78" s="22">
        <f>('2012-2022'!M78-'2012-2022'!Z$2)/'2012-2022'!Z$3</f>
        <v>1.8151055842468233</v>
      </c>
      <c r="N78" s="22">
        <f>('2012-2022'!N78-'2012-2022'!AA$2)/'2012-2022'!AA$3</f>
        <v>-0.52553657920636276</v>
      </c>
      <c r="O78" s="22">
        <f>('2012-2022'!P78-'2012-2022'!AC$2)/'2012-2022'!AC$3</f>
        <v>-0.51033104270131746</v>
      </c>
    </row>
    <row r="79" spans="1:15">
      <c r="A79" s="10" t="s">
        <v>9</v>
      </c>
      <c r="B79" s="11">
        <v>2012</v>
      </c>
      <c r="C79" s="14" t="s">
        <v>51</v>
      </c>
      <c r="D79" s="14" t="s">
        <v>52</v>
      </c>
      <c r="E79" s="22">
        <f>('2012-2022'!E79-'2012-2022'!R$2)/'2012-2022'!R$3</f>
        <v>-0.72196312342780833</v>
      </c>
      <c r="F79" s="22">
        <f>('2012-2022'!F79-'2012-2022'!S$2)/'2012-2022'!S$3</f>
        <v>0.49293163023105252</v>
      </c>
      <c r="G79" s="22">
        <f>('2012-2022'!G79-'2012-2022'!T$2)/'2012-2022'!T$3</f>
        <v>0.2460090205639909</v>
      </c>
      <c r="H79" s="22">
        <f>('2012-2022'!H79-'2012-2022'!U$2)/'2012-2022'!U$3</f>
        <v>-0.67542150597330186</v>
      </c>
      <c r="I79" s="22">
        <f>('2012-2022'!I79-'2012-2022'!V$2)/'2012-2022'!V$3</f>
        <v>-0.65080643471031741</v>
      </c>
      <c r="J79" s="22">
        <f>('2012-2022'!J79-'2012-2022'!W$2)/'2012-2022'!W$3</f>
        <v>0.75641958471770876</v>
      </c>
      <c r="K79" s="22">
        <f>('2012-2022'!K79-'2012-2022'!X$2)/'2012-2022'!X$3</f>
        <v>0.18869604021201539</v>
      </c>
      <c r="L79" s="22">
        <f>('2012-2022'!L79-'2012-2022'!Y$2)/'2012-2022'!Y$3</f>
        <v>-0.89745737754752453</v>
      </c>
      <c r="M79" s="22">
        <f>('2012-2022'!M79-'2012-2022'!Z$2)/'2012-2022'!Z$3</f>
        <v>0.46062270270592098</v>
      </c>
      <c r="N79" s="22">
        <f>('2012-2022'!N79-'2012-2022'!AA$2)/'2012-2022'!AA$3</f>
        <v>0.1716055118906987</v>
      </c>
      <c r="O79" s="22">
        <f>('2012-2022'!P79-'2012-2022'!AC$2)/'2012-2022'!AC$3</f>
        <v>-1.6248083715834805</v>
      </c>
    </row>
    <row r="80" spans="1:15">
      <c r="A80" s="10" t="s">
        <v>9</v>
      </c>
      <c r="B80" s="11">
        <v>2013</v>
      </c>
      <c r="C80" s="14" t="s">
        <v>51</v>
      </c>
      <c r="D80" s="14" t="s">
        <v>52</v>
      </c>
      <c r="E80" s="22">
        <f>('2012-2022'!E80-'2012-2022'!R$2)/'2012-2022'!R$3</f>
        <v>-0.27242671133558066</v>
      </c>
      <c r="F80" s="22">
        <f>('2012-2022'!F80-'2012-2022'!S$2)/'2012-2022'!S$3</f>
        <v>0.69982972108684194</v>
      </c>
      <c r="G80" s="22">
        <f>('2012-2022'!G80-'2012-2022'!T$2)/'2012-2022'!T$3</f>
        <v>0.9972484211670628</v>
      </c>
      <c r="H80" s="22">
        <f>('2012-2022'!H80-'2012-2022'!U$2)/'2012-2022'!U$3</f>
        <v>-0.4588919808991882</v>
      </c>
      <c r="I80" s="22">
        <f>('2012-2022'!I80-'2012-2022'!V$2)/'2012-2022'!V$3</f>
        <v>6.7002219563703563E-3</v>
      </c>
      <c r="J80" s="22">
        <f>('2012-2022'!J80-'2012-2022'!W$2)/'2012-2022'!W$3</f>
        <v>1.306706729169242</v>
      </c>
      <c r="K80" s="22">
        <f>('2012-2022'!K80-'2012-2022'!X$2)/'2012-2022'!X$3</f>
        <v>1.3511227955901806</v>
      </c>
      <c r="L80" s="22">
        <f>('2012-2022'!L80-'2012-2022'!Y$2)/'2012-2022'!Y$3</f>
        <v>-0.74006965410585979</v>
      </c>
      <c r="M80" s="22">
        <f>('2012-2022'!M80-'2012-2022'!Z$2)/'2012-2022'!Z$3</f>
        <v>-0.8938601788349807</v>
      </c>
      <c r="N80" s="22">
        <f>('2012-2022'!N80-'2012-2022'!AA$2)/'2012-2022'!AA$3</f>
        <v>0.86874760298776021</v>
      </c>
      <c r="O80" s="22">
        <f>('2012-2022'!P80-'2012-2022'!AC$2)/'2012-2022'!AC$3</f>
        <v>-1.6756767237427184</v>
      </c>
    </row>
    <row r="81" spans="1:15">
      <c r="A81" s="10" t="s">
        <v>9</v>
      </c>
      <c r="B81" s="11">
        <v>2014</v>
      </c>
      <c r="C81" s="14" t="s">
        <v>51</v>
      </c>
      <c r="D81" s="14" t="s">
        <v>52</v>
      </c>
      <c r="E81" s="22">
        <f>('2012-2022'!E81-'2012-2022'!R$2)/'2012-2022'!R$3</f>
        <v>1.0647240284185266</v>
      </c>
      <c r="F81" s="22">
        <f>('2012-2022'!F81-'2012-2022'!S$2)/'2012-2022'!S$3</f>
        <v>1.628645954670155</v>
      </c>
      <c r="G81" s="22">
        <f>('2012-2022'!G81-'2012-2022'!T$2)/'2012-2022'!T$3</f>
        <v>0.94367382020035284</v>
      </c>
      <c r="H81" s="22">
        <f>('2012-2022'!H81-'2012-2022'!U$2)/'2012-2022'!U$3</f>
        <v>0.86430693608230935</v>
      </c>
      <c r="I81" s="22">
        <f>('2012-2022'!I81-'2012-2022'!V$2)/'2012-2022'!V$3</f>
        <v>1.2560867760671672</v>
      </c>
      <c r="J81" s="22">
        <f>('2012-2022'!J81-'2012-2022'!W$2)/'2012-2022'!W$3</f>
        <v>1.1086282903946856</v>
      </c>
      <c r="K81" s="22">
        <f>('2012-2022'!K81-'2012-2022'!X$2)/'2012-2022'!X$3</f>
        <v>1.4921877166004085</v>
      </c>
      <c r="L81" s="22">
        <f>('2012-2022'!L81-'2012-2022'!Y$2)/'2012-2022'!Y$3</f>
        <v>-1.1943097383146652</v>
      </c>
      <c r="M81" s="22">
        <f>('2012-2022'!M81-'2012-2022'!Z$2)/'2012-2022'!Z$3</f>
        <v>-0.60337224162251468</v>
      </c>
      <c r="N81" s="22">
        <f>('2012-2022'!N81-'2012-2022'!AA$2)/'2012-2022'!AA$3</f>
        <v>3.5878795409814306E-2</v>
      </c>
      <c r="O81" s="22">
        <f>('2012-2022'!P81-'2012-2022'!AC$2)/'2012-2022'!AC$3</f>
        <v>-1.6343493620765075</v>
      </c>
    </row>
    <row r="82" spans="1:15">
      <c r="A82" s="10" t="s">
        <v>9</v>
      </c>
      <c r="B82" s="11">
        <v>2015</v>
      </c>
      <c r="C82" s="14" t="s">
        <v>51</v>
      </c>
      <c r="D82" s="14" t="s">
        <v>52</v>
      </c>
      <c r="E82" s="22">
        <f>('2012-2022'!E82-'2012-2022'!R$2)/'2012-2022'!R$3</f>
        <v>0.69922142054768543</v>
      </c>
      <c r="F82" s="22">
        <f>('2012-2022'!F82-'2012-2022'!S$2)/'2012-2022'!S$3</f>
        <v>1.8928074004320907</v>
      </c>
      <c r="G82" s="22">
        <f>('2012-2022'!G82-'2012-2022'!T$2)/'2012-2022'!T$3</f>
        <v>0.77659936375405647</v>
      </c>
      <c r="H82" s="22">
        <f>('2012-2022'!H82-'2012-2022'!U$2)/'2012-2022'!U$3</f>
        <v>0.69089191097424318</v>
      </c>
      <c r="I82" s="22">
        <f>('2012-2022'!I82-'2012-2022'!V$2)/'2012-2022'!V$3</f>
        <v>0.743623222339164</v>
      </c>
      <c r="J82" s="22">
        <f>('2012-2022'!J82-'2012-2022'!W$2)/'2012-2022'!W$3</f>
        <v>0.74520439501396618</v>
      </c>
      <c r="K82" s="22">
        <f>('2012-2022'!K82-'2012-2022'!X$2)/'2012-2022'!X$3</f>
        <v>1.3984782306353853</v>
      </c>
      <c r="L82" s="22">
        <f>('2012-2022'!L82-'2012-2022'!Y$2)/'2012-2022'!Y$3</f>
        <v>-0.85386357450742123</v>
      </c>
      <c r="M82" s="22">
        <f>('2012-2022'!M82-'2012-2022'!Z$2)/'2012-2022'!Z$3</f>
        <v>-0.85986882863991621</v>
      </c>
      <c r="N82" s="22">
        <f>('2012-2022'!N82-'2012-2022'!AA$2)/'2012-2022'!AA$3</f>
        <v>0.19180734162048457</v>
      </c>
      <c r="O82" s="22">
        <f>('2012-2022'!P82-'2012-2022'!AC$2)/'2012-2022'!AC$3</f>
        <v>-1.5487025972004889</v>
      </c>
    </row>
    <row r="83" spans="1:15">
      <c r="A83" s="10" t="s">
        <v>9</v>
      </c>
      <c r="B83" s="11">
        <v>2016</v>
      </c>
      <c r="C83" s="14" t="s">
        <v>51</v>
      </c>
      <c r="D83" s="14" t="s">
        <v>52</v>
      </c>
      <c r="E83" s="22">
        <f>('2012-2022'!E83-'2012-2022'!R$2)/'2012-2022'!R$3</f>
        <v>0.95774024704699301</v>
      </c>
      <c r="F83" s="22">
        <f>('2012-2022'!F83-'2012-2022'!S$2)/'2012-2022'!S$3</f>
        <v>2.0239497105624378</v>
      </c>
      <c r="G83" s="22">
        <f>('2012-2022'!G83-'2012-2022'!T$2)/'2012-2022'!T$3</f>
        <v>0.355473336382778</v>
      </c>
      <c r="H83" s="22">
        <f>('2012-2022'!H83-'2012-2022'!U$2)/'2012-2022'!U$3</f>
        <v>1.0859484344354164</v>
      </c>
      <c r="I83" s="22">
        <f>('2012-2022'!I83-'2012-2022'!V$2)/'2012-2022'!V$3</f>
        <v>0.86331824806953217</v>
      </c>
      <c r="J83" s="22">
        <f>('2012-2022'!J83-'2012-2022'!W$2)/'2012-2022'!W$3</f>
        <v>0.88265155123612182</v>
      </c>
      <c r="K83" s="22">
        <f>('2012-2022'!K83-'2012-2022'!X$2)/'2012-2022'!X$3</f>
        <v>1.2891289032083526</v>
      </c>
      <c r="L83" s="22">
        <f>('2012-2022'!L83-'2012-2022'!Y$2)/'2012-2022'!Y$3</f>
        <v>-0.60282831310709029</v>
      </c>
      <c r="M83" s="22">
        <f>('2012-2022'!M83-'2012-2022'!Z$2)/'2012-2022'!Z$3</f>
        <v>-0.76718749428542454</v>
      </c>
      <c r="N83" s="22">
        <f>('2012-2022'!N83-'2012-2022'!AA$2)/'2012-2022'!AA$3</f>
        <v>0.21339258326124819</v>
      </c>
      <c r="O83" s="22">
        <f>('2012-2022'!P83-'2012-2022'!AC$2)/'2012-2022'!AC$3</f>
        <v>-1.4877321603253966</v>
      </c>
    </row>
    <row r="84" spans="1:15">
      <c r="A84" s="10" t="s">
        <v>9</v>
      </c>
      <c r="B84" s="11">
        <v>2017</v>
      </c>
      <c r="C84" s="14" t="s">
        <v>51</v>
      </c>
      <c r="D84" s="14" t="s">
        <v>52</v>
      </c>
      <c r="E84" s="22">
        <f>('2012-2022'!E84-'2012-2022'!R$2)/'2012-2022'!R$3</f>
        <v>1.640109994228083</v>
      </c>
      <c r="F84" s="22">
        <f>('2012-2022'!F84-'2012-2022'!S$2)/'2012-2022'!S$3</f>
        <v>2.0651667760423735</v>
      </c>
      <c r="G84" s="22">
        <f>('2012-2022'!G84-'2012-2022'!T$2)/'2012-2022'!T$3</f>
        <v>0.33027238278454413</v>
      </c>
      <c r="H84" s="22">
        <f>('2012-2022'!H84-'2012-2022'!U$2)/'2012-2022'!U$3</f>
        <v>1.7520789928885436</v>
      </c>
      <c r="I84" s="22">
        <f>('2012-2022'!I84-'2012-2022'!V$2)/'2012-2022'!V$3</f>
        <v>1.5141184250931738</v>
      </c>
      <c r="J84" s="22">
        <f>('2012-2022'!J84-'2012-2022'!W$2)/'2012-2022'!W$3</f>
        <v>1.1369529871911288</v>
      </c>
      <c r="K84" s="22">
        <f>('2012-2022'!K84-'2012-2022'!X$2)/'2012-2022'!X$3</f>
        <v>1.8082184290380114</v>
      </c>
      <c r="L84" s="22">
        <f>('2012-2022'!L84-'2012-2022'!Y$2)/'2012-2022'!Y$3</f>
        <v>0.1339040771834884</v>
      </c>
      <c r="M84" s="22">
        <f>('2012-2022'!M84-'2012-2022'!Z$2)/'2012-2022'!Z$3</f>
        <v>-0.80152440049169871</v>
      </c>
      <c r="N84" s="22">
        <f>('2012-2022'!N84-'2012-2022'!AA$2)/'2012-2022'!AA$3</f>
        <v>0.5286778432018624</v>
      </c>
      <c r="O84" s="22">
        <f>('2012-2022'!P84-'2012-2022'!AC$2)/'2012-2022'!AC$3</f>
        <v>-1.6076423834174787</v>
      </c>
    </row>
    <row r="85" spans="1:15">
      <c r="A85" s="10" t="s">
        <v>9</v>
      </c>
      <c r="B85" s="11">
        <v>2018</v>
      </c>
      <c r="C85" s="14" t="s">
        <v>51</v>
      </c>
      <c r="D85" s="14" t="s">
        <v>52</v>
      </c>
      <c r="E85" s="22">
        <f>('2012-2022'!E85-'2012-2022'!R$2)/'2012-2022'!R$3</f>
        <v>2.0793530320739175</v>
      </c>
      <c r="F85" s="22">
        <f>('2012-2022'!F85-'2012-2022'!S$2)/'2012-2022'!S$3</f>
        <v>2.1428982525799674</v>
      </c>
      <c r="G85" s="22">
        <f>('2012-2022'!G85-'2012-2022'!T$2)/'2012-2022'!T$3</f>
        <v>0.33439853223992066</v>
      </c>
      <c r="H85" s="22">
        <f>('2012-2022'!H85-'2012-2022'!U$2)/'2012-2022'!U$3</f>
        <v>2.2094758856596437</v>
      </c>
      <c r="I85" s="22">
        <f>('2012-2022'!I85-'2012-2022'!V$2)/'2012-2022'!V$3</f>
        <v>1.9073958627365426</v>
      </c>
      <c r="J85" s="22">
        <f>('2012-2022'!J85-'2012-2022'!W$2)/'2012-2022'!W$3</f>
        <v>1.1947114718845107</v>
      </c>
      <c r="K85" s="22">
        <f>('2012-2022'!K85-'2012-2022'!X$2)/'2012-2022'!X$3</f>
        <v>2.0499670517012003</v>
      </c>
      <c r="L85" s="22">
        <f>('2012-2022'!L85-'2012-2022'!Y$2)/'2012-2022'!Y$3</f>
        <v>8.6453632480916837E-2</v>
      </c>
      <c r="M85" s="22">
        <f>('2012-2022'!M85-'2012-2022'!Z$2)/'2012-2022'!Z$3</f>
        <v>-0.93374015460660809</v>
      </c>
      <c r="N85" s="22">
        <f>('2012-2022'!N85-'2012-2022'!AA$2)/'2012-2022'!AA$3</f>
        <v>0.61100858550651149</v>
      </c>
      <c r="O85" s="22">
        <f>('2012-2022'!P85-'2012-2022'!AC$2)/'2012-2022'!AC$3</f>
        <v>-1.5311482558966167</v>
      </c>
    </row>
    <row r="86" spans="1:15">
      <c r="A86" s="10" t="s">
        <v>9</v>
      </c>
      <c r="B86" s="11">
        <v>2019</v>
      </c>
      <c r="C86" s="14" t="s">
        <v>51</v>
      </c>
      <c r="D86" s="14" t="s">
        <v>52</v>
      </c>
      <c r="E86" s="22">
        <f>('2012-2022'!E86-'2012-2022'!R$2)/'2012-2022'!R$3</f>
        <v>1.9399991223574464</v>
      </c>
      <c r="F86" s="22">
        <f>('2012-2022'!F86-'2012-2022'!S$2)/'2012-2022'!S$3</f>
        <v>1.6384624775688907</v>
      </c>
      <c r="G86" s="22">
        <f>('2012-2022'!G86-'2012-2022'!T$2)/'2012-2022'!T$3</f>
        <v>1.2947242296085055</v>
      </c>
      <c r="H86" s="22">
        <f>('2012-2022'!H86-'2012-2022'!U$2)/'2012-2022'!U$3</f>
        <v>1.5120594062995316</v>
      </c>
      <c r="I86" s="22">
        <f>('2012-2022'!I86-'2012-2022'!V$2)/'2012-2022'!V$3</f>
        <v>2.2574325407007385</v>
      </c>
      <c r="J86" s="22">
        <f>('2012-2022'!J86-'2012-2022'!W$2)/'2012-2022'!W$3</f>
        <v>2.2593391263929141</v>
      </c>
      <c r="K86" s="22">
        <f>('2012-2022'!K86-'2012-2022'!X$2)/'2012-2022'!X$3</f>
        <v>2.2337697660694906</v>
      </c>
      <c r="L86" s="22">
        <f>('2012-2022'!L86-'2012-2022'!Y$2)/'2012-2022'!Y$3</f>
        <v>2.12877032407616</v>
      </c>
      <c r="M86" s="22">
        <f>('2012-2022'!M86-'2012-2022'!Z$2)/'2012-2022'!Z$3</f>
        <v>-0.30860187289507107</v>
      </c>
      <c r="N86" s="22">
        <f>('2012-2022'!N86-'2012-2022'!AA$2)/'2012-2022'!AA$3</f>
        <v>1.3954923107352755</v>
      </c>
      <c r="O86" s="22">
        <f>('2012-2022'!P86-'2012-2022'!AC$2)/'2012-2022'!AC$3</f>
        <v>-1.5719024540938897</v>
      </c>
    </row>
    <row r="87" spans="1:15">
      <c r="A87" s="10" t="s">
        <v>9</v>
      </c>
      <c r="B87" s="11">
        <v>2020</v>
      </c>
      <c r="C87" s="14" t="s">
        <v>51</v>
      </c>
      <c r="D87" s="14" t="s">
        <v>52</v>
      </c>
      <c r="E87" s="22">
        <f>('2012-2022'!E87-'2012-2022'!R$2)/'2012-2022'!R$3</f>
        <v>2.546032436408165</v>
      </c>
      <c r="F87" s="22">
        <f>('2012-2022'!F87-'2012-2022'!S$2)/'2012-2022'!S$3</f>
        <v>2.5764484080389263</v>
      </c>
      <c r="G87" s="22">
        <f>('2012-2022'!G87-'2012-2022'!T$2)/'2012-2022'!T$3</f>
        <v>0.46892984468791754</v>
      </c>
      <c r="H87" s="22">
        <f>('2012-2022'!H87-'2012-2022'!U$2)/'2012-2022'!U$3</f>
        <v>2.977657539846807</v>
      </c>
      <c r="I87" s="22">
        <f>('2012-2022'!I87-'2012-2022'!V$2)/'2012-2022'!V$3</f>
        <v>2.0879084527053289</v>
      </c>
      <c r="J87" s="22">
        <f>('2012-2022'!J87-'2012-2022'!W$2)/'2012-2022'!W$3</f>
        <v>1.9985877090517559</v>
      </c>
      <c r="K87" s="22">
        <f>('2012-2022'!K87-'2012-2022'!X$2)/'2012-2022'!X$3</f>
        <v>2.1090681894423162</v>
      </c>
      <c r="L87" s="22">
        <f>('2012-2022'!L87-'2012-2022'!Y$2)/'2012-2022'!Y$3</f>
        <v>2.3631017767026923</v>
      </c>
      <c r="M87" s="22">
        <f>('2012-2022'!M87-'2012-2022'!Z$2)/'2012-2022'!Z$3</f>
        <v>-0.20643393553342146</v>
      </c>
      <c r="N87" s="22">
        <f>('2012-2022'!N87-'2012-2022'!AA$2)/'2012-2022'!AA$3</f>
        <v>1.10944817627019</v>
      </c>
      <c r="O87" s="22">
        <f>('2012-2022'!P87-'2012-2022'!AC$2)/'2012-2022'!AC$3</f>
        <v>-1.5139811362387923</v>
      </c>
    </row>
    <row r="88" spans="1:15">
      <c r="A88" s="10" t="s">
        <v>9</v>
      </c>
      <c r="B88" s="11">
        <v>2021</v>
      </c>
      <c r="C88" s="14" t="s">
        <v>51</v>
      </c>
      <c r="D88" s="14" t="s">
        <v>52</v>
      </c>
      <c r="E88" s="22">
        <f>('2012-2022'!E88-'2012-2022'!R$2)/'2012-2022'!R$3</f>
        <v>2.4182580861148146</v>
      </c>
      <c r="F88" s="22">
        <f>('2012-2022'!F88-'2012-2022'!S$2)/'2012-2022'!S$3</f>
        <v>1.8849839222509417</v>
      </c>
      <c r="G88" s="22">
        <f>('2012-2022'!G88-'2012-2022'!T$2)/'2012-2022'!T$3</f>
        <v>0.7332458082120582</v>
      </c>
      <c r="H88" s="22">
        <f>('2012-2022'!H88-'2012-2022'!U$2)/'2012-2022'!U$3</f>
        <v>2.3663102210095004</v>
      </c>
      <c r="I88" s="22">
        <f>('2012-2022'!I88-'2012-2022'!V$2)/'2012-2022'!V$3</f>
        <v>2.361361004537144</v>
      </c>
      <c r="J88" s="22">
        <f>('2012-2022'!J88-'2012-2022'!W$2)/'2012-2022'!W$3</f>
        <v>2.1643903469000443</v>
      </c>
      <c r="K88" s="22">
        <f>('2012-2022'!K88-'2012-2022'!X$2)/'2012-2022'!X$3</f>
        <v>1.829890401415434</v>
      </c>
      <c r="L88" s="22">
        <f>('2012-2022'!L88-'2012-2022'!Y$2)/'2012-2022'!Y$3</f>
        <v>2.3426590713583315</v>
      </c>
      <c r="M88" s="22">
        <f>('2012-2022'!M88-'2012-2022'!Z$2)/'2012-2022'!Z$3</f>
        <v>-0.27894865243675715</v>
      </c>
      <c r="N88" s="22">
        <f>('2012-2022'!N88-'2012-2022'!AA$2)/'2012-2022'!AA$3</f>
        <v>1.5111770754336149</v>
      </c>
      <c r="O88" s="22">
        <f>('2012-2022'!P88-'2012-2022'!AC$2)/'2012-2022'!AC$3</f>
        <v>-1.5251907000066043</v>
      </c>
    </row>
    <row r="89" spans="1:15">
      <c r="A89" s="10" t="s">
        <v>9</v>
      </c>
      <c r="B89" s="11">
        <v>2022</v>
      </c>
      <c r="C89" s="14" t="s">
        <v>51</v>
      </c>
      <c r="D89" s="14" t="s">
        <v>52</v>
      </c>
      <c r="E89" s="22">
        <f>('2012-2022'!E89-'2012-2022'!R$2)/'2012-2022'!R$3</f>
        <v>2.9718736198345477</v>
      </c>
      <c r="F89" s="22">
        <f>('2012-2022'!F89-'2012-2022'!S$2)/'2012-2022'!S$3</f>
        <v>2.2780698518788389</v>
      </c>
      <c r="G89" s="22">
        <f>('2012-2022'!G89-'2012-2022'!T$2)/'2012-2022'!T$3</f>
        <v>1.08475458170212</v>
      </c>
      <c r="H89" s="22">
        <f>('2012-2022'!H89-'2012-2022'!U$2)/'2012-2022'!U$3</f>
        <v>3.0152463778379106</v>
      </c>
      <c r="I89" s="22">
        <f>('2012-2022'!I89-'2012-2022'!V$2)/'2012-2022'!V$3</f>
        <v>2.7936322537187079</v>
      </c>
      <c r="J89" s="22">
        <f>('2012-2022'!J89-'2012-2022'!W$2)/'2012-2022'!W$3</f>
        <v>2.2685874812037965</v>
      </c>
      <c r="K89" s="22">
        <f>('2012-2022'!K89-'2012-2022'!X$2)/'2012-2022'!X$3</f>
        <v>1.9028479381793844</v>
      </c>
      <c r="L89" s="22">
        <f>('2012-2022'!L89-'2012-2022'!Y$2)/'2012-2022'!Y$3</f>
        <v>2.373948212315836</v>
      </c>
      <c r="M89" s="22">
        <f>('2012-2022'!M89-'2012-2022'!Z$2)/'2012-2022'!Z$3</f>
        <v>-7.3715709583896727E-2</v>
      </c>
      <c r="N89" s="22">
        <f>('2012-2022'!N89-'2012-2022'!AA$2)/'2012-2022'!AA$3</f>
        <v>1.4586730461701094</v>
      </c>
      <c r="O89" s="22">
        <f>('2012-2022'!P89-'2012-2022'!AC$2)/'2012-2022'!AC$3</f>
        <v>-1.5197959984378102</v>
      </c>
    </row>
    <row r="90" spans="1:15">
      <c r="A90" s="10" t="s">
        <v>10</v>
      </c>
      <c r="B90" s="11">
        <v>2012</v>
      </c>
      <c r="C90" s="14" t="s">
        <v>58</v>
      </c>
      <c r="D90" s="14" t="s">
        <v>57</v>
      </c>
      <c r="E90" s="22">
        <f>('2012-2022'!E90-'2012-2022'!R$2)/'2012-2022'!R$3</f>
        <v>1.2955820440609753</v>
      </c>
      <c r="F90" s="22">
        <f>('2012-2022'!F90-'2012-2022'!S$2)/'2012-2022'!S$3</f>
        <v>1.3522658851123537</v>
      </c>
      <c r="G90" s="22">
        <f>('2012-2022'!G90-'2012-2022'!T$2)/'2012-2022'!T$3</f>
        <v>1.1518567492870115</v>
      </c>
      <c r="H90" s="22">
        <f>('2012-2022'!H90-'2012-2022'!U$2)/'2012-2022'!U$3</f>
        <v>1.2180335918619347</v>
      </c>
      <c r="I90" s="22">
        <f>('2012-2022'!I90-'2012-2022'!V$2)/'2012-2022'!V$3</f>
        <v>1.2885955555406632</v>
      </c>
      <c r="J90" s="22">
        <f>('2012-2022'!J90-'2012-2022'!W$2)/'2012-2022'!W$3</f>
        <v>1.3244692797988429</v>
      </c>
      <c r="K90" s="22">
        <f>('2012-2022'!K90-'2012-2022'!X$2)/'2012-2022'!X$3</f>
        <v>1.0728733104172772</v>
      </c>
      <c r="L90" s="22">
        <f>('2012-2022'!L90-'2012-2022'!Y$2)/'2012-2022'!Y$3</f>
        <v>1.0607607782335013</v>
      </c>
      <c r="M90" s="22">
        <f>('2012-2022'!M90-'2012-2022'!Z$2)/'2012-2022'!Z$3</f>
        <v>-0.4150588245271431</v>
      </c>
      <c r="N90" s="22">
        <f>('2012-2022'!N90-'2012-2022'!AA$2)/'2012-2022'!AA$3</f>
        <v>0.62472687931702764</v>
      </c>
      <c r="O90" s="22">
        <f>('2012-2022'!P90-'2012-2022'!AC$2)/'2012-2022'!AC$3</f>
        <v>-1.510234515370658</v>
      </c>
    </row>
    <row r="91" spans="1:15">
      <c r="A91" s="10" t="s">
        <v>10</v>
      </c>
      <c r="B91" s="11">
        <v>2013</v>
      </c>
      <c r="C91" s="14" t="s">
        <v>58</v>
      </c>
      <c r="D91" s="14" t="s">
        <v>57</v>
      </c>
      <c r="E91" s="22">
        <f>('2012-2022'!E91-'2012-2022'!R$2)/'2012-2022'!R$3</f>
        <v>-0.42217527390470289</v>
      </c>
      <c r="F91" s="22">
        <f>('2012-2022'!F91-'2012-2022'!S$2)/'2012-2022'!S$3</f>
        <v>0.42646191834586866</v>
      </c>
      <c r="G91" s="22">
        <f>('2012-2022'!G91-'2012-2022'!T$2)/'2012-2022'!T$3</f>
        <v>1.2189589168719017</v>
      </c>
      <c r="H91" s="22">
        <f>('2012-2022'!H91-'2012-2022'!U$2)/'2012-2022'!U$3</f>
        <v>-0.57917919411404106</v>
      </c>
      <c r="I91" s="22">
        <f>('2012-2022'!I91-'2012-2022'!V$2)/'2012-2022'!V$3</f>
        <v>-0.21644114263738096</v>
      </c>
      <c r="J91" s="22">
        <f>('2012-2022'!J91-'2012-2022'!W$2)/'2012-2022'!W$3</f>
        <v>0.38035107839388943</v>
      </c>
      <c r="K91" s="22">
        <f>('2012-2022'!K91-'2012-2022'!X$2)/'2012-2022'!X$3</f>
        <v>0.24289868265517039</v>
      </c>
      <c r="L91" s="22">
        <f>('2012-2022'!L91-'2012-2022'!Y$2)/'2012-2022'!Y$3</f>
        <v>-0.25242665584883267</v>
      </c>
      <c r="M91" s="22">
        <f>('2012-2022'!M91-'2012-2022'!Z$2)/'2012-2022'!Z$3</f>
        <v>-0.75640193947039025</v>
      </c>
      <c r="N91" s="22">
        <f>('2012-2022'!N91-'2012-2022'!AA$2)/'2012-2022'!AA$3</f>
        <v>-0.20921928753605373</v>
      </c>
      <c r="O91" s="22">
        <f>('2012-2022'!P91-'2012-2022'!AC$2)/'2012-2022'!AC$3</f>
        <v>-1.5079036422155558</v>
      </c>
    </row>
    <row r="92" spans="1:15">
      <c r="A92" s="10" t="s">
        <v>10</v>
      </c>
      <c r="B92" s="11">
        <v>2014</v>
      </c>
      <c r="C92" s="14" t="s">
        <v>58</v>
      </c>
      <c r="D92" s="14" t="s">
        <v>57</v>
      </c>
      <c r="E92" s="22">
        <f>('2012-2022'!E92-'2012-2022'!R$2)/'2012-2022'!R$3</f>
        <v>-0.90294781185803608</v>
      </c>
      <c r="F92" s="22">
        <f>('2012-2022'!F92-'2012-2022'!S$2)/'2012-2022'!S$3</f>
        <v>0.88919965081270791</v>
      </c>
      <c r="G92" s="22">
        <f>('2012-2022'!G92-'2012-2022'!T$2)/'2012-2022'!T$3</f>
        <v>0.90031458243253937</v>
      </c>
      <c r="H92" s="22">
        <f>('2012-2022'!H92-'2012-2022'!U$2)/'2012-2022'!U$3</f>
        <v>-0.79814490442426422</v>
      </c>
      <c r="I92" s="22">
        <f>('2012-2022'!I92-'2012-2022'!V$2)/'2012-2022'!V$3</f>
        <v>-0.87354448498887627</v>
      </c>
      <c r="J92" s="22">
        <f>('2012-2022'!J92-'2012-2022'!W$2)/'2012-2022'!W$3</f>
        <v>-1.2763849939456178</v>
      </c>
      <c r="K92" s="22">
        <f>('2012-2022'!K92-'2012-2022'!X$2)/'2012-2022'!X$3</f>
        <v>-0.96538891620251632</v>
      </c>
      <c r="L92" s="22">
        <f>('2012-2022'!L92-'2012-2022'!Y$2)/'2012-2022'!Y$3</f>
        <v>-1.4885146041532833</v>
      </c>
      <c r="M92" s="22">
        <f>('2012-2022'!M92-'2012-2022'!Z$2)/'2012-2022'!Z$3</f>
        <v>-0.74998351640841365</v>
      </c>
      <c r="N92" s="22">
        <f>('2012-2022'!N92-'2012-2022'!AA$2)/'2012-2022'!AA$3</f>
        <v>-0.36632698279396708</v>
      </c>
      <c r="O92" s="22">
        <f>('2012-2022'!P92-'2012-2022'!AC$2)/'2012-2022'!AC$3</f>
        <v>-1.5187903536499101</v>
      </c>
    </row>
    <row r="93" spans="1:15">
      <c r="A93" s="10" t="s">
        <v>10</v>
      </c>
      <c r="B93" s="11">
        <v>2015</v>
      </c>
      <c r="C93" s="14" t="s">
        <v>58</v>
      </c>
      <c r="D93" s="14" t="s">
        <v>57</v>
      </c>
      <c r="E93" s="22">
        <f>('2012-2022'!E93-'2012-2022'!R$2)/'2012-2022'!R$3</f>
        <v>-0.49125889483977747</v>
      </c>
      <c r="F93" s="22">
        <f>('2012-2022'!F93-'2012-2022'!S$2)/'2012-2022'!S$3</f>
        <v>0.72396312112992389</v>
      </c>
      <c r="G93" s="22">
        <f>('2012-2022'!G93-'2012-2022'!T$2)/'2012-2022'!T$3</f>
        <v>-0.12982531400576047</v>
      </c>
      <c r="H93" s="22">
        <f>('2012-2022'!H93-'2012-2022'!U$2)/'2012-2022'!U$3</f>
        <v>-0.36776838743436979</v>
      </c>
      <c r="I93" s="22">
        <f>('2012-2022'!I93-'2012-2022'!V$2)/'2012-2022'!V$3</f>
        <v>-0.50371389834245106</v>
      </c>
      <c r="J93" s="22">
        <f>('2012-2022'!J93-'2012-2022'!W$2)/'2012-2022'!W$3</f>
        <v>-1.1771021263581676</v>
      </c>
      <c r="K93" s="22">
        <f>('2012-2022'!K93-'2012-2022'!X$2)/'2012-2022'!X$3</f>
        <v>-0.67687865207436138</v>
      </c>
      <c r="L93" s="22">
        <f>('2012-2022'!L93-'2012-2022'!Y$2)/'2012-2022'!Y$3</f>
        <v>-0.32926519145137423</v>
      </c>
      <c r="M93" s="22">
        <f>('2012-2022'!M93-'2012-2022'!Z$2)/'2012-2022'!Z$3</f>
        <v>-1.2500079425108568</v>
      </c>
      <c r="N93" s="22">
        <f>('2012-2022'!N93-'2012-2022'!AA$2)/'2012-2022'!AA$3</f>
        <v>-0.43572433170965869</v>
      </c>
      <c r="O93" s="22">
        <f>('2012-2022'!P93-'2012-2022'!AC$2)/'2012-2022'!AC$3</f>
        <v>-1.4551974958933576</v>
      </c>
    </row>
    <row r="94" spans="1:15">
      <c r="A94" s="10" t="s">
        <v>10</v>
      </c>
      <c r="B94" s="11">
        <v>2016</v>
      </c>
      <c r="C94" s="14" t="s">
        <v>58</v>
      </c>
      <c r="D94" s="14" t="s">
        <v>57</v>
      </c>
      <c r="E94" s="22">
        <f>('2012-2022'!E94-'2012-2022'!R$2)/'2012-2022'!R$3</f>
        <v>-0.44566983675063748</v>
      </c>
      <c r="F94" s="22">
        <f>('2012-2022'!F94-'2012-2022'!S$2)/'2012-2022'!S$3</f>
        <v>1.2219631525185894</v>
      </c>
      <c r="G94" s="22">
        <f>('2012-2022'!G94-'2012-2022'!T$2)/'2012-2022'!T$3</f>
        <v>-0.18881362157578452</v>
      </c>
      <c r="H94" s="22">
        <f>('2012-2022'!H94-'2012-2022'!U$2)/'2012-2022'!U$3</f>
        <v>-0.20234646809306889</v>
      </c>
      <c r="I94" s="22">
        <f>('2012-2022'!I94-'2012-2022'!V$2)/'2012-2022'!V$3</f>
        <v>-0.55639159499360347</v>
      </c>
      <c r="J94" s="22">
        <f>('2012-2022'!J94-'2012-2022'!W$2)/'2012-2022'!W$3</f>
        <v>-0.64320140755822575</v>
      </c>
      <c r="K94" s="22">
        <f>('2012-2022'!K94-'2012-2022'!X$2)/'2012-2022'!X$3</f>
        <v>-0.19617981882810107</v>
      </c>
      <c r="L94" s="22">
        <f>('2012-2022'!L94-'2012-2022'!Y$2)/'2012-2022'!Y$3</f>
        <v>-0.66928243884553196</v>
      </c>
      <c r="M94" s="22">
        <f>('2012-2022'!M94-'2012-2022'!Z$2)/'2012-2022'!Z$3</f>
        <v>-0.84959794405186062</v>
      </c>
      <c r="N94" s="22">
        <f>('2012-2022'!N94-'2012-2022'!AA$2)/'2012-2022'!AA$3</f>
        <v>-2.8513638593260556E-2</v>
      </c>
      <c r="O94" s="22">
        <f>('2012-2022'!P94-'2012-2022'!AC$2)/'2012-2022'!AC$3</f>
        <v>-1.3587127994526813</v>
      </c>
    </row>
    <row r="95" spans="1:15">
      <c r="A95" s="10" t="s">
        <v>10</v>
      </c>
      <c r="B95" s="11">
        <v>2017</v>
      </c>
      <c r="C95" s="14" t="s">
        <v>58</v>
      </c>
      <c r="D95" s="14" t="s">
        <v>57</v>
      </c>
      <c r="E95" s="22">
        <f>('2012-2022'!E95-'2012-2022'!R$2)/'2012-2022'!R$3</f>
        <v>-0.6855151241232097</v>
      </c>
      <c r="F95" s="22">
        <f>('2012-2022'!F95-'2012-2022'!S$2)/'2012-2022'!S$3</f>
        <v>1.4360395050667507</v>
      </c>
      <c r="G95" s="22">
        <f>('2012-2022'!G95-'2012-2022'!T$2)/'2012-2022'!T$3</f>
        <v>-0.7272116230340494</v>
      </c>
      <c r="H95" s="22">
        <f>('2012-2022'!H95-'2012-2022'!U$2)/'2012-2022'!U$3</f>
        <v>-0.30213691443047441</v>
      </c>
      <c r="I95" s="22">
        <f>('2012-2022'!I95-'2012-2022'!V$2)/'2012-2022'!V$3</f>
        <v>-0.89158113446943066</v>
      </c>
      <c r="J95" s="22">
        <f>('2012-2022'!J95-'2012-2022'!W$2)/'2012-2022'!W$3</f>
        <v>-0.81143844851770841</v>
      </c>
      <c r="K95" s="22">
        <f>('2012-2022'!K95-'2012-2022'!X$2)/'2012-2022'!X$3</f>
        <v>-0.62637410643610136</v>
      </c>
      <c r="L95" s="22">
        <f>('2012-2022'!L95-'2012-2022'!Y$2)/'2012-2022'!Y$3</f>
        <v>-0.86997064388473888</v>
      </c>
      <c r="M95" s="22">
        <f>('2012-2022'!M95-'2012-2022'!Z$2)/'2012-2022'!Z$3</f>
        <v>-0.86907430252553353</v>
      </c>
      <c r="N95" s="22">
        <f>('2012-2022'!N95-'2012-2022'!AA$2)/'2012-2022'!AA$3</f>
        <v>7.4879494235566531E-3</v>
      </c>
      <c r="O95" s="22">
        <f>('2012-2022'!P95-'2012-2022'!AC$2)/'2012-2022'!AC$3</f>
        <v>-1.3112556436967548</v>
      </c>
    </row>
    <row r="96" spans="1:15">
      <c r="A96" s="10" t="s">
        <v>10</v>
      </c>
      <c r="B96" s="11">
        <v>2018</v>
      </c>
      <c r="C96" s="14" t="s">
        <v>58</v>
      </c>
      <c r="D96" s="14" t="s">
        <v>57</v>
      </c>
      <c r="E96" s="22">
        <f>('2012-2022'!E96-'2012-2022'!R$2)/'2012-2022'!R$3</f>
        <v>-0.12970618926726518</v>
      </c>
      <c r="F96" s="22">
        <f>('2012-2022'!F96-'2012-2022'!S$2)/'2012-2022'!S$3</f>
        <v>1.7600485242595687</v>
      </c>
      <c r="G96" s="22">
        <f>('2012-2022'!G96-'2012-2022'!T$2)/'2012-2022'!T$3</f>
        <v>0.29927498671894698</v>
      </c>
      <c r="H96" s="22">
        <f>('2012-2022'!H96-'2012-2022'!U$2)/'2012-2022'!U$3</f>
        <v>0.12288099431012724</v>
      </c>
      <c r="I96" s="22">
        <f>('2012-2022'!I96-'2012-2022'!V$2)/'2012-2022'!V$3</f>
        <v>-0.26839558213527387</v>
      </c>
      <c r="J96" s="22">
        <f>('2012-2022'!J96-'2012-2022'!W$2)/'2012-2022'!W$3</f>
        <v>7.0989794901109918E-2</v>
      </c>
      <c r="K96" s="22">
        <f>('2012-2022'!K96-'2012-2022'!X$2)/'2012-2022'!X$3</f>
        <v>0.19342589988622477</v>
      </c>
      <c r="L96" s="22">
        <f>('2012-2022'!L96-'2012-2022'!Y$2)/'2012-2022'!Y$3</f>
        <v>-0.81575938257024305</v>
      </c>
      <c r="M96" s="22">
        <f>('2012-2022'!M96-'2012-2022'!Z$2)/'2012-2022'!Z$3</f>
        <v>-0.29479037769432925</v>
      </c>
      <c r="N96" s="22">
        <f>('2012-2022'!N96-'2012-2022'!AA$2)/'2012-2022'!AA$3</f>
        <v>0.31253707436986811</v>
      </c>
      <c r="O96" s="22">
        <f>('2012-2022'!P96-'2012-2022'!AC$2)/'2012-2022'!AC$3</f>
        <v>-1.2354906997950728</v>
      </c>
    </row>
    <row r="97" spans="1:15">
      <c r="A97" s="10" t="s">
        <v>10</v>
      </c>
      <c r="B97" s="11">
        <v>2019</v>
      </c>
      <c r="C97" s="14" t="s">
        <v>58</v>
      </c>
      <c r="D97" s="14" t="s">
        <v>57</v>
      </c>
      <c r="E97" s="22">
        <f>('2012-2022'!E97-'2012-2022'!R$2)/'2012-2022'!R$3</f>
        <v>0.291235495783084</v>
      </c>
      <c r="F97" s="22">
        <f>('2012-2022'!F97-'2012-2022'!S$2)/'2012-2022'!S$3</f>
        <v>1.3769370172921032</v>
      </c>
      <c r="G97" s="22">
        <f>('2012-2022'!G97-'2012-2022'!T$2)/'2012-2022'!T$3</f>
        <v>0.16145471836460404</v>
      </c>
      <c r="H97" s="22">
        <f>('2012-2022'!H97-'2012-2022'!U$2)/'2012-2022'!U$3</f>
        <v>0.44340870809487798</v>
      </c>
      <c r="I97" s="22">
        <f>('2012-2022'!I97-'2012-2022'!V$2)/'2012-2022'!V$3</f>
        <v>0.20465025662356962</v>
      </c>
      <c r="J97" s="22">
        <f>('2012-2022'!J97-'2012-2022'!W$2)/'2012-2022'!W$3</f>
        <v>2.9301328127964932</v>
      </c>
      <c r="K97" s="22">
        <f>('2012-2022'!K97-'2012-2022'!X$2)/'2012-2022'!X$3</f>
        <v>0.96084692846251907</v>
      </c>
      <c r="L97" s="22">
        <f>('2012-2022'!L97-'2012-2022'!Y$2)/'2012-2022'!Y$3</f>
        <v>1.8094630097712279</v>
      </c>
      <c r="M97" s="22">
        <f>('2012-2022'!M97-'2012-2022'!Z$2)/'2012-2022'!Z$3</f>
        <v>1.3363238076078034</v>
      </c>
      <c r="N97" s="22">
        <f>('2012-2022'!N97-'2012-2022'!AA$2)/'2012-2022'!AA$3</f>
        <v>2.3835335054010351</v>
      </c>
      <c r="O97" s="22">
        <f>('2012-2022'!P97-'2012-2022'!AC$2)/'2012-2022'!AC$3</f>
        <v>-1.1632738628072687</v>
      </c>
    </row>
    <row r="98" spans="1:15">
      <c r="A98" s="10" t="s">
        <v>10</v>
      </c>
      <c r="B98" s="11">
        <v>2020</v>
      </c>
      <c r="C98" s="14" t="s">
        <v>58</v>
      </c>
      <c r="D98" s="14" t="s">
        <v>57</v>
      </c>
      <c r="E98" s="22">
        <f>('2012-2022'!E98-'2012-2022'!R$2)/'2012-2022'!R$3</f>
        <v>-1.1414839091409057</v>
      </c>
      <c r="F98" s="22">
        <f>('2012-2022'!F98-'2012-2022'!S$2)/'2012-2022'!S$3</f>
        <v>0.67957468618940742</v>
      </c>
      <c r="G98" s="22">
        <f>('2012-2022'!G98-'2012-2022'!T$2)/'2012-2022'!T$3</f>
        <v>0.61265023098417315</v>
      </c>
      <c r="H98" s="22">
        <f>('2012-2022'!H98-'2012-2022'!U$2)/'2012-2022'!U$3</f>
        <v>-0.98610018309280145</v>
      </c>
      <c r="I98" s="22">
        <f>('2012-2022'!I98-'2012-2022'!V$2)/'2012-2022'!V$3</f>
        <v>-1.136507913430707</v>
      </c>
      <c r="J98" s="22">
        <f>('2012-2022'!J98-'2012-2022'!W$2)/'2012-2022'!W$3</f>
        <v>2.6266072640688836</v>
      </c>
      <c r="K98" s="22">
        <f>('2012-2022'!K98-'2012-2022'!X$2)/'2012-2022'!X$3</f>
        <v>1.0166744018469568E-2</v>
      </c>
      <c r="L98" s="22">
        <f>('2012-2022'!L98-'2012-2022'!Y$2)/'2012-2022'!Y$3</f>
        <v>1.6063566326522676</v>
      </c>
      <c r="M98" s="22">
        <f>('2012-2022'!M98-'2012-2022'!Z$2)/'2012-2022'!Z$3</f>
        <v>0.60350202339920089</v>
      </c>
      <c r="N98" s="22">
        <f>('2012-2022'!N98-'2012-2022'!AA$2)/'2012-2022'!AA$3</f>
        <v>2.3403879189952614</v>
      </c>
      <c r="O98" s="22">
        <f>('2012-2022'!P98-'2012-2022'!AC$2)/'2012-2022'!AC$3</f>
        <v>-1.2268044885135638</v>
      </c>
    </row>
    <row r="99" spans="1:15">
      <c r="A99" s="10" t="s">
        <v>10</v>
      </c>
      <c r="B99" s="11">
        <v>2021</v>
      </c>
      <c r="C99" s="14" t="s">
        <v>58</v>
      </c>
      <c r="D99" s="14" t="s">
        <v>57</v>
      </c>
      <c r="E99" s="22">
        <f>('2012-2022'!E99-'2012-2022'!R$2)/'2012-2022'!R$3</f>
        <v>6.5735711820726295E-2</v>
      </c>
      <c r="F99" s="22">
        <f>('2012-2022'!F99-'2012-2022'!S$2)/'2012-2022'!S$3</f>
        <v>1.0460047617467991</v>
      </c>
      <c r="G99" s="22">
        <f>('2012-2022'!G99-'2012-2022'!T$2)/'2012-2022'!T$3</f>
        <v>-6.306098926984581E-2</v>
      </c>
      <c r="H99" s="22">
        <f>('2012-2022'!H99-'2012-2022'!U$2)/'2012-2022'!U$3</f>
        <v>0.19290822403307678</v>
      </c>
      <c r="I99" s="22">
        <f>('2012-2022'!I99-'2012-2022'!V$2)/'2012-2022'!V$3</f>
        <v>1.3588452991634206E-2</v>
      </c>
      <c r="J99" s="22">
        <f>('2012-2022'!J99-'2012-2022'!W$2)/'2012-2022'!W$3</f>
        <v>3.0030532131391494</v>
      </c>
      <c r="K99" s="22">
        <f>('2012-2022'!K99-'2012-2022'!X$2)/'2012-2022'!X$3</f>
        <v>0.37471409961012236</v>
      </c>
      <c r="L99" s="22">
        <f>('2012-2022'!L99-'2012-2022'!Y$2)/'2012-2022'!Y$3</f>
        <v>1.7055486519643519</v>
      </c>
      <c r="M99" s="22">
        <f>('2012-2022'!M99-'2012-2022'!Z$2)/'2012-2022'!Z$3</f>
        <v>0.54177675250459623</v>
      </c>
      <c r="N99" s="22">
        <f>('2012-2022'!N99-'2012-2022'!AA$2)/'2012-2022'!AA$3</f>
        <v>2.4003240650029039</v>
      </c>
      <c r="O99" s="22">
        <f>('2012-2022'!P99-'2012-2022'!AC$2)/'2012-2022'!AC$3</f>
        <v>-1.253534725615618</v>
      </c>
    </row>
    <row r="100" spans="1:15">
      <c r="A100" s="10" t="s">
        <v>10</v>
      </c>
      <c r="B100" s="11">
        <v>2022</v>
      </c>
      <c r="C100" s="14" t="s">
        <v>58</v>
      </c>
      <c r="D100" s="14" t="s">
        <v>57</v>
      </c>
      <c r="E100" s="22">
        <f>('2012-2022'!E100-'2012-2022'!R$2)/'2012-2022'!R$3</f>
        <v>-0.54375042843916388</v>
      </c>
      <c r="F100" s="22">
        <f>('2012-2022'!F100-'2012-2022'!S$2)/'2012-2022'!S$3</f>
        <v>1.029086814015044</v>
      </c>
      <c r="G100" s="22">
        <f>('2012-2022'!G100-'2012-2022'!T$2)/'2012-2022'!T$3</f>
        <v>-1.1085007998116785</v>
      </c>
      <c r="H100" s="22">
        <f>('2012-2022'!H100-'2012-2022'!U$2)/'2012-2022'!U$3</f>
        <v>-0.15382240976793615</v>
      </c>
      <c r="I100" s="22">
        <f>('2012-2022'!I100-'2012-2022'!V$2)/'2012-2022'!V$3</f>
        <v>-0.76391843355186118</v>
      </c>
      <c r="J100" s="22">
        <f>('2012-2022'!J100-'2012-2022'!W$2)/'2012-2022'!W$3</f>
        <v>2.3161834342629444</v>
      </c>
      <c r="K100" s="22">
        <f>('2012-2022'!K100-'2012-2022'!X$2)/'2012-2022'!X$3</f>
        <v>-4.0408833059966945E-3</v>
      </c>
      <c r="L100" s="22">
        <f>('2012-2022'!L100-'2012-2022'!Y$2)/'2012-2022'!Y$3</f>
        <v>0.4528722022964784</v>
      </c>
      <c r="M100" s="22">
        <f>('2012-2022'!M100-'2012-2022'!Z$2)/'2012-2022'!Z$3</f>
        <v>0.84477883298073209</v>
      </c>
      <c r="N100" s="22">
        <f>('2012-2022'!N100-'2012-2022'!AA$2)/'2012-2022'!AA$3</f>
        <v>1.9053607821145531</v>
      </c>
      <c r="O100" s="22">
        <f>('2012-2022'!P100-'2012-2022'!AC$2)/'2012-2022'!AC$3</f>
        <v>-1.1501202703664606</v>
      </c>
    </row>
    <row r="101" spans="1:15">
      <c r="A101" s="10" t="s">
        <v>11</v>
      </c>
      <c r="B101" s="11">
        <v>2012</v>
      </c>
      <c r="C101" s="14" t="s">
        <v>56</v>
      </c>
      <c r="D101" s="14" t="s">
        <v>52</v>
      </c>
      <c r="E101" s="22">
        <f>('2012-2022'!E101-'2012-2022'!R$2)/'2012-2022'!R$3</f>
        <v>-0.14367878053359318</v>
      </c>
      <c r="F101" s="22">
        <f>('2012-2022'!F101-'2012-2022'!S$2)/'2012-2022'!S$3</f>
        <v>2.2199470676446262</v>
      </c>
      <c r="G101" s="22">
        <f>('2012-2022'!G101-'2012-2022'!T$2)/'2012-2022'!T$3</f>
        <v>1.3930726665303435</v>
      </c>
      <c r="H101" s="22">
        <f>('2012-2022'!H101-'2012-2022'!U$2)/'2012-2022'!U$3</f>
        <v>-0.10722921243979398</v>
      </c>
      <c r="I101" s="22">
        <f>('2012-2022'!I101-'2012-2022'!V$2)/'2012-2022'!V$3</f>
        <v>-7.0810015542049853E-2</v>
      </c>
      <c r="J101" s="22">
        <f>('2012-2022'!J101-'2012-2022'!W$2)/'2012-2022'!W$3</f>
        <v>0.23918239684817047</v>
      </c>
      <c r="K101" s="22">
        <f>('2012-2022'!K101-'2012-2022'!X$2)/'2012-2022'!X$3</f>
        <v>-7.3146654553389449E-4</v>
      </c>
      <c r="L101" s="22">
        <f>('2012-2022'!L101-'2012-2022'!Y$2)/'2012-2022'!Y$3</f>
        <v>-0.1419432552897783</v>
      </c>
      <c r="M101" s="22">
        <f>('2012-2022'!M101-'2012-2022'!Z$2)/'2012-2022'!Z$3</f>
        <v>-0.31945503350849941</v>
      </c>
      <c r="N101" s="22">
        <f>('2012-2022'!N101-'2012-2022'!AA$2)/'2012-2022'!AA$3</f>
        <v>-0.35008716727316197</v>
      </c>
      <c r="O101" s="22">
        <f>('2012-2022'!P101-'2012-2022'!AC$2)/'2012-2022'!AC$3</f>
        <v>-2.6098466818479591</v>
      </c>
    </row>
    <row r="102" spans="1:15">
      <c r="A102" s="10" t="s">
        <v>11</v>
      </c>
      <c r="B102" s="11">
        <v>2013</v>
      </c>
      <c r="C102" s="14" t="s">
        <v>56</v>
      </c>
      <c r="D102" s="14" t="s">
        <v>52</v>
      </c>
      <c r="E102" s="22">
        <f>('2012-2022'!E102-'2012-2022'!R$2)/'2012-2022'!R$3</f>
        <v>-3.2103791652230776E-2</v>
      </c>
      <c r="F102" s="22">
        <f>('2012-2022'!F102-'2012-2022'!S$2)/'2012-2022'!S$3</f>
        <v>0.18461750626984197</v>
      </c>
      <c r="G102" s="22">
        <f>('2012-2022'!G102-'2012-2022'!T$2)/'2012-2022'!T$3</f>
        <v>1.9604938844239836</v>
      </c>
      <c r="H102" s="22">
        <f>('2012-2022'!H102-'2012-2022'!U$2)/'2012-2022'!U$3</f>
        <v>-0.35638624824973347</v>
      </c>
      <c r="I102" s="22">
        <f>('2012-2022'!I102-'2012-2022'!V$2)/'2012-2022'!V$3</f>
        <v>0.18121404965358096</v>
      </c>
      <c r="J102" s="22">
        <f>('2012-2022'!J102-'2012-2022'!W$2)/'2012-2022'!W$3</f>
        <v>0.44425334821844648</v>
      </c>
      <c r="K102" s="22">
        <f>('2012-2022'!K102-'2012-2022'!X$2)/'2012-2022'!X$3</f>
        <v>0.82600774431393731</v>
      </c>
      <c r="L102" s="22">
        <f>('2012-2022'!L102-'2012-2022'!Y$2)/'2012-2022'!Y$3</f>
        <v>7.9790192236911237E-2</v>
      </c>
      <c r="M102" s="22">
        <f>('2012-2022'!M102-'2012-2022'!Z$2)/'2012-2022'!Z$3</f>
        <v>-0.70795043225911214</v>
      </c>
      <c r="N102" s="22">
        <f>('2012-2022'!N102-'2012-2022'!AA$2)/'2012-2022'!AA$3</f>
        <v>-0.48553132756667539</v>
      </c>
      <c r="O102" s="22">
        <f>('2012-2022'!P102-'2012-2022'!AC$2)/'2012-2022'!AC$3</f>
        <v>-2.7680762584558218</v>
      </c>
    </row>
    <row r="103" spans="1:15">
      <c r="A103" s="10" t="s">
        <v>11</v>
      </c>
      <c r="B103" s="11">
        <v>2014</v>
      </c>
      <c r="C103" s="14" t="s">
        <v>56</v>
      </c>
      <c r="D103" s="14" t="s">
        <v>52</v>
      </c>
      <c r="E103" s="22">
        <f>('2012-2022'!E103-'2012-2022'!R$2)/'2012-2022'!R$3</f>
        <v>0.67346318103564506</v>
      </c>
      <c r="F103" s="22">
        <f>('2012-2022'!F103-'2012-2022'!S$2)/'2012-2022'!S$3</f>
        <v>2.1974594661150912</v>
      </c>
      <c r="G103" s="22">
        <f>('2012-2022'!G103-'2012-2022'!T$2)/'2012-2022'!T$3</f>
        <v>1.2733112966629241</v>
      </c>
      <c r="H103" s="22">
        <f>('2012-2022'!H103-'2012-2022'!U$2)/'2012-2022'!U$3</f>
        <v>0.58984880527431982</v>
      </c>
      <c r="I103" s="22">
        <f>('2012-2022'!I103-'2012-2022'!V$2)/'2012-2022'!V$3</f>
        <v>0.8035076442283432</v>
      </c>
      <c r="J103" s="22">
        <f>('2012-2022'!J103-'2012-2022'!W$2)/'2012-2022'!W$3</f>
        <v>0.69913967724325088</v>
      </c>
      <c r="K103" s="22">
        <f>('2012-2022'!K103-'2012-2022'!X$2)/'2012-2022'!X$3</f>
        <v>0.3967430858601344</v>
      </c>
      <c r="L103" s="22">
        <f>('2012-2022'!L103-'2012-2022'!Y$2)/'2012-2022'!Y$3</f>
        <v>-0.52369840639118925</v>
      </c>
      <c r="M103" s="22">
        <f>('2012-2022'!M103-'2012-2022'!Z$2)/'2012-2022'!Z$3</f>
        <v>-0.80510484226020573</v>
      </c>
      <c r="N103" s="22">
        <f>('2012-2022'!N103-'2012-2022'!AA$2)/'2012-2022'!AA$3</f>
        <v>-1.0640253134189266</v>
      </c>
      <c r="O103" s="22">
        <f>('2012-2022'!P103-'2012-2022'!AC$2)/'2012-2022'!AC$3</f>
        <v>-2.6767242603662895</v>
      </c>
    </row>
    <row r="104" spans="1:15">
      <c r="A104" s="10" t="s">
        <v>11</v>
      </c>
      <c r="B104" s="11">
        <v>2015</v>
      </c>
      <c r="C104" s="14" t="s">
        <v>56</v>
      </c>
      <c r="D104" s="14" t="s">
        <v>52</v>
      </c>
      <c r="E104" s="22">
        <f>('2012-2022'!E104-'2012-2022'!R$2)/'2012-2022'!R$3</f>
        <v>6.2522791836035874E-2</v>
      </c>
      <c r="F104" s="22">
        <f>('2012-2022'!F104-'2012-2022'!S$2)/'2012-2022'!S$3</f>
        <v>2.0789270072928829</v>
      </c>
      <c r="G104" s="22">
        <f>('2012-2022'!G104-'2012-2022'!T$2)/'2012-2022'!T$3</f>
        <v>0.88341690612388157</v>
      </c>
      <c r="H104" s="22">
        <f>('2012-2022'!H104-'2012-2022'!U$2)/'2012-2022'!U$3</f>
        <v>0.10540756995945245</v>
      </c>
      <c r="I104" s="22">
        <f>('2012-2022'!I104-'2012-2022'!V$2)/'2012-2022'!V$3</f>
        <v>0.12050754088525828</v>
      </c>
      <c r="J104" s="22">
        <f>('2012-2022'!J104-'2012-2022'!W$2)/'2012-2022'!W$3</f>
        <v>0.91969339523413562</v>
      </c>
      <c r="K104" s="22">
        <f>('2012-2022'!K104-'2012-2022'!X$2)/'2012-2022'!X$3</f>
        <v>1.1803023387897214</v>
      </c>
      <c r="L104" s="22">
        <f>('2012-2022'!L104-'2012-2022'!Y$2)/'2012-2022'!Y$3</f>
        <v>0.33518041627394513</v>
      </c>
      <c r="M104" s="22">
        <f>('2012-2022'!M104-'2012-2022'!Z$2)/'2012-2022'!Z$3</f>
        <v>-0.26456722185038251</v>
      </c>
      <c r="N104" s="22">
        <f>('2012-2022'!N104-'2012-2022'!AA$2)/'2012-2022'!AA$3</f>
        <v>-0.27911641164074991</v>
      </c>
      <c r="O104" s="22">
        <f>('2012-2022'!P104-'2012-2022'!AC$2)/'2012-2022'!AC$3</f>
        <v>-2.4112520145085754</v>
      </c>
    </row>
    <row r="105" spans="1:15">
      <c r="A105" s="10" t="s">
        <v>11</v>
      </c>
      <c r="B105" s="11">
        <v>2016</v>
      </c>
      <c r="C105" s="14" t="s">
        <v>56</v>
      </c>
      <c r="D105" s="14" t="s">
        <v>52</v>
      </c>
      <c r="E105" s="22">
        <f>('2012-2022'!E105-'2012-2022'!R$2)/'2012-2022'!R$3</f>
        <v>0.14631122208232605</v>
      </c>
      <c r="F105" s="22">
        <f>('2012-2022'!F105-'2012-2022'!S$2)/'2012-2022'!S$3</f>
        <v>1.8223794280102608</v>
      </c>
      <c r="G105" s="22">
        <f>('2012-2022'!G105-'2012-2022'!T$2)/'2012-2022'!T$3</f>
        <v>1.6258424462748722</v>
      </c>
      <c r="H105" s="22">
        <f>('2012-2022'!H105-'2012-2022'!U$2)/'2012-2022'!U$3</f>
        <v>-9.8476326973733156E-3</v>
      </c>
      <c r="I105" s="22">
        <f>('2012-2022'!I105-'2012-2022'!V$2)/'2012-2022'!V$3</f>
        <v>0.38748121430353544</v>
      </c>
      <c r="J105" s="22">
        <f>('2012-2022'!J105-'2012-2022'!W$2)/'2012-2022'!W$3</f>
        <v>0.68515260560189262</v>
      </c>
      <c r="K105" s="22">
        <f>('2012-2022'!K105-'2012-2022'!X$2)/'2012-2022'!X$3</f>
        <v>1.8680094646939518</v>
      </c>
      <c r="L105" s="22">
        <f>('2012-2022'!L105-'2012-2022'!Y$2)/'2012-2022'!Y$3</f>
        <v>0.70715448823742411</v>
      </c>
      <c r="M105" s="22">
        <f>('2012-2022'!M105-'2012-2022'!Z$2)/'2012-2022'!Z$3</f>
        <v>0.33447128792528991</v>
      </c>
      <c r="N105" s="22">
        <f>('2012-2022'!N105-'2012-2022'!AA$2)/'2012-2022'!AA$3</f>
        <v>-0.64429096562691712</v>
      </c>
      <c r="O105" s="22">
        <f>('2012-2022'!P105-'2012-2022'!AC$2)/'2012-2022'!AC$3</f>
        <v>-2.3673720072899807</v>
      </c>
    </row>
    <row r="106" spans="1:15">
      <c r="A106" s="10" t="s">
        <v>11</v>
      </c>
      <c r="B106" s="11">
        <v>2017</v>
      </c>
      <c r="C106" s="14" t="s">
        <v>56</v>
      </c>
      <c r="D106" s="14" t="s">
        <v>52</v>
      </c>
      <c r="E106" s="22">
        <f>('2012-2022'!E106-'2012-2022'!R$2)/'2012-2022'!R$3</f>
        <v>0.16907855907494934</v>
      </c>
      <c r="F106" s="22">
        <f>('2012-2022'!F106-'2012-2022'!S$2)/'2012-2022'!S$3</f>
        <v>2.326296750743122</v>
      </c>
      <c r="G106" s="22">
        <f>('2012-2022'!G106-'2012-2022'!T$2)/'2012-2022'!T$3</f>
        <v>0.83408368955061607</v>
      </c>
      <c r="H106" s="22">
        <f>('2012-2022'!H106-'2012-2022'!U$2)/'2012-2022'!U$3</f>
        <v>0.27681855029006719</v>
      </c>
      <c r="I106" s="22">
        <f>('2012-2022'!I106-'2012-2022'!V$2)/'2012-2022'!V$3</f>
        <v>0.15507409502104844</v>
      </c>
      <c r="J106" s="22">
        <f>('2012-2022'!J106-'2012-2022'!W$2)/'2012-2022'!W$3</f>
        <v>0.16918822625745722</v>
      </c>
      <c r="K106" s="22">
        <f>('2012-2022'!K106-'2012-2022'!X$2)/'2012-2022'!X$3</f>
        <v>1.525757897180408</v>
      </c>
      <c r="L106" s="22">
        <f>('2012-2022'!L106-'2012-2022'!Y$2)/'2012-2022'!Y$3</f>
        <v>0.5907171113216072</v>
      </c>
      <c r="M106" s="22">
        <f>('2012-2022'!M106-'2012-2022'!Z$2)/'2012-2022'!Z$3</f>
        <v>9.8022638158603834E-2</v>
      </c>
      <c r="N106" s="22">
        <f>('2012-2022'!N106-'2012-2022'!AA$2)/'2012-2022'!AA$3</f>
        <v>-0.69518199722376572</v>
      </c>
      <c r="O106" s="22">
        <f>('2012-2022'!P106-'2012-2022'!AC$2)/'2012-2022'!AC$3</f>
        <v>-2.4013097215823724</v>
      </c>
    </row>
    <row r="107" spans="1:15">
      <c r="A107" s="10" t="s">
        <v>11</v>
      </c>
      <c r="B107" s="11">
        <v>2018</v>
      </c>
      <c r="C107" s="14" t="s">
        <v>56</v>
      </c>
      <c r="D107" s="14" t="s">
        <v>52</v>
      </c>
      <c r="E107" s="22">
        <f>('2012-2022'!E107-'2012-2022'!R$2)/'2012-2022'!R$3</f>
        <v>-0.16177708459324885</v>
      </c>
      <c r="F107" s="22">
        <f>('2012-2022'!F107-'2012-2022'!S$2)/'2012-2022'!S$3</f>
        <v>-0.46396817567621584</v>
      </c>
      <c r="G107" s="22">
        <f>('2012-2022'!G107-'2012-2022'!T$2)/'2012-2022'!T$3</f>
        <v>2.93660688213108</v>
      </c>
      <c r="H107" s="22">
        <f>('2012-2022'!H107-'2012-2022'!U$2)/'2012-2022'!U$3</f>
        <v>-0.57289544992867225</v>
      </c>
      <c r="I107" s="22">
        <f>('2012-2022'!I107-'2012-2022'!V$2)/'2012-2022'!V$3</f>
        <v>-1.911819388094857E-2</v>
      </c>
      <c r="J107" s="22">
        <f>('2012-2022'!J107-'2012-2022'!W$2)/'2012-2022'!W$3</f>
        <v>0.14889454750875886</v>
      </c>
      <c r="K107" s="22">
        <f>('2012-2022'!K107-'2012-2022'!X$2)/'2012-2022'!X$3</f>
        <v>1.1487653496348122</v>
      </c>
      <c r="L107" s="22">
        <f>('2012-2022'!L107-'2012-2022'!Y$2)/'2012-2022'!Y$3</f>
        <v>0.22057949837469157</v>
      </c>
      <c r="M107" s="22">
        <f>('2012-2022'!M107-'2012-2022'!Z$2)/'2012-2022'!Z$3</f>
        <v>-0.37828434614295214</v>
      </c>
      <c r="N107" s="22">
        <f>('2012-2022'!N107-'2012-2022'!AA$2)/'2012-2022'!AA$3</f>
        <v>-1.3976819464868366</v>
      </c>
      <c r="O107" s="22">
        <f>('2012-2022'!P107-'2012-2022'!AC$2)/'2012-2022'!AC$3</f>
        <v>-2.6654865350242196</v>
      </c>
    </row>
    <row r="108" spans="1:15">
      <c r="A108" s="10" t="s">
        <v>11</v>
      </c>
      <c r="B108" s="11">
        <v>2019</v>
      </c>
      <c r="C108" s="14" t="s">
        <v>56</v>
      </c>
      <c r="D108" s="14" t="s">
        <v>52</v>
      </c>
      <c r="E108" s="22">
        <f>('2012-2022'!E108-'2012-2022'!R$2)/'2012-2022'!R$3</f>
        <v>-3.7117402805681363E-2</v>
      </c>
      <c r="F108" s="22">
        <f>('2012-2022'!F108-'2012-2022'!S$2)/'2012-2022'!S$3</f>
        <v>-7.7024932920076561E-2</v>
      </c>
      <c r="G108" s="22">
        <f>('2012-2022'!G108-'2012-2022'!T$2)/'2012-2022'!T$3</f>
        <v>2.299053636465489</v>
      </c>
      <c r="H108" s="22">
        <f>('2012-2022'!H108-'2012-2022'!U$2)/'2012-2022'!U$3</f>
        <v>-0.24795203167290325</v>
      </c>
      <c r="I108" s="22">
        <f>('2012-2022'!I108-'2012-2022'!V$2)/'2012-2022'!V$3</f>
        <v>7.0632015558497428E-3</v>
      </c>
      <c r="J108" s="22">
        <f>('2012-2022'!J108-'2012-2022'!W$2)/'2012-2022'!W$3</f>
        <v>1.5177792909580594</v>
      </c>
      <c r="K108" s="22">
        <f>('2012-2022'!K108-'2012-2022'!X$2)/'2012-2022'!X$3</f>
        <v>1.5261183399251159</v>
      </c>
      <c r="L108" s="22">
        <f>('2012-2022'!L108-'2012-2022'!Y$2)/'2012-2022'!Y$3</f>
        <v>1.0666017957802085</v>
      </c>
      <c r="M108" s="22">
        <f>('2012-2022'!M108-'2012-2022'!Z$2)/'2012-2022'!Z$3</f>
        <v>-0.57518946857215192</v>
      </c>
      <c r="N108" s="22">
        <f>('2012-2022'!N108-'2012-2022'!AA$2)/'2012-2022'!AA$3</f>
        <v>0.17896709545837683</v>
      </c>
      <c r="O108" s="22">
        <f>('2012-2022'!P108-'2012-2022'!AC$2)/'2012-2022'!AC$3</f>
        <v>-2.7504315235274346</v>
      </c>
    </row>
    <row r="109" spans="1:15">
      <c r="A109" s="10" t="s">
        <v>11</v>
      </c>
      <c r="B109" s="11">
        <v>2020</v>
      </c>
      <c r="C109" s="14" t="s">
        <v>56</v>
      </c>
      <c r="D109" s="14" t="s">
        <v>52</v>
      </c>
      <c r="E109" s="22">
        <f>('2012-2022'!E109-'2012-2022'!R$2)/'2012-2022'!R$3</f>
        <v>-0.38666747546942953</v>
      </c>
      <c r="F109" s="22">
        <f>('2012-2022'!F109-'2012-2022'!S$2)/'2012-2022'!S$3</f>
        <v>0.63173325787264778</v>
      </c>
      <c r="G109" s="22">
        <f>('2012-2022'!G109-'2012-2022'!T$2)/'2012-2022'!T$3</f>
        <v>2.4583854416060462</v>
      </c>
      <c r="H109" s="22">
        <f>('2012-2022'!H109-'2012-2022'!U$2)/'2012-2022'!U$3</f>
        <v>-0.27261622873580232</v>
      </c>
      <c r="I109" s="22">
        <f>('2012-2022'!I109-'2012-2022'!V$2)/'2012-2022'!V$3</f>
        <v>-0.47084418383703108</v>
      </c>
      <c r="J109" s="22">
        <f>('2012-2022'!J109-'2012-2022'!W$2)/'2012-2022'!W$3</f>
        <v>1.1691292214401754</v>
      </c>
      <c r="K109" s="22">
        <f>('2012-2022'!K109-'2012-2022'!X$2)/'2012-2022'!X$3</f>
        <v>0.17085650887980638</v>
      </c>
      <c r="L109" s="22">
        <f>('2012-2022'!L109-'2012-2022'!Y$2)/'2012-2022'!Y$3</f>
        <v>-0.63340562865850292</v>
      </c>
      <c r="M109" s="22">
        <f>('2012-2022'!M109-'2012-2022'!Z$2)/'2012-2022'!Z$3</f>
        <v>-0.31988586641512112</v>
      </c>
      <c r="N109" s="22">
        <f>('2012-2022'!N109-'2012-2022'!AA$2)/'2012-2022'!AA$3</f>
        <v>-1.9568861871823733</v>
      </c>
      <c r="O109" s="22">
        <f>('2012-2022'!P109-'2012-2022'!AC$2)/'2012-2022'!AC$3</f>
        <v>-2.7911614575111727</v>
      </c>
    </row>
    <row r="110" spans="1:15">
      <c r="A110" s="10" t="s">
        <v>11</v>
      </c>
      <c r="B110" s="11">
        <v>2021</v>
      </c>
      <c r="C110" s="14" t="s">
        <v>56</v>
      </c>
      <c r="D110" s="14" t="s">
        <v>52</v>
      </c>
      <c r="E110" s="22">
        <f>('2012-2022'!E110-'2012-2022'!R$2)/'2012-2022'!R$3</f>
        <v>-0.63660477185369901</v>
      </c>
      <c r="F110" s="22">
        <f>('2012-2022'!F110-'2012-2022'!S$2)/'2012-2022'!S$3</f>
        <v>0.40817056094610227</v>
      </c>
      <c r="G110" s="22">
        <f>('2012-2022'!G110-'2012-2022'!T$2)/'2012-2022'!T$3</f>
        <v>0.3695379412038754</v>
      </c>
      <c r="H110" s="22">
        <f>('2012-2022'!H110-'2012-2022'!U$2)/'2012-2022'!U$3</f>
        <v>-0.25505403467542259</v>
      </c>
      <c r="I110" s="22">
        <f>('2012-2022'!I110-'2012-2022'!V$2)/'2012-2022'!V$3</f>
        <v>-0.82750074501572168</v>
      </c>
      <c r="J110" s="22">
        <f>('2012-2022'!J110-'2012-2022'!W$2)/'2012-2022'!W$3</f>
        <v>1.3056652497758119</v>
      </c>
      <c r="K110" s="22">
        <f>('2012-2022'!K110-'2012-2022'!X$2)/'2012-2022'!X$3</f>
        <v>0.40060842210147762</v>
      </c>
      <c r="L110" s="22">
        <f>('2012-2022'!L110-'2012-2022'!Y$2)/'2012-2022'!Y$3</f>
        <v>1.1414281590489539E-2</v>
      </c>
      <c r="M110" s="22">
        <f>('2012-2022'!M110-'2012-2022'!Z$2)/'2012-2022'!Z$3</f>
        <v>-0.31303769412314658</v>
      </c>
      <c r="N110" s="22">
        <f>('2012-2022'!N110-'2012-2022'!AA$2)/'2012-2022'!AA$3</f>
        <v>-1.6741918187309681</v>
      </c>
      <c r="O110" s="22">
        <f>('2012-2022'!P110-'2012-2022'!AC$2)/'2012-2022'!AC$3</f>
        <v>-2.7919933554436054</v>
      </c>
    </row>
    <row r="111" spans="1:15">
      <c r="A111" s="10" t="s">
        <v>11</v>
      </c>
      <c r="B111" s="11">
        <v>2022</v>
      </c>
      <c r="C111" s="14" t="s">
        <v>56</v>
      </c>
      <c r="D111" s="14" t="s">
        <v>52</v>
      </c>
      <c r="E111" s="22">
        <f>('2012-2022'!E111-'2012-2022'!R$2)/'2012-2022'!R$3</f>
        <v>0.85584246730437397</v>
      </c>
      <c r="F111" s="22">
        <f>('2012-2022'!F111-'2012-2022'!S$2)/'2012-2022'!S$3</f>
        <v>-0.54490129489892758</v>
      </c>
      <c r="G111" s="22">
        <f>('2012-2022'!G111-'2012-2022'!T$2)/'2012-2022'!T$3</f>
        <v>2.4078119614214777</v>
      </c>
      <c r="H111" s="22">
        <f>('2012-2022'!H111-'2012-2022'!U$2)/'2012-2022'!U$3</f>
        <v>4.9449090903737614E-2</v>
      </c>
      <c r="I111" s="22">
        <f>('2012-2022'!I111-'2012-2022'!V$2)/'2012-2022'!V$3</f>
        <v>1.1137652781760539</v>
      </c>
      <c r="J111" s="22">
        <f>('2012-2022'!J111-'2012-2022'!W$2)/'2012-2022'!W$3</f>
        <v>0.2455561615362489</v>
      </c>
      <c r="K111" s="22">
        <f>('2012-2022'!K111-'2012-2022'!X$2)/'2012-2022'!X$3</f>
        <v>0.82752666786723339</v>
      </c>
      <c r="L111" s="22">
        <f>('2012-2022'!L111-'2012-2022'!Y$2)/'2012-2022'!Y$3</f>
        <v>1.78516866116099</v>
      </c>
      <c r="M111" s="22">
        <f>('2012-2022'!M111-'2012-2022'!Z$2)/'2012-2022'!Z$3</f>
        <v>-0.15556096956526949</v>
      </c>
      <c r="N111" s="22">
        <f>('2012-2022'!N111-'2012-2022'!AA$2)/'2012-2022'!AA$3</f>
        <v>0.40333698071027918</v>
      </c>
      <c r="O111" s="22">
        <f>('2012-2022'!P111-'2012-2022'!AC$2)/'2012-2022'!AC$3</f>
        <v>-2.7970286197766696</v>
      </c>
    </row>
    <row r="112" spans="1:15">
      <c r="A112" s="10" t="s">
        <v>12</v>
      </c>
      <c r="B112" s="11">
        <v>2012</v>
      </c>
      <c r="C112" s="14" t="s">
        <v>56</v>
      </c>
      <c r="D112" s="14" t="s">
        <v>54</v>
      </c>
      <c r="E112" s="22">
        <f>('2012-2022'!E112-'2012-2022'!R$2)/'2012-2022'!R$3</f>
        <v>-0.87030670434647461</v>
      </c>
      <c r="F112" s="22">
        <f>('2012-2022'!F112-'2012-2022'!S$2)/'2012-2022'!S$3</f>
        <v>0.19451197685941013</v>
      </c>
      <c r="G112" s="22">
        <f>('2012-2022'!G112-'2012-2022'!T$2)/'2012-2022'!T$3</f>
        <v>0.63888701343064103</v>
      </c>
      <c r="H112" s="22">
        <f>('2012-2022'!H112-'2012-2022'!U$2)/'2012-2022'!U$3</f>
        <v>-0.80918499614112971</v>
      </c>
      <c r="I112" s="22">
        <f>('2012-2022'!I112-'2012-2022'!V$2)/'2012-2022'!V$3</f>
        <v>-0.83738499517608</v>
      </c>
      <c r="J112" s="22">
        <f>('2012-2022'!J112-'2012-2022'!W$2)/'2012-2022'!W$3</f>
        <v>-1.9180395755229971</v>
      </c>
      <c r="K112" s="22">
        <f>('2012-2022'!K112-'2012-2022'!X$2)/'2012-2022'!X$3</f>
        <v>-0.59284543700104031</v>
      </c>
      <c r="L112" s="22">
        <f>('2012-2022'!L112-'2012-2022'!Y$2)/'2012-2022'!Y$3</f>
        <v>-1.0501237359317712</v>
      </c>
      <c r="M112" s="22">
        <f>('2012-2022'!M112-'2012-2022'!Z$2)/'2012-2022'!Z$3</f>
        <v>-0.1301514640984314</v>
      </c>
      <c r="N112" s="22">
        <f>('2012-2022'!N112-'2012-2022'!AA$2)/'2012-2022'!AA$3</f>
        <v>-0.8817583763553839</v>
      </c>
      <c r="O112" s="22">
        <f>('2012-2022'!P112-'2012-2022'!AC$2)/'2012-2022'!AC$3</f>
        <v>0.35120103773669964</v>
      </c>
    </row>
    <row r="113" spans="1:15">
      <c r="A113" s="10" t="s">
        <v>12</v>
      </c>
      <c r="B113" s="11">
        <v>2013</v>
      </c>
      <c r="C113" s="14" t="s">
        <v>56</v>
      </c>
      <c r="D113" s="14" t="s">
        <v>54</v>
      </c>
      <c r="E113" s="22">
        <f>('2012-2022'!E113-'2012-2022'!R$2)/'2012-2022'!R$3</f>
        <v>-0.41701726676659745</v>
      </c>
      <c r="F113" s="22">
        <f>('2012-2022'!F113-'2012-2022'!S$2)/'2012-2022'!S$3</f>
        <v>0.41625253411248814</v>
      </c>
      <c r="G113" s="22">
        <f>('2012-2022'!G113-'2012-2022'!T$2)/'2012-2022'!T$3</f>
        <v>-4.9230757375317374E-2</v>
      </c>
      <c r="H113" s="22">
        <f>('2012-2022'!H113-'2012-2022'!U$2)/'2012-2022'!U$3</f>
        <v>-0.29873100253912432</v>
      </c>
      <c r="I113" s="22">
        <f>('2012-2022'!I113-'2012-2022'!V$2)/'2012-2022'!V$3</f>
        <v>-0.45300560774476961</v>
      </c>
      <c r="J113" s="22">
        <f>('2012-2022'!J113-'2012-2022'!W$2)/'2012-2022'!W$3</f>
        <v>-1.3218619287280251</v>
      </c>
      <c r="K113" s="22">
        <f>('2012-2022'!K113-'2012-2022'!X$2)/'2012-2022'!X$3</f>
        <v>0.33673302036572611</v>
      </c>
      <c r="L113" s="22">
        <f>('2012-2022'!L113-'2012-2022'!Y$2)/'2012-2022'!Y$3</f>
        <v>-8.3937086447473552E-2</v>
      </c>
      <c r="M113" s="22">
        <f>('2012-2022'!M113-'2012-2022'!Z$2)/'2012-2022'!Z$3</f>
        <v>1.0683311270890585</v>
      </c>
      <c r="N113" s="22">
        <f>('2012-2022'!N113-'2012-2022'!AA$2)/'2012-2022'!AA$3</f>
        <v>0.1057776904301214</v>
      </c>
      <c r="O113" s="22">
        <f>('2012-2022'!P113-'2012-2022'!AC$2)/'2012-2022'!AC$3</f>
        <v>0.32364795463679535</v>
      </c>
    </row>
    <row r="114" spans="1:15">
      <c r="A114" s="10" t="s">
        <v>12</v>
      </c>
      <c r="B114" s="11">
        <v>2014</v>
      </c>
      <c r="C114" s="14" t="s">
        <v>56</v>
      </c>
      <c r="D114" s="14" t="s">
        <v>54</v>
      </c>
      <c r="E114" s="22">
        <f>('2012-2022'!E114-'2012-2022'!R$2)/'2012-2022'!R$3</f>
        <v>-0.38458150115404471</v>
      </c>
      <c r="F114" s="22">
        <f>('2012-2022'!F114-'2012-2022'!S$2)/'2012-2022'!S$3</f>
        <v>1.0860603242514935E-2</v>
      </c>
      <c r="G114" s="22">
        <f>('2012-2022'!G114-'2012-2022'!T$2)/'2012-2022'!T$3</f>
        <v>-0.10089436786452258</v>
      </c>
      <c r="H114" s="22">
        <f>('2012-2022'!H114-'2012-2022'!U$2)/'2012-2022'!U$3</f>
        <v>-0.39973002101946303</v>
      </c>
      <c r="I114" s="22">
        <f>('2012-2022'!I114-'2012-2022'!V$2)/'2012-2022'!V$3</f>
        <v>-0.32753415517988643</v>
      </c>
      <c r="J114" s="22">
        <f>('2012-2022'!J114-'2012-2022'!W$2)/'2012-2022'!W$3</f>
        <v>-1.0879427535367527</v>
      </c>
      <c r="K114" s="22">
        <f>('2012-2022'!K114-'2012-2022'!X$2)/'2012-2022'!X$3</f>
        <v>0.32203406694092762</v>
      </c>
      <c r="L114" s="22">
        <f>('2012-2022'!L114-'2012-2022'!Y$2)/'2012-2022'!Y$3</f>
        <v>0.54096206564325278</v>
      </c>
      <c r="M114" s="22">
        <f>('2012-2022'!M114-'2012-2022'!Z$2)/'2012-2022'!Z$3</f>
        <v>1.1048598972879105</v>
      </c>
      <c r="N114" s="22">
        <f>('2012-2022'!N114-'2012-2022'!AA$2)/'2012-2022'!AA$3</f>
        <v>0.38529472781565488</v>
      </c>
      <c r="O114" s="22">
        <f>('2012-2022'!P114-'2012-2022'!AC$2)/'2012-2022'!AC$3</f>
        <v>0.26658418186211563</v>
      </c>
    </row>
    <row r="115" spans="1:15">
      <c r="A115" s="10" t="s">
        <v>12</v>
      </c>
      <c r="B115" s="11">
        <v>2015</v>
      </c>
      <c r="C115" s="14" t="s">
        <v>56</v>
      </c>
      <c r="D115" s="14" t="s">
        <v>54</v>
      </c>
      <c r="E115" s="22">
        <f>('2012-2022'!E115-'2012-2022'!R$2)/'2012-2022'!R$3</f>
        <v>-0.34820223194135536</v>
      </c>
      <c r="F115" s="22">
        <f>('2012-2022'!F115-'2012-2022'!S$2)/'2012-2022'!S$3</f>
        <v>-0.39453132762745829</v>
      </c>
      <c r="G115" s="22">
        <f>('2012-2022'!G115-'2012-2022'!T$2)/'2012-2022'!T$3</f>
        <v>-0.15255797835372778</v>
      </c>
      <c r="H115" s="22">
        <f>('2012-2022'!H115-'2012-2022'!U$2)/'2012-2022'!U$3</f>
        <v>-0.50072903949980208</v>
      </c>
      <c r="I115" s="22">
        <f>('2012-2022'!I115-'2012-2022'!V$2)/'2012-2022'!V$3</f>
        <v>-0.20206270261500334</v>
      </c>
      <c r="J115" s="22">
        <f>('2012-2022'!J115-'2012-2022'!W$2)/'2012-2022'!W$3</f>
        <v>-0.85402357834547959</v>
      </c>
      <c r="K115" s="22">
        <f>('2012-2022'!K115-'2012-2022'!X$2)/'2012-2022'!X$3</f>
        <v>0.30733511351612891</v>
      </c>
      <c r="L115" s="22">
        <f>('2012-2022'!L115-'2012-2022'!Y$2)/'2012-2022'!Y$3</f>
        <v>1.1658612177339791</v>
      </c>
      <c r="M115" s="22">
        <f>('2012-2022'!M115-'2012-2022'!Z$2)/'2012-2022'!Z$3</f>
        <v>1.141388667486763</v>
      </c>
      <c r="N115" s="22">
        <f>('2012-2022'!N115-'2012-2022'!AA$2)/'2012-2022'!AA$3</f>
        <v>0.66481176520118834</v>
      </c>
      <c r="O115" s="22">
        <f>('2012-2022'!P115-'2012-2022'!AC$2)/'2012-2022'!AC$3</f>
        <v>0.34286081151036019</v>
      </c>
    </row>
    <row r="116" spans="1:15">
      <c r="A116" s="10" t="s">
        <v>12</v>
      </c>
      <c r="B116" s="11">
        <v>2016</v>
      </c>
      <c r="C116" s="14" t="s">
        <v>56</v>
      </c>
      <c r="D116" s="14" t="s">
        <v>54</v>
      </c>
      <c r="E116" s="22">
        <f>('2012-2022'!E116-'2012-2022'!R$2)/'2012-2022'!R$3</f>
        <v>-0.62593800920400244</v>
      </c>
      <c r="F116" s="22">
        <f>('2012-2022'!F116-'2012-2022'!S$2)/'2012-2022'!S$3</f>
        <v>-0.38150471728568408</v>
      </c>
      <c r="G116" s="22">
        <f>('2012-2022'!G116-'2012-2022'!T$2)/'2012-2022'!T$3</f>
        <v>-1.0972505118281228</v>
      </c>
      <c r="H116" s="22">
        <f>('2012-2022'!H116-'2012-2022'!U$2)/'2012-2022'!U$3</f>
        <v>-0.51755003371415542</v>
      </c>
      <c r="I116" s="22">
        <f>('2012-2022'!I116-'2012-2022'!V$2)/'2012-2022'!V$3</f>
        <v>-0.6436245284764639</v>
      </c>
      <c r="J116" s="22">
        <f>('2012-2022'!J116-'2012-2022'!W$2)/'2012-2022'!W$3</f>
        <v>-0.89414596122959367</v>
      </c>
      <c r="K116" s="22">
        <f>('2012-2022'!K116-'2012-2022'!X$2)/'2012-2022'!X$3</f>
        <v>0.25245326719886457</v>
      </c>
      <c r="L116" s="22">
        <f>('2012-2022'!L116-'2012-2022'!Y$2)/'2012-2022'!Y$3</f>
        <v>0.70304015303723455</v>
      </c>
      <c r="M116" s="22">
        <f>('2012-2022'!M116-'2012-2022'!Z$2)/'2012-2022'!Z$3</f>
        <v>1.0881659401298622</v>
      </c>
      <c r="N116" s="22">
        <f>('2012-2022'!N116-'2012-2022'!AA$2)/'2012-2022'!AA$3</f>
        <v>0.55245855299434521</v>
      </c>
      <c r="O116" s="22">
        <f>('2012-2022'!P116-'2012-2022'!AC$2)/'2012-2022'!AC$3</f>
        <v>0.52040344487876844</v>
      </c>
    </row>
    <row r="117" spans="1:15">
      <c r="A117" s="10" t="s">
        <v>12</v>
      </c>
      <c r="B117" s="11">
        <v>2017</v>
      </c>
      <c r="C117" s="14" t="s">
        <v>56</v>
      </c>
      <c r="D117" s="14" t="s">
        <v>54</v>
      </c>
      <c r="E117" s="22">
        <f>('2012-2022'!E117-'2012-2022'!R$2)/'2012-2022'!R$3</f>
        <v>-0.29118301679990305</v>
      </c>
      <c r="F117" s="22">
        <f>('2012-2022'!F117-'2012-2022'!S$2)/'2012-2022'!S$3</f>
        <v>-0.60025335908445354</v>
      </c>
      <c r="G117" s="22">
        <f>('2012-2022'!G117-'2012-2022'!T$2)/'2012-2022'!T$3</f>
        <v>-0.32155927025872977</v>
      </c>
      <c r="H117" s="22">
        <f>('2012-2022'!H117-'2012-2022'!U$2)/'2012-2022'!U$3</f>
        <v>-0.53658583370636936</v>
      </c>
      <c r="I117" s="22">
        <f>('2012-2022'!I117-'2012-2022'!V$2)/'2012-2022'!V$3</f>
        <v>-7.139110429911677E-2</v>
      </c>
      <c r="J117" s="22">
        <f>('2012-2022'!J117-'2012-2022'!W$2)/'2012-2022'!W$3</f>
        <v>-0.63010229744826252</v>
      </c>
      <c r="K117" s="22">
        <f>('2012-2022'!K117-'2012-2022'!X$2)/'2012-2022'!X$3</f>
        <v>0.63341211299451494</v>
      </c>
      <c r="L117" s="22">
        <f>('2012-2022'!L117-'2012-2022'!Y$2)/'2012-2022'!Y$3</f>
        <v>1.4699152408540463</v>
      </c>
      <c r="M117" s="22">
        <f>('2012-2022'!M117-'2012-2022'!Z$2)/'2012-2022'!Z$3</f>
        <v>1.2103161897949608</v>
      </c>
      <c r="N117" s="22">
        <f>('2012-2022'!N117-'2012-2022'!AA$2)/'2012-2022'!AA$3</f>
        <v>0.83852525207577322</v>
      </c>
      <c r="O117" s="22">
        <f>('2012-2022'!P117-'2012-2022'!AC$2)/'2012-2022'!AC$3</f>
        <v>0.48787506651241186</v>
      </c>
    </row>
    <row r="118" spans="1:15">
      <c r="A118" s="10" t="s">
        <v>12</v>
      </c>
      <c r="B118" s="11">
        <v>2018</v>
      </c>
      <c r="C118" s="14" t="s">
        <v>56</v>
      </c>
      <c r="D118" s="14" t="s">
        <v>54</v>
      </c>
      <c r="E118" s="22">
        <f>('2012-2022'!E118-'2012-2022'!R$2)/'2012-2022'!R$3</f>
        <v>-0.13854136428896716</v>
      </c>
      <c r="F118" s="22">
        <f>('2012-2022'!F118-'2012-2022'!S$2)/'2012-2022'!S$3</f>
        <v>0.76363548688017058</v>
      </c>
      <c r="G118" s="22">
        <f>('2012-2022'!G118-'2012-2022'!T$2)/'2012-2022'!T$3</f>
        <v>1.9363641333182254E-2</v>
      </c>
      <c r="H118" s="22">
        <f>('2012-2022'!H118-'2012-2022'!U$2)/'2012-2022'!U$3</f>
        <v>4.7080461428398522E-2</v>
      </c>
      <c r="I118" s="22">
        <f>('2012-2022'!I118-'2012-2022'!V$2)/'2012-2022'!V$3</f>
        <v>-0.23972389534148503</v>
      </c>
      <c r="J118" s="22">
        <f>('2012-2022'!J118-'2012-2022'!W$2)/'2012-2022'!W$3</f>
        <v>-0.86089757514763188</v>
      </c>
      <c r="K118" s="22">
        <f>('2012-2022'!K118-'2012-2022'!X$2)/'2012-2022'!X$3</f>
        <v>0.73248485728805579</v>
      </c>
      <c r="L118" s="22">
        <f>('2012-2022'!L118-'2012-2022'!Y$2)/'2012-2022'!Y$3</f>
        <v>1.1437038607772416</v>
      </c>
      <c r="M118" s="22">
        <f>('2012-2022'!M118-'2012-2022'!Z$2)/'2012-2022'!Z$3</f>
        <v>1.0646468108437892</v>
      </c>
      <c r="N118" s="22">
        <f>('2012-2022'!N118-'2012-2022'!AA$2)/'2012-2022'!AA$3</f>
        <v>0.71022548343891212</v>
      </c>
      <c r="O118" s="22">
        <f>('2012-2022'!P118-'2012-2022'!AC$2)/'2012-2022'!AC$3</f>
        <v>0.42290857768290091</v>
      </c>
    </row>
    <row r="119" spans="1:15">
      <c r="A119" s="10" t="s">
        <v>12</v>
      </c>
      <c r="B119" s="11">
        <v>2019</v>
      </c>
      <c r="C119" s="14" t="s">
        <v>56</v>
      </c>
      <c r="D119" s="14" t="s">
        <v>54</v>
      </c>
      <c r="E119" s="22">
        <f>('2012-2022'!E119-'2012-2022'!R$2)/'2012-2022'!R$3</f>
        <v>-6.206309306394997E-2</v>
      </c>
      <c r="F119" s="22">
        <f>('2012-2022'!F119-'2012-2022'!S$2)/'2012-2022'!S$3</f>
        <v>-0.19418724660380315</v>
      </c>
      <c r="G119" s="22">
        <f>('2012-2022'!G119-'2012-2022'!T$2)/'2012-2022'!T$3</f>
        <v>0.19740408999382447</v>
      </c>
      <c r="H119" s="22">
        <f>('2012-2022'!H119-'2012-2022'!U$2)/'2012-2022'!U$3</f>
        <v>-0.28717501606865786</v>
      </c>
      <c r="I119" s="22">
        <f>('2012-2022'!I119-'2012-2022'!V$2)/'2012-2022'!V$3</f>
        <v>0.11559741325153686</v>
      </c>
      <c r="J119" s="22">
        <f>('2012-2022'!J119-'2012-2022'!W$2)/'2012-2022'!W$3</f>
        <v>-0.69939228900024797</v>
      </c>
      <c r="K119" s="22">
        <f>('2012-2022'!K119-'2012-2022'!X$2)/'2012-2022'!X$3</f>
        <v>0.61503176658706982</v>
      </c>
      <c r="L119" s="22">
        <f>('2012-2022'!L119-'2012-2022'!Y$2)/'2012-2022'!Y$3</f>
        <v>2.461576334162626</v>
      </c>
      <c r="M119" s="22">
        <f>('2012-2022'!M119-'2012-2022'!Z$2)/'2012-2022'!Z$3</f>
        <v>1.0864769862777839</v>
      </c>
      <c r="N119" s="22">
        <f>('2012-2022'!N119-'2012-2022'!AA$2)/'2012-2022'!AA$3</f>
        <v>7.4275584848482401E-2</v>
      </c>
      <c r="O119" s="22">
        <f>('2012-2022'!P119-'2012-2022'!AC$2)/'2012-2022'!AC$3</f>
        <v>0.52110760995653149</v>
      </c>
    </row>
    <row r="120" spans="1:15">
      <c r="A120" s="10" t="s">
        <v>12</v>
      </c>
      <c r="B120" s="11">
        <v>2020</v>
      </c>
      <c r="C120" s="14" t="s">
        <v>56</v>
      </c>
      <c r="D120" s="14" t="s">
        <v>54</v>
      </c>
      <c r="E120" s="22">
        <f>('2012-2022'!E120-'2012-2022'!R$2)/'2012-2022'!R$3</f>
        <v>-0.7402588633041346</v>
      </c>
      <c r="F120" s="22">
        <f>('2012-2022'!F120-'2012-2022'!S$2)/'2012-2022'!S$3</f>
        <v>-0.40147466007574767</v>
      </c>
      <c r="G120" s="22">
        <f>('2012-2022'!G120-'2012-2022'!T$2)/'2012-2022'!T$3</f>
        <v>-0.13200894683467654</v>
      </c>
      <c r="H120" s="22">
        <f>('2012-2022'!H120-'2012-2022'!U$2)/'2012-2022'!U$3</f>
        <v>-0.68719372811168256</v>
      </c>
      <c r="I120" s="22">
        <f>('2012-2022'!I120-'2012-2022'!V$2)/'2012-2022'!V$3</f>
        <v>-0.74050432060961291</v>
      </c>
      <c r="J120" s="22">
        <f>('2012-2022'!J120-'2012-2022'!W$2)/'2012-2022'!W$3</f>
        <v>-1.1917849307966206</v>
      </c>
      <c r="K120" s="22">
        <f>('2012-2022'!K120-'2012-2022'!X$2)/'2012-2022'!X$3</f>
        <v>4.4416330904586902E-2</v>
      </c>
      <c r="L120" s="22">
        <f>('2012-2022'!L120-'2012-2022'!Y$2)/'2012-2022'!Y$3</f>
        <v>2.1049678869674255</v>
      </c>
      <c r="M120" s="22">
        <f>('2012-2022'!M120-'2012-2022'!Z$2)/'2012-2022'!Z$3</f>
        <v>1.3532082478470995</v>
      </c>
      <c r="N120" s="22">
        <f>('2012-2022'!N120-'2012-2022'!AA$2)/'2012-2022'!AA$3</f>
        <v>-1.2290142655691143</v>
      </c>
      <c r="O120" s="22">
        <f>('2012-2022'!P120-'2012-2022'!AC$2)/'2012-2022'!AC$3</f>
        <v>0.4084381802029049</v>
      </c>
    </row>
    <row r="121" spans="1:15">
      <c r="A121" s="10" t="s">
        <v>12</v>
      </c>
      <c r="B121" s="11">
        <v>2021</v>
      </c>
      <c r="C121" s="14" t="s">
        <v>56</v>
      </c>
      <c r="D121" s="14" t="s">
        <v>54</v>
      </c>
      <c r="E121" s="22">
        <f>('2012-2022'!E121-'2012-2022'!R$2)/'2012-2022'!R$3</f>
        <v>-0.61152827950478295</v>
      </c>
      <c r="F121" s="22">
        <f>('2012-2022'!F121-'2012-2022'!S$2)/'2012-2022'!S$3</f>
        <v>-0.90579168553798828</v>
      </c>
      <c r="G121" s="22">
        <f>('2012-2022'!G121-'2012-2022'!T$2)/'2012-2022'!T$3</f>
        <v>0.15448817183181096</v>
      </c>
      <c r="H121" s="22">
        <f>('2012-2022'!H121-'2012-2022'!U$2)/'2012-2022'!U$3</f>
        <v>-0.90138296833293419</v>
      </c>
      <c r="I121" s="22">
        <f>('2012-2022'!I121-'2012-2022'!V$2)/'2012-2022'!V$3</f>
        <v>-0.34633326274045112</v>
      </c>
      <c r="J121" s="22">
        <f>('2012-2022'!J121-'2012-2022'!W$2)/'2012-2022'!W$3</f>
        <v>-1.2032118692459626</v>
      </c>
      <c r="K121" s="22">
        <f>('2012-2022'!K121-'2012-2022'!X$2)/'2012-2022'!X$3</f>
        <v>-0.18494409221824987</v>
      </c>
      <c r="L121" s="22">
        <f>('2012-2022'!L121-'2012-2022'!Y$2)/'2012-2022'!Y$3</f>
        <v>1.7338165313296909</v>
      </c>
      <c r="M121" s="22">
        <f>('2012-2022'!M121-'2012-2022'!Z$2)/'2012-2022'!Z$3</f>
        <v>1.1159618819675323</v>
      </c>
      <c r="N121" s="22">
        <f>('2012-2022'!N121-'2012-2022'!AA$2)/'2012-2022'!AA$3</f>
        <v>6.4254056397109779E-2</v>
      </c>
      <c r="O121" s="22">
        <f>('2012-2022'!P121-'2012-2022'!AC$2)/'2012-2022'!AC$3</f>
        <v>0.43774067538227268</v>
      </c>
    </row>
    <row r="122" spans="1:15">
      <c r="A122" s="10" t="s">
        <v>12</v>
      </c>
      <c r="B122" s="11">
        <v>2022</v>
      </c>
      <c r="C122" s="14" t="s">
        <v>56</v>
      </c>
      <c r="D122" s="14" t="s">
        <v>54</v>
      </c>
      <c r="E122" s="22">
        <f>('2012-2022'!E122-'2012-2022'!R$2)/'2012-2022'!R$3</f>
        <v>-0.73873467478921928</v>
      </c>
      <c r="F122" s="22">
        <f>('2012-2022'!F122-'2012-2022'!S$2)/'2012-2022'!S$3</f>
        <v>-0.58129225506947801</v>
      </c>
      <c r="G122" s="22">
        <f>('2012-2022'!G122-'2012-2022'!T$2)/'2012-2022'!T$3</f>
        <v>-0.17721744878602463</v>
      </c>
      <c r="H122" s="22">
        <f>('2012-2022'!H122-'2012-2022'!U$2)/'2012-2022'!U$3</f>
        <v>-0.8279904572857153</v>
      </c>
      <c r="I122" s="22">
        <f>('2012-2022'!I122-'2012-2022'!V$2)/'2012-2022'!V$3</f>
        <v>-0.60580504982472105</v>
      </c>
      <c r="J122" s="22">
        <f>('2012-2022'!J122-'2012-2022'!W$2)/'2012-2022'!W$3</f>
        <v>-1.3878528893005693</v>
      </c>
      <c r="K122" s="22">
        <f>('2012-2022'!K122-'2012-2022'!X$2)/'2012-2022'!X$3</f>
        <v>-0.4633518382502565</v>
      </c>
      <c r="L122" s="22">
        <f>('2012-2022'!L122-'2012-2022'!Y$2)/'2012-2022'!Y$3</f>
        <v>1.3948941312038923</v>
      </c>
      <c r="M122" s="22">
        <f>('2012-2022'!M122-'2012-2022'!Z$2)/'2012-2022'!Z$3</f>
        <v>1.3918426362724414</v>
      </c>
      <c r="N122" s="22">
        <f>('2012-2022'!N122-'2012-2022'!AA$2)/'2012-2022'!AA$3</f>
        <v>0.12101903709674849</v>
      </c>
      <c r="O122" s="22">
        <f>('2012-2022'!P122-'2012-2022'!AC$2)/'2012-2022'!AC$3</f>
        <v>0.37112459719633756</v>
      </c>
    </row>
    <row r="123" spans="1:15">
      <c r="A123" s="10" t="s">
        <v>14</v>
      </c>
      <c r="B123" s="11">
        <v>2012</v>
      </c>
      <c r="C123" s="14" t="s">
        <v>55</v>
      </c>
      <c r="D123" s="14" t="s">
        <v>54</v>
      </c>
      <c r="E123" s="22">
        <f>('2012-2022'!E123-'2012-2022'!R$2)/'2012-2022'!R$3</f>
        <v>0.57523666284355923</v>
      </c>
      <c r="F123" s="22">
        <f>('2012-2022'!F123-'2012-2022'!S$2)/'2012-2022'!S$3</f>
        <v>-7.9674750726056717E-2</v>
      </c>
      <c r="G123" s="22">
        <f>('2012-2022'!G123-'2012-2022'!T$2)/'2012-2022'!T$3</f>
        <v>1.0429775629385998</v>
      </c>
      <c r="H123" s="22">
        <f>('2012-2022'!H123-'2012-2022'!U$2)/'2012-2022'!U$3</f>
        <v>6.454115891887563E-2</v>
      </c>
      <c r="I123" s="22">
        <f>('2012-2022'!I123-'2012-2022'!V$2)/'2012-2022'!V$3</f>
        <v>0.88187229040969672</v>
      </c>
      <c r="J123" s="22">
        <f>('2012-2022'!J123-'2012-2022'!W$2)/'2012-2022'!W$3</f>
        <v>-0.6803789740642554</v>
      </c>
      <c r="K123" s="22">
        <f>('2012-2022'!K123-'2012-2022'!X$2)/'2012-2022'!X$3</f>
        <v>0.34838230157026773</v>
      </c>
      <c r="L123" s="22">
        <f>('2012-2022'!L123-'2012-2022'!Y$2)/'2012-2022'!Y$3</f>
        <v>-0.7481603080016731</v>
      </c>
      <c r="M123" s="22">
        <f>('2012-2022'!M123-'2012-2022'!Z$2)/'2012-2022'!Z$3</f>
        <v>-0.50355831665574879</v>
      </c>
      <c r="N123" s="22">
        <f>('2012-2022'!N123-'2012-2022'!AA$2)/'2012-2022'!AA$3</f>
        <v>-0.7303231501854206</v>
      </c>
      <c r="O123" s="22">
        <f>('2012-2022'!P123-'2012-2022'!AC$2)/'2012-2022'!AC$3</f>
        <v>0.12922660630407939</v>
      </c>
    </row>
    <row r="124" spans="1:15">
      <c r="A124" s="10" t="s">
        <v>14</v>
      </c>
      <c r="B124" s="11">
        <v>2013</v>
      </c>
      <c r="C124" s="14" t="s">
        <v>55</v>
      </c>
      <c r="D124" s="14" t="s">
        <v>54</v>
      </c>
      <c r="E124" s="22">
        <f>('2012-2022'!E124-'2012-2022'!R$2)/'2012-2022'!R$3</f>
        <v>0.82715084121136262</v>
      </c>
      <c r="F124" s="22">
        <f>('2012-2022'!F124-'2012-2022'!S$2)/'2012-2022'!S$3</f>
        <v>0.80812088260107762</v>
      </c>
      <c r="G124" s="22">
        <f>('2012-2022'!G124-'2012-2022'!T$2)/'2012-2022'!T$3</f>
        <v>0.95737515783545135</v>
      </c>
      <c r="H124" s="22">
        <f>('2012-2022'!H124-'2012-2022'!U$2)/'2012-2022'!U$3</f>
        <v>0.85745188032909836</v>
      </c>
      <c r="I124" s="22">
        <f>('2012-2022'!I124-'2012-2022'!V$2)/'2012-2022'!V$3</f>
        <v>0.74350093616941737</v>
      </c>
      <c r="J124" s="22">
        <f>('2012-2022'!J124-'2012-2022'!W$2)/'2012-2022'!W$3</f>
        <v>-0.30826362103343413</v>
      </c>
      <c r="K124" s="22">
        <f>('2012-2022'!K124-'2012-2022'!X$2)/'2012-2022'!X$3</f>
        <v>0.33924327223290646</v>
      </c>
      <c r="L124" s="22">
        <f>('2012-2022'!L124-'2012-2022'!Y$2)/'2012-2022'!Y$3</f>
        <v>-0.85698649542485605</v>
      </c>
      <c r="M124" s="22">
        <f>('2012-2022'!M124-'2012-2022'!Z$2)/'2012-2022'!Z$3</f>
        <v>-4.2591109191766487E-2</v>
      </c>
      <c r="N124" s="22">
        <f>('2012-2022'!N124-'2012-2022'!AA$2)/'2012-2022'!AA$3</f>
        <v>-0.62148940631968652</v>
      </c>
      <c r="O124" s="22">
        <f>('2012-2022'!P124-'2012-2022'!AC$2)/'2012-2022'!AC$3</f>
        <v>0.15411930068580043</v>
      </c>
    </row>
    <row r="125" spans="1:15">
      <c r="A125" s="10" t="s">
        <v>14</v>
      </c>
      <c r="B125" s="11">
        <v>2014</v>
      </c>
      <c r="C125" s="14" t="s">
        <v>55</v>
      </c>
      <c r="D125" s="14" t="s">
        <v>54</v>
      </c>
      <c r="E125" s="22">
        <f>('2012-2022'!E125-'2012-2022'!R$2)/'2012-2022'!R$3</f>
        <v>0.8445526647589362</v>
      </c>
      <c r="F125" s="22">
        <f>('2012-2022'!F125-'2012-2022'!S$2)/'2012-2022'!S$3</f>
        <v>0.48091819248731837</v>
      </c>
      <c r="G125" s="22">
        <f>('2012-2022'!G125-'2012-2022'!T$2)/'2012-2022'!T$3</f>
        <v>0.98671111790941324</v>
      </c>
      <c r="H125" s="22">
        <f>('2012-2022'!H125-'2012-2022'!U$2)/'2012-2022'!U$3</f>
        <v>0.74612132578606782</v>
      </c>
      <c r="I125" s="22">
        <f>('2012-2022'!I125-'2012-2022'!V$2)/'2012-2022'!V$3</f>
        <v>0.82707960466705044</v>
      </c>
      <c r="J125" s="22">
        <f>('2012-2022'!J125-'2012-2022'!W$2)/'2012-2022'!W$3</f>
        <v>-0.25477442151361573</v>
      </c>
      <c r="K125" s="22">
        <f>('2012-2022'!K125-'2012-2022'!X$2)/'2012-2022'!X$3</f>
        <v>0.21617621101673876</v>
      </c>
      <c r="L125" s="22">
        <f>('2012-2022'!L125-'2012-2022'!Y$2)/'2012-2022'!Y$3</f>
        <v>-0.78625825485752576</v>
      </c>
      <c r="M125" s="22">
        <f>('2012-2022'!M125-'2012-2022'!Z$2)/'2012-2022'!Z$3</f>
        <v>-3.1461160488887398E-2</v>
      </c>
      <c r="N125" s="22">
        <f>('2012-2022'!N125-'2012-2022'!AA$2)/'2012-2022'!AA$3</f>
        <v>-0.62359328757090149</v>
      </c>
      <c r="O125" s="22">
        <f>('2012-2022'!P125-'2012-2022'!AC$2)/'2012-2022'!AC$3</f>
        <v>0.23986312241595803</v>
      </c>
    </row>
    <row r="126" spans="1:15">
      <c r="A126" s="10" t="s">
        <v>14</v>
      </c>
      <c r="B126" s="11">
        <v>2015</v>
      </c>
      <c r="C126" s="14" t="s">
        <v>55</v>
      </c>
      <c r="D126" s="14" t="s">
        <v>54</v>
      </c>
      <c r="E126" s="22">
        <f>('2012-2022'!E126-'2012-2022'!R$2)/'2012-2022'!R$3</f>
        <v>0.86785173194701737</v>
      </c>
      <c r="F126" s="22">
        <f>('2012-2022'!F126-'2012-2022'!S$2)/'2012-2022'!S$3</f>
        <v>0.15371550237355891</v>
      </c>
      <c r="G126" s="22">
        <f>('2012-2022'!G126-'2012-2022'!T$2)/'2012-2022'!T$3</f>
        <v>1.016047077983375</v>
      </c>
      <c r="H126" s="22">
        <f>('2012-2022'!H126-'2012-2022'!U$2)/'2012-2022'!U$3</f>
        <v>0.63479077124303762</v>
      </c>
      <c r="I126" s="22">
        <f>('2012-2022'!I126-'2012-2022'!V$2)/'2012-2022'!V$3</f>
        <v>0.91065827316468395</v>
      </c>
      <c r="J126" s="22">
        <f>('2012-2022'!J126-'2012-2022'!W$2)/'2012-2022'!W$3</f>
        <v>-0.201285221993798</v>
      </c>
      <c r="K126" s="22">
        <f>('2012-2022'!K126-'2012-2022'!X$2)/'2012-2022'!X$3</f>
        <v>9.3109149800571084E-2</v>
      </c>
      <c r="L126" s="22">
        <f>('2012-2022'!L126-'2012-2022'!Y$2)/'2012-2022'!Y$3</f>
        <v>-0.71553001429019536</v>
      </c>
      <c r="M126" s="22">
        <f>('2012-2022'!M126-'2012-2022'!Z$2)/'2012-2022'!Z$3</f>
        <v>-2.0331211786008305E-2</v>
      </c>
      <c r="N126" s="22">
        <f>('2012-2022'!N126-'2012-2022'!AA$2)/'2012-2022'!AA$3</f>
        <v>-0.62569716882211646</v>
      </c>
      <c r="O126" s="22">
        <f>('2012-2022'!P126-'2012-2022'!AC$2)/'2012-2022'!AC$3</f>
        <v>0.22472112167843478</v>
      </c>
    </row>
    <row r="127" spans="1:15">
      <c r="A127" s="10" t="s">
        <v>14</v>
      </c>
      <c r="B127" s="11">
        <v>2016</v>
      </c>
      <c r="C127" s="14" t="s">
        <v>55</v>
      </c>
      <c r="D127" s="14" t="s">
        <v>54</v>
      </c>
      <c r="E127" s="22">
        <f>('2012-2022'!E127-'2012-2022'!R$2)/'2012-2022'!R$3</f>
        <v>0.9427256724144536</v>
      </c>
      <c r="F127" s="22">
        <f>('2012-2022'!F127-'2012-2022'!S$2)/'2012-2022'!S$3</f>
        <v>1.0167097894106221</v>
      </c>
      <c r="G127" s="22">
        <f>('2012-2022'!G127-'2012-2022'!T$2)/'2012-2022'!T$3</f>
        <v>0.11946178726917063</v>
      </c>
      <c r="H127" s="22">
        <f>('2012-2022'!H127-'2012-2022'!U$2)/'2012-2022'!U$3</f>
        <v>1.8506322236913653</v>
      </c>
      <c r="I127" s="22">
        <f>('2012-2022'!I127-'2012-2022'!V$2)/'2012-2022'!V$3</f>
        <v>0.40575172580963059</v>
      </c>
      <c r="J127" s="22">
        <f>('2012-2022'!J127-'2012-2022'!W$2)/'2012-2022'!W$3</f>
        <v>-0.13060612126002738</v>
      </c>
      <c r="K127" s="22">
        <f>('2012-2022'!K127-'2012-2022'!X$2)/'2012-2022'!X$3</f>
        <v>-1.4390347396131538E-3</v>
      </c>
      <c r="L127" s="22">
        <f>('2012-2022'!L127-'2012-2022'!Y$2)/'2012-2022'!Y$3</f>
        <v>-0.48793705420429023</v>
      </c>
      <c r="M127" s="22">
        <f>('2012-2022'!M127-'2012-2022'!Z$2)/'2012-2022'!Z$3</f>
        <v>-3.1601977441684755E-2</v>
      </c>
      <c r="N127" s="22">
        <f>('2012-2022'!N127-'2012-2022'!AA$2)/'2012-2022'!AA$3</f>
        <v>-0.80197683792621921</v>
      </c>
      <c r="O127" s="22">
        <f>('2012-2022'!P127-'2012-2022'!AC$2)/'2012-2022'!AC$3</f>
        <v>0.19949690019261426</v>
      </c>
    </row>
    <row r="128" spans="1:15">
      <c r="A128" s="10" t="s">
        <v>14</v>
      </c>
      <c r="B128" s="11">
        <v>2017</v>
      </c>
      <c r="C128" s="14" t="s">
        <v>55</v>
      </c>
      <c r="D128" s="14" t="s">
        <v>54</v>
      </c>
      <c r="E128" s="22">
        <f>('2012-2022'!E128-'2012-2022'!R$2)/'2012-2022'!R$3</f>
        <v>0.82207493048062952</v>
      </c>
      <c r="F128" s="22">
        <f>('2012-2022'!F128-'2012-2022'!S$2)/'2012-2022'!S$3</f>
        <v>0.14079022711528144</v>
      </c>
      <c r="G128" s="22">
        <f>('2012-2022'!G128-'2012-2022'!T$2)/'2012-2022'!T$3</f>
        <v>0.4504332674434231</v>
      </c>
      <c r="H128" s="22">
        <f>('2012-2022'!H128-'2012-2022'!U$2)/'2012-2022'!U$3</f>
        <v>1.1549032046558276</v>
      </c>
      <c r="I128" s="22">
        <f>('2012-2022'!I128-'2012-2022'!V$2)/'2012-2022'!V$3</f>
        <v>0.56057788532815456</v>
      </c>
      <c r="J128" s="22">
        <f>('2012-2022'!J128-'2012-2022'!W$2)/'2012-2022'!W$3</f>
        <v>-0.20575032032009177</v>
      </c>
      <c r="K128" s="22">
        <f>('2012-2022'!K128-'2012-2022'!X$2)/'2012-2022'!X$3</f>
        <v>-3.4355043590725394E-2</v>
      </c>
      <c r="L128" s="22">
        <f>('2012-2022'!L128-'2012-2022'!Y$2)/'2012-2022'!Y$3</f>
        <v>-0.61244245391310237</v>
      </c>
      <c r="M128" s="22">
        <f>('2012-2022'!M128-'2012-2022'!Z$2)/'2012-2022'!Z$3</f>
        <v>0.32578771238281828</v>
      </c>
      <c r="N128" s="22">
        <f>('2012-2022'!N128-'2012-2022'!AA$2)/'2012-2022'!AA$3</f>
        <v>-0.52975912189218299</v>
      </c>
      <c r="O128" s="22">
        <f>('2012-2022'!P128-'2012-2022'!AC$2)/'2012-2022'!AC$3</f>
        <v>0.21289803790000253</v>
      </c>
    </row>
    <row r="129" spans="1:15">
      <c r="A129" s="10" t="s">
        <v>14</v>
      </c>
      <c r="B129" s="11">
        <v>2018</v>
      </c>
      <c r="C129" s="14" t="s">
        <v>55</v>
      </c>
      <c r="D129" s="14" t="s">
        <v>54</v>
      </c>
      <c r="E129" s="22">
        <f>('2012-2022'!E129-'2012-2022'!R$2)/'2012-2022'!R$3</f>
        <v>0.9425737944648559</v>
      </c>
      <c r="F129" s="22">
        <f>('2012-2022'!F129-'2012-2022'!S$2)/'2012-2022'!S$3</f>
        <v>-0.10036686011791048</v>
      </c>
      <c r="G129" s="22">
        <f>('2012-2022'!G129-'2012-2022'!T$2)/'2012-2022'!T$3</f>
        <v>0.50133141423499239</v>
      </c>
      <c r="H129" s="22">
        <f>('2012-2022'!H129-'2012-2022'!U$2)/'2012-2022'!U$3</f>
        <v>1.0977094324392966</v>
      </c>
      <c r="I129" s="22">
        <f>('2012-2022'!I129-'2012-2022'!V$2)/'2012-2022'!V$3</f>
        <v>0.7483606642523416</v>
      </c>
      <c r="J129" s="22">
        <f>('2012-2022'!J129-'2012-2022'!W$2)/'2012-2022'!W$3</f>
        <v>0.13909245888871868</v>
      </c>
      <c r="K129" s="22">
        <f>('2012-2022'!K129-'2012-2022'!X$2)/'2012-2022'!X$3</f>
        <v>0.19870970970859889</v>
      </c>
      <c r="L129" s="22">
        <f>('2012-2022'!L129-'2012-2022'!Y$2)/'2012-2022'!Y$3</f>
        <v>-9.5366254733209074E-2</v>
      </c>
      <c r="M129" s="22">
        <f>('2012-2022'!M129-'2012-2022'!Z$2)/'2012-2022'!Z$3</f>
        <v>0.31889543627292821</v>
      </c>
      <c r="N129" s="22">
        <f>('2012-2022'!N129-'2012-2022'!AA$2)/'2012-2022'!AA$3</f>
        <v>-0.55230220300199429</v>
      </c>
      <c r="O129" s="22">
        <f>('2012-2022'!P129-'2012-2022'!AC$2)/'2012-2022'!AC$3</f>
        <v>0.23945767117943134</v>
      </c>
    </row>
    <row r="130" spans="1:15">
      <c r="A130" s="10" t="s">
        <v>14</v>
      </c>
      <c r="B130" s="11">
        <v>2019</v>
      </c>
      <c r="C130" s="14" t="s">
        <v>55</v>
      </c>
      <c r="D130" s="14" t="s">
        <v>54</v>
      </c>
      <c r="E130" s="22">
        <f>('2012-2022'!E130-'2012-2022'!R$2)/'2012-2022'!R$3</f>
        <v>1.0668476310346369</v>
      </c>
      <c r="F130" s="22">
        <f>('2012-2022'!F130-'2012-2022'!S$2)/'2012-2022'!S$3</f>
        <v>-0.34152394735110236</v>
      </c>
      <c r="G130" s="22">
        <f>('2012-2022'!G130-'2012-2022'!T$2)/'2012-2022'!T$3</f>
        <v>0.55222956102656062</v>
      </c>
      <c r="H130" s="22">
        <f>('2012-2022'!H130-'2012-2022'!U$2)/'2012-2022'!U$3</f>
        <v>1.0405156602227652</v>
      </c>
      <c r="I130" s="22">
        <f>('2012-2022'!I130-'2012-2022'!V$2)/'2012-2022'!V$3</f>
        <v>0.93614344317652864</v>
      </c>
      <c r="J130" s="22">
        <f>('2012-2022'!J130-'2012-2022'!W$2)/'2012-2022'!W$3</f>
        <v>0.48393523809752853</v>
      </c>
      <c r="K130" s="22">
        <f>('2012-2022'!K130-'2012-2022'!X$2)/'2012-2022'!X$3</f>
        <v>0.43177446300792288</v>
      </c>
      <c r="L130" s="22">
        <f>('2012-2022'!L130-'2012-2022'!Y$2)/'2012-2022'!Y$3</f>
        <v>0.42170994444668369</v>
      </c>
      <c r="M130" s="22">
        <f>('2012-2022'!M130-'2012-2022'!Z$2)/'2012-2022'!Z$3</f>
        <v>0.31200316016303814</v>
      </c>
      <c r="N130" s="22">
        <f>('2012-2022'!N130-'2012-2022'!AA$2)/'2012-2022'!AA$3</f>
        <v>-0.57484528411180513</v>
      </c>
      <c r="O130" s="22">
        <f>('2012-2022'!P130-'2012-2022'!AC$2)/'2012-2022'!AC$3</f>
        <v>0.22107859805800451</v>
      </c>
    </row>
    <row r="131" spans="1:15">
      <c r="A131" s="10" t="s">
        <v>14</v>
      </c>
      <c r="B131" s="11">
        <v>2020</v>
      </c>
      <c r="C131" s="14" t="s">
        <v>55</v>
      </c>
      <c r="D131" s="14" t="s">
        <v>54</v>
      </c>
      <c r="E131" s="22">
        <f>('2012-2022'!E131-'2012-2022'!R$2)/'2012-2022'!R$3</f>
        <v>1.9152589521509018</v>
      </c>
      <c r="F131" s="22">
        <f>('2012-2022'!F131-'2012-2022'!S$2)/'2012-2022'!S$3</f>
        <v>0.28388553395479393</v>
      </c>
      <c r="G131" s="22">
        <f>('2012-2022'!G131-'2012-2022'!T$2)/'2012-2022'!T$3</f>
        <v>1.6377028216299208</v>
      </c>
      <c r="H131" s="22">
        <f>('2012-2022'!H131-'2012-2022'!U$2)/'2012-2022'!U$3</f>
        <v>1.9614159927972838</v>
      </c>
      <c r="I131" s="22">
        <f>('2012-2022'!I131-'2012-2022'!V$2)/'2012-2022'!V$3</f>
        <v>1.7016597894849812</v>
      </c>
      <c r="J131" s="22">
        <f>('2012-2022'!J131-'2012-2022'!W$2)/'2012-2022'!W$3</f>
        <v>0.33963082948604861</v>
      </c>
      <c r="K131" s="22">
        <f>('2012-2022'!K131-'2012-2022'!X$2)/'2012-2022'!X$3</f>
        <v>2.6465463062186369E-2</v>
      </c>
      <c r="L131" s="22">
        <f>('2012-2022'!L131-'2012-2022'!Y$2)/'2012-2022'!Y$3</f>
        <v>-0.39343437512150975</v>
      </c>
      <c r="M131" s="22">
        <f>('2012-2022'!M131-'2012-2022'!Z$2)/'2012-2022'!Z$3</f>
        <v>-0.22361747217417174</v>
      </c>
      <c r="N131" s="22">
        <f>('2012-2022'!N131-'2012-2022'!AA$2)/'2012-2022'!AA$3</f>
        <v>-0.48043479411715145</v>
      </c>
      <c r="O131" s="22">
        <f>('2012-2022'!P131-'2012-2022'!AC$2)/'2012-2022'!AC$3</f>
        <v>0.19293487622656436</v>
      </c>
    </row>
    <row r="132" spans="1:15">
      <c r="A132" s="10" t="s">
        <v>14</v>
      </c>
      <c r="B132" s="11">
        <v>2021</v>
      </c>
      <c r="C132" s="14" t="s">
        <v>55</v>
      </c>
      <c r="D132" s="14" t="s">
        <v>54</v>
      </c>
      <c r="E132" s="22">
        <f>('2012-2022'!E132-'2012-2022'!R$2)/'2012-2022'!R$3</f>
        <v>1.1419325586461893</v>
      </c>
      <c r="F132" s="22">
        <f>('2012-2022'!F132-'2012-2022'!S$2)/'2012-2022'!S$3</f>
        <v>0.38140261856955004</v>
      </c>
      <c r="G132" s="22">
        <f>('2012-2022'!G132-'2012-2022'!T$2)/'2012-2022'!T$3</f>
        <v>-0.1525305831759371</v>
      </c>
      <c r="H132" s="22">
        <f>('2012-2022'!H132-'2012-2022'!U$2)/'2012-2022'!U$3</f>
        <v>1.972471808139777</v>
      </c>
      <c r="I132" s="22">
        <f>('2012-2022'!I132-'2012-2022'!V$2)/'2012-2022'!V$3</f>
        <v>0.64786325861564509</v>
      </c>
      <c r="J132" s="22">
        <f>('2012-2022'!J132-'2012-2022'!W$2)/'2012-2022'!W$3</f>
        <v>0.16755602616531895</v>
      </c>
      <c r="K132" s="22">
        <f>('2012-2022'!K132-'2012-2022'!X$2)/'2012-2022'!X$3</f>
        <v>0.17397190537836288</v>
      </c>
      <c r="L132" s="22">
        <f>('2012-2022'!L132-'2012-2022'!Y$2)/'2012-2022'!Y$3</f>
        <v>-4.7150471173983237E-2</v>
      </c>
      <c r="M132" s="22">
        <f>('2012-2022'!M132-'2012-2022'!Z$2)/'2012-2022'!Z$3</f>
        <v>-0.39739661043688201</v>
      </c>
      <c r="N132" s="22">
        <f>('2012-2022'!N132-'2012-2022'!AA$2)/'2012-2022'!AA$3</f>
        <v>-0.32076993848262381</v>
      </c>
      <c r="O132" s="22">
        <f>('2012-2022'!P132-'2012-2022'!AC$2)/'2012-2022'!AC$3</f>
        <v>0.34654142868882709</v>
      </c>
    </row>
    <row r="133" spans="1:15">
      <c r="A133" s="10" t="s">
        <v>14</v>
      </c>
      <c r="B133" s="11">
        <v>2022</v>
      </c>
      <c r="C133" s="14" t="s">
        <v>55</v>
      </c>
      <c r="D133" s="14" t="s">
        <v>54</v>
      </c>
      <c r="E133" s="22">
        <f>('2012-2022'!E133-'2012-2022'!R$2)/'2012-2022'!R$3</f>
        <v>1.0239165706109792</v>
      </c>
      <c r="F133" s="22">
        <f>('2012-2022'!F133-'2012-2022'!S$2)/'2012-2022'!S$3</f>
        <v>-0.5074717906162729</v>
      </c>
      <c r="G133" s="22">
        <f>('2012-2022'!G133-'2012-2022'!T$2)/'2012-2022'!T$3</f>
        <v>0.61361937928094934</v>
      </c>
      <c r="H133" s="22">
        <f>('2012-2022'!H133-'2012-2022'!U$2)/'2012-2022'!U$3</f>
        <v>0.67830353062951176</v>
      </c>
      <c r="I133" s="22">
        <f>('2012-2022'!I133-'2012-2022'!V$2)/'2012-2022'!V$3</f>
        <v>1.0515630376694494</v>
      </c>
      <c r="J133" s="22">
        <f>('2012-2022'!J133-'2012-2022'!W$2)/'2012-2022'!W$3</f>
        <v>0.21532675257089759</v>
      </c>
      <c r="K133" s="22">
        <f>('2012-2022'!K133-'2012-2022'!X$2)/'2012-2022'!X$3</f>
        <v>9.0937566421406976E-2</v>
      </c>
      <c r="L133" s="22">
        <f>('2012-2022'!L133-'2012-2022'!Y$2)/'2012-2022'!Y$3</f>
        <v>-0.29550082313418569</v>
      </c>
      <c r="M133" s="22">
        <f>('2012-2022'!M133-'2012-2022'!Z$2)/'2012-2022'!Z$3</f>
        <v>-0.62678995728625142</v>
      </c>
      <c r="N133" s="22">
        <f>('2012-2022'!N133-'2012-2022'!AA$2)/'2012-2022'!AA$3</f>
        <v>-0.63627462642245414</v>
      </c>
      <c r="O133" s="22">
        <f>('2012-2022'!P133-'2012-2022'!AC$2)/'2012-2022'!AC$3</f>
        <v>0.16582998960982806</v>
      </c>
    </row>
    <row r="134" spans="1:15">
      <c r="A134" s="10" t="s">
        <v>15</v>
      </c>
      <c r="B134" s="11">
        <v>2012</v>
      </c>
      <c r="C134" s="14" t="s">
        <v>55</v>
      </c>
      <c r="D134" s="14" t="s">
        <v>54</v>
      </c>
      <c r="E134" s="22">
        <f>('2012-2022'!E134-'2012-2022'!R$2)/'2012-2022'!R$3</f>
        <v>0.17653583126257019</v>
      </c>
      <c r="F134" s="22">
        <f>('2012-2022'!F134-'2012-2022'!S$2)/'2012-2022'!S$3</f>
        <v>-0.62035933328249337</v>
      </c>
      <c r="G134" s="22">
        <f>('2012-2022'!G134-'2012-2022'!T$2)/'2012-2022'!T$3</f>
        <v>4.8733456133940953E-3</v>
      </c>
      <c r="H134" s="22">
        <f>('2012-2022'!H134-'2012-2022'!U$2)/'2012-2022'!U$3</f>
        <v>1.3234017103501102E-2</v>
      </c>
      <c r="I134" s="22">
        <f>('2012-2022'!I134-'2012-2022'!V$2)/'2012-2022'!V$3</f>
        <v>0.19647433704966338</v>
      </c>
      <c r="J134" s="22">
        <f>('2012-2022'!J134-'2012-2022'!W$2)/'2012-2022'!W$3</f>
        <v>-0.24494408696593337</v>
      </c>
      <c r="K134" s="22">
        <f>('2012-2022'!K134-'2012-2022'!X$2)/'2012-2022'!X$3</f>
        <v>-7.0638138386234742E-2</v>
      </c>
      <c r="L134" s="22">
        <f>('2012-2022'!L134-'2012-2022'!Y$2)/'2012-2022'!Y$3</f>
        <v>-0.38285107966035659</v>
      </c>
      <c r="M134" s="22">
        <f>('2012-2022'!M134-'2012-2022'!Z$2)/'2012-2022'!Z$3</f>
        <v>2.7399898360342217E-2</v>
      </c>
      <c r="N134" s="22">
        <f>('2012-2022'!N134-'2012-2022'!AA$2)/'2012-2022'!AA$3</f>
        <v>-0.29420959333247415</v>
      </c>
      <c r="O134" s="22">
        <f>('2012-2022'!P134-'2012-2022'!AC$2)/'2012-2022'!AC$3</f>
        <v>1.1628059157694757</v>
      </c>
    </row>
    <row r="135" spans="1:15">
      <c r="A135" s="10" t="s">
        <v>15</v>
      </c>
      <c r="B135" s="11">
        <v>2013</v>
      </c>
      <c r="C135" s="14" t="s">
        <v>55</v>
      </c>
      <c r="D135" s="14" t="s">
        <v>54</v>
      </c>
      <c r="E135" s="22">
        <f>('2012-2022'!E135-'2012-2022'!R$2)/'2012-2022'!R$3</f>
        <v>-0.66704591252456347</v>
      </c>
      <c r="F135" s="22">
        <f>('2012-2022'!F135-'2012-2022'!S$2)/'2012-2022'!S$3</f>
        <v>-0.73324687594871374</v>
      </c>
      <c r="G135" s="22">
        <f>('2012-2022'!G135-'2012-2022'!T$2)/'2012-2022'!T$3</f>
        <v>-0.60387268805416161</v>
      </c>
      <c r="H135" s="22">
        <f>('2012-2022'!H135-'2012-2022'!U$2)/'2012-2022'!U$3</f>
        <v>-0.65183549642250949</v>
      </c>
      <c r="I135" s="22">
        <f>('2012-2022'!I135-'2012-2022'!V$2)/'2012-2022'!V$3</f>
        <v>-0.65861436357012237</v>
      </c>
      <c r="J135" s="22">
        <f>('2012-2022'!J135-'2012-2022'!W$2)/'2012-2022'!W$3</f>
        <v>-0.70521492650276374</v>
      </c>
      <c r="K135" s="22">
        <f>('2012-2022'!K135-'2012-2022'!X$2)/'2012-2022'!X$3</f>
        <v>-0.23221384319387647</v>
      </c>
      <c r="L135" s="22">
        <f>('2012-2022'!L135-'2012-2022'!Y$2)/'2012-2022'!Y$3</f>
        <v>-0.47020133618652687</v>
      </c>
      <c r="M135" s="22">
        <f>('2012-2022'!M135-'2012-2022'!Z$2)/'2012-2022'!Z$3</f>
        <v>0.68158975400693667</v>
      </c>
      <c r="N135" s="22">
        <f>('2012-2022'!N135-'2012-2022'!AA$2)/'2012-2022'!AA$3</f>
        <v>4.7855439757505766E-2</v>
      </c>
      <c r="O135" s="22">
        <f>('2012-2022'!P135-'2012-2022'!AC$2)/'2012-2022'!AC$3</f>
        <v>1.1914943880529685</v>
      </c>
    </row>
    <row r="136" spans="1:15">
      <c r="A136" s="10" t="s">
        <v>15</v>
      </c>
      <c r="B136" s="11">
        <v>2014</v>
      </c>
      <c r="C136" s="14" t="s">
        <v>55</v>
      </c>
      <c r="D136" s="14" t="s">
        <v>54</v>
      </c>
      <c r="E136" s="22">
        <f>('2012-2022'!E136-'2012-2022'!R$2)/'2012-2022'!R$3</f>
        <v>-0.66728769244525099</v>
      </c>
      <c r="F136" s="22">
        <f>('2012-2022'!F136-'2012-2022'!S$2)/'2012-2022'!S$3</f>
        <v>-0.24136998564245227</v>
      </c>
      <c r="G136" s="22">
        <f>('2012-2022'!G136-'2012-2022'!T$2)/'2012-2022'!T$3</f>
        <v>0.15034532790152563</v>
      </c>
      <c r="H136" s="22">
        <f>('2012-2022'!H136-'2012-2022'!U$2)/'2012-2022'!U$3</f>
        <v>-0.59289437882070917</v>
      </c>
      <c r="I136" s="22">
        <f>('2012-2022'!I136-'2012-2022'!V$2)/'2012-2022'!V$3</f>
        <v>-0.69142984102813443</v>
      </c>
      <c r="J136" s="22">
        <f>('2012-2022'!J136-'2012-2022'!W$2)/'2012-2022'!W$3</f>
        <v>-1.201319237133821</v>
      </c>
      <c r="K136" s="22">
        <f>('2012-2022'!K136-'2012-2022'!X$2)/'2012-2022'!X$3</f>
        <v>-0.44527134791256301</v>
      </c>
      <c r="L136" s="22">
        <f>('2012-2022'!L136-'2012-2022'!Y$2)/'2012-2022'!Y$3</f>
        <v>-0.56637216115034317</v>
      </c>
      <c r="M136" s="22">
        <f>('2012-2022'!M136-'2012-2022'!Z$2)/'2012-2022'!Z$3</f>
        <v>0.79696966445156547</v>
      </c>
      <c r="N136" s="22">
        <f>('2012-2022'!N136-'2012-2022'!AA$2)/'2012-2022'!AA$3</f>
        <v>-0.14077384841392374</v>
      </c>
      <c r="O136" s="22">
        <f>('2012-2022'!P136-'2012-2022'!AC$2)/'2012-2022'!AC$3</f>
        <v>0.95313784084496467</v>
      </c>
    </row>
    <row r="137" spans="1:15">
      <c r="A137" s="10" t="s">
        <v>15</v>
      </c>
      <c r="B137" s="11">
        <v>2015</v>
      </c>
      <c r="C137" s="14" t="s">
        <v>55</v>
      </c>
      <c r="D137" s="14" t="s">
        <v>54</v>
      </c>
      <c r="E137" s="22">
        <f>('2012-2022'!E137-'2012-2022'!R$2)/'2012-2022'!R$3</f>
        <v>-0.38642829981203658</v>
      </c>
      <c r="F137" s="22">
        <f>('2012-2022'!F137-'2012-2022'!S$2)/'2012-2022'!S$3</f>
        <v>-0.48863766571064848</v>
      </c>
      <c r="G137" s="22">
        <f>('2012-2022'!G137-'2012-2022'!T$2)/'2012-2022'!T$3</f>
        <v>-0.54195685402361893</v>
      </c>
      <c r="H137" s="22">
        <f>('2012-2022'!H137-'2012-2022'!U$2)/'2012-2022'!U$3</f>
        <v>-0.3253271468712397</v>
      </c>
      <c r="I137" s="22">
        <f>('2012-2022'!I137-'2012-2022'!V$2)/'2012-2022'!V$3</f>
        <v>-0.4241384819303044</v>
      </c>
      <c r="J137" s="22">
        <f>('2012-2022'!J137-'2012-2022'!W$2)/'2012-2022'!W$3</f>
        <v>-0.64566142584581177</v>
      </c>
      <c r="K137" s="22">
        <f>('2012-2022'!K137-'2012-2022'!X$2)/'2012-2022'!X$3</f>
        <v>-0.24564321799525243</v>
      </c>
      <c r="L137" s="22">
        <f>('2012-2022'!L137-'2012-2022'!Y$2)/'2012-2022'!Y$3</f>
        <v>-0.42202674851194338</v>
      </c>
      <c r="M137" s="22">
        <f>('2012-2022'!M137-'2012-2022'!Z$2)/'2012-2022'!Z$3</f>
        <v>0.47649961708635719</v>
      </c>
      <c r="N137" s="22">
        <f>('2012-2022'!N137-'2012-2022'!AA$2)/'2012-2022'!AA$3</f>
        <v>0.20989554256097673</v>
      </c>
      <c r="O137" s="22">
        <f>('2012-2022'!P137-'2012-2022'!AC$2)/'2012-2022'!AC$3</f>
        <v>1.0619418430890564</v>
      </c>
    </row>
    <row r="138" spans="1:15">
      <c r="A138" s="10" t="s">
        <v>15</v>
      </c>
      <c r="B138" s="11">
        <v>2016</v>
      </c>
      <c r="C138" s="14" t="s">
        <v>55</v>
      </c>
      <c r="D138" s="14" t="s">
        <v>54</v>
      </c>
      <c r="E138" s="22">
        <f>('2012-2022'!E138-'2012-2022'!R$2)/'2012-2022'!R$3</f>
        <v>-0.46337107697411056</v>
      </c>
      <c r="F138" s="22">
        <f>('2012-2022'!F138-'2012-2022'!S$2)/'2012-2022'!S$3</f>
        <v>-1.1569432832616169</v>
      </c>
      <c r="G138" s="22">
        <f>('2012-2022'!G138-'2012-2022'!T$2)/'2012-2022'!T$3</f>
        <v>0.3732363786323617</v>
      </c>
      <c r="H138" s="22">
        <f>('2012-2022'!H138-'2012-2022'!U$2)/'2012-2022'!U$3</f>
        <v>-0.84292056651928904</v>
      </c>
      <c r="I138" s="22">
        <f>('2012-2022'!I138-'2012-2022'!V$2)/'2012-2022'!V$3</f>
        <v>-0.26231790902608226</v>
      </c>
      <c r="J138" s="22">
        <f>('2012-2022'!J138-'2012-2022'!W$2)/'2012-2022'!W$3</f>
        <v>-0.917698171321919</v>
      </c>
      <c r="K138" s="22">
        <f>('2012-2022'!K138-'2012-2022'!X$2)/'2012-2022'!X$3</f>
        <v>-0.30263833125538037</v>
      </c>
      <c r="L138" s="22">
        <f>('2012-2022'!L138-'2012-2022'!Y$2)/'2012-2022'!Y$3</f>
        <v>-0.361063685810531</v>
      </c>
      <c r="M138" s="22">
        <f>('2012-2022'!M138-'2012-2022'!Z$2)/'2012-2022'!Z$3</f>
        <v>0.86939789724869176</v>
      </c>
      <c r="N138" s="22">
        <f>('2012-2022'!N138-'2012-2022'!AA$2)/'2012-2022'!AA$3</f>
        <v>0.31024308073457685</v>
      </c>
      <c r="O138" s="22">
        <f>('2012-2022'!P138-'2012-2022'!AC$2)/'2012-2022'!AC$3</f>
        <v>1.1226701407140551</v>
      </c>
    </row>
    <row r="139" spans="1:15">
      <c r="A139" s="10" t="s">
        <v>15</v>
      </c>
      <c r="B139" s="11">
        <v>2017</v>
      </c>
      <c r="C139" s="14" t="s">
        <v>55</v>
      </c>
      <c r="D139" s="14" t="s">
        <v>54</v>
      </c>
      <c r="E139" s="22">
        <f>('2012-2022'!E139-'2012-2022'!R$2)/'2012-2022'!R$3</f>
        <v>-0.34358886498311464</v>
      </c>
      <c r="F139" s="22">
        <f>('2012-2022'!F139-'2012-2022'!S$2)/'2012-2022'!S$3</f>
        <v>0.3587216316979005</v>
      </c>
      <c r="G139" s="22">
        <f>('2012-2022'!G139-'2012-2022'!T$2)/'2012-2022'!T$3</f>
        <v>-0.40890497046502822</v>
      </c>
      <c r="H139" s="22">
        <f>('2012-2022'!H139-'2012-2022'!U$2)/'2012-2022'!U$3</f>
        <v>4.5892838144017338E-2</v>
      </c>
      <c r="I139" s="22">
        <f>('2012-2022'!I139-'2012-2022'!V$2)/'2012-2022'!V$3</f>
        <v>-0.56141741912982845</v>
      </c>
      <c r="J139" s="22">
        <f>('2012-2022'!J139-'2012-2022'!W$2)/'2012-2022'!W$3</f>
        <v>-0.91472711454326139</v>
      </c>
      <c r="K139" s="22">
        <f>('2012-2022'!K139-'2012-2022'!X$2)/'2012-2022'!X$3</f>
        <v>-0.43949961401230425</v>
      </c>
      <c r="L139" s="22">
        <f>('2012-2022'!L139-'2012-2022'!Y$2)/'2012-2022'!Y$3</f>
        <v>-0.50294258542484227</v>
      </c>
      <c r="M139" s="22">
        <f>('2012-2022'!M139-'2012-2022'!Z$2)/'2012-2022'!Z$3</f>
        <v>0.78512195636195348</v>
      </c>
      <c r="N139" s="22">
        <f>('2012-2022'!N139-'2012-2022'!AA$2)/'2012-2022'!AA$3</f>
        <v>0.61957960016042046</v>
      </c>
      <c r="O139" s="22">
        <f>('2012-2022'!P139-'2012-2022'!AC$2)/'2012-2022'!AC$3</f>
        <v>1.0210089949050842</v>
      </c>
    </row>
    <row r="140" spans="1:15">
      <c r="A140" s="10" t="s">
        <v>15</v>
      </c>
      <c r="B140" s="11">
        <v>2018</v>
      </c>
      <c r="C140" s="14" t="s">
        <v>55</v>
      </c>
      <c r="D140" s="14" t="s">
        <v>54</v>
      </c>
      <c r="E140" s="22">
        <f>('2012-2022'!E140-'2012-2022'!R$2)/'2012-2022'!R$3</f>
        <v>-0.40560407557170408</v>
      </c>
      <c r="F140" s="22">
        <f>('2012-2022'!F140-'2012-2022'!S$2)/'2012-2022'!S$3</f>
        <v>-1.428175245142288</v>
      </c>
      <c r="G140" s="22">
        <f>('2012-2022'!G140-'2012-2022'!T$2)/'2012-2022'!T$3</f>
        <v>-2.1892129489195444E-2</v>
      </c>
      <c r="H140" s="22">
        <f>('2012-2022'!H140-'2012-2022'!U$2)/'2012-2022'!U$3</f>
        <v>-0.91100364723707139</v>
      </c>
      <c r="I140" s="22">
        <f>('2012-2022'!I140-'2012-2022'!V$2)/'2012-2022'!V$3</f>
        <v>-0.1436287928029725</v>
      </c>
      <c r="J140" s="22">
        <f>('2012-2022'!J140-'2012-2022'!W$2)/'2012-2022'!W$3</f>
        <v>-0.65029795877604035</v>
      </c>
      <c r="K140" s="22">
        <f>('2012-2022'!K140-'2012-2022'!X$2)/'2012-2022'!X$3</f>
        <v>-0.1505898126469879</v>
      </c>
      <c r="L140" s="22">
        <f>('2012-2022'!L140-'2012-2022'!Y$2)/'2012-2022'!Y$3</f>
        <v>-0.51301297981540317</v>
      </c>
      <c r="M140" s="22">
        <f>('2012-2022'!M140-'2012-2022'!Z$2)/'2012-2022'!Z$3</f>
        <v>0.80063495118950145</v>
      </c>
      <c r="N140" s="22">
        <f>('2012-2022'!N140-'2012-2022'!AA$2)/'2012-2022'!AA$3</f>
        <v>0.63410847574397233</v>
      </c>
      <c r="O140" s="22">
        <f>('2012-2022'!P140-'2012-2022'!AC$2)/'2012-2022'!AC$3</f>
        <v>1.1406225156969483</v>
      </c>
    </row>
    <row r="141" spans="1:15">
      <c r="A141" s="10" t="s">
        <v>15</v>
      </c>
      <c r="B141" s="11">
        <v>2019</v>
      </c>
      <c r="C141" s="14" t="s">
        <v>55</v>
      </c>
      <c r="D141" s="14" t="s">
        <v>54</v>
      </c>
      <c r="E141" s="22">
        <f>('2012-2022'!E141-'2012-2022'!R$2)/'2012-2022'!R$3</f>
        <v>-0.32901062667889081</v>
      </c>
      <c r="F141" s="22">
        <f>('2012-2022'!F141-'2012-2022'!S$2)/'2012-2022'!S$3</f>
        <v>-0.77925384821155597</v>
      </c>
      <c r="G141" s="22">
        <f>('2012-2022'!G141-'2012-2022'!T$2)/'2012-2022'!T$3</f>
        <v>-2.6244357742187856E-2</v>
      </c>
      <c r="H141" s="22">
        <f>('2012-2022'!H141-'2012-2022'!U$2)/'2012-2022'!U$3</f>
        <v>-0.49989169345107265</v>
      </c>
      <c r="I141" s="22">
        <f>('2012-2022'!I141-'2012-2022'!V$2)/'2012-2022'!V$3</f>
        <v>-0.25467470652492891</v>
      </c>
      <c r="J141" s="22">
        <f>('2012-2022'!J141-'2012-2022'!W$2)/'2012-2022'!W$3</f>
        <v>-0.25210057127248792</v>
      </c>
      <c r="K141" s="22">
        <f>('2012-2022'!K141-'2012-2022'!X$2)/'2012-2022'!X$3</f>
        <v>-0.29606875865632026</v>
      </c>
      <c r="L141" s="22">
        <f>('2012-2022'!L141-'2012-2022'!Y$2)/'2012-2022'!Y$3</f>
        <v>0.37188698637222395</v>
      </c>
      <c r="M141" s="22">
        <f>('2012-2022'!M141-'2012-2022'!Z$2)/'2012-2022'!Z$3</f>
        <v>0.55565173170304527</v>
      </c>
      <c r="N141" s="22">
        <f>('2012-2022'!N141-'2012-2022'!AA$2)/'2012-2022'!AA$3</f>
        <v>0.82114518955307192</v>
      </c>
      <c r="O141" s="22">
        <f>('2012-2022'!P141-'2012-2022'!AC$2)/'2012-2022'!AC$3</f>
        <v>1.1396503127784801</v>
      </c>
    </row>
    <row r="142" spans="1:15">
      <c r="A142" s="10" t="s">
        <v>15</v>
      </c>
      <c r="B142" s="11">
        <v>2020</v>
      </c>
      <c r="C142" s="14" t="s">
        <v>55</v>
      </c>
      <c r="D142" s="14" t="s">
        <v>54</v>
      </c>
      <c r="E142" s="22">
        <f>('2012-2022'!E142-'2012-2022'!R$2)/'2012-2022'!R$3</f>
        <v>-0.61841185201121562</v>
      </c>
      <c r="F142" s="22">
        <f>('2012-2022'!F142-'2012-2022'!S$2)/'2012-2022'!S$3</f>
        <v>-0.21554460468253892</v>
      </c>
      <c r="G142" s="22">
        <f>('2012-2022'!G142-'2012-2022'!T$2)/'2012-2022'!T$3</f>
        <v>-0.24198376966933788</v>
      </c>
      <c r="H142" s="22">
        <f>('2012-2022'!H142-'2012-2022'!U$2)/'2012-2022'!U$3</f>
        <v>-0.42437944731551269</v>
      </c>
      <c r="I142" s="22">
        <f>('2012-2022'!I142-'2012-2022'!V$2)/'2012-2022'!V$3</f>
        <v>-0.71749626724431459</v>
      </c>
      <c r="J142" s="22">
        <f>('2012-2022'!J142-'2012-2022'!W$2)/'2012-2022'!W$3</f>
        <v>-0.49176351347335612</v>
      </c>
      <c r="K142" s="22">
        <f>('2012-2022'!K142-'2012-2022'!X$2)/'2012-2022'!X$3</f>
        <v>-0.59130952661666636</v>
      </c>
      <c r="L142" s="22">
        <f>('2012-2022'!L142-'2012-2022'!Y$2)/'2012-2022'!Y$3</f>
        <v>0.32983372588522347</v>
      </c>
      <c r="M142" s="22">
        <f>('2012-2022'!M142-'2012-2022'!Z$2)/'2012-2022'!Z$3</f>
        <v>0.58935964047378853</v>
      </c>
      <c r="N142" s="22">
        <f>('2012-2022'!N142-'2012-2022'!AA$2)/'2012-2022'!AA$3</f>
        <v>-0.17919894589262814</v>
      </c>
      <c r="O142" s="22">
        <f>('2012-2022'!P142-'2012-2022'!AC$2)/'2012-2022'!AC$3</f>
        <v>1.2240939246828517</v>
      </c>
    </row>
    <row r="143" spans="1:15">
      <c r="A143" s="10" t="s">
        <v>15</v>
      </c>
      <c r="B143" s="11">
        <v>2021</v>
      </c>
      <c r="C143" s="14" t="s">
        <v>55</v>
      </c>
      <c r="D143" s="14" t="s">
        <v>54</v>
      </c>
      <c r="E143" s="22">
        <f>('2012-2022'!E143-'2012-2022'!R$2)/'2012-2022'!R$3</f>
        <v>-0.5664856977800008</v>
      </c>
      <c r="F143" s="22">
        <f>('2012-2022'!F143-'2012-2022'!S$2)/'2012-2022'!S$3</f>
        <v>0.5841871217818676</v>
      </c>
      <c r="G143" s="22">
        <f>('2012-2022'!G143-'2012-2022'!T$2)/'2012-2022'!T$3</f>
        <v>-0.10561384093400079</v>
      </c>
      <c r="H143" s="22">
        <f>('2012-2022'!H143-'2012-2022'!U$2)/'2012-2022'!U$3</f>
        <v>-0.11374389115003962</v>
      </c>
      <c r="I143" s="22">
        <f>('2012-2022'!I143-'2012-2022'!V$2)/'2012-2022'!V$3</f>
        <v>-0.7994655920683662</v>
      </c>
      <c r="J143" s="22">
        <f>('2012-2022'!J143-'2012-2022'!W$2)/'2012-2022'!W$3</f>
        <v>0.13133153762725788</v>
      </c>
      <c r="K143" s="22">
        <f>('2012-2022'!K143-'2012-2022'!X$2)/'2012-2022'!X$3</f>
        <v>-0.34884659080316111</v>
      </c>
      <c r="L143" s="22">
        <f>('2012-2022'!L143-'2012-2022'!Y$2)/'2012-2022'!Y$3</f>
        <v>0.10056323553492474</v>
      </c>
      <c r="M143" s="22">
        <f>('2012-2022'!M143-'2012-2022'!Z$2)/'2012-2022'!Z$3</f>
        <v>0.58135124069980648</v>
      </c>
      <c r="N143" s="22">
        <f>('2012-2022'!N143-'2012-2022'!AA$2)/'2012-2022'!AA$3</f>
        <v>0.5762473744371962</v>
      </c>
      <c r="O143" s="22">
        <f>('2012-2022'!P143-'2012-2022'!AC$2)/'2012-2022'!AC$3</f>
        <v>1.2928448764959062</v>
      </c>
    </row>
    <row r="144" spans="1:15">
      <c r="A144" s="10" t="s">
        <v>15</v>
      </c>
      <c r="B144" s="11">
        <v>2022</v>
      </c>
      <c r="C144" s="14" t="s">
        <v>55</v>
      </c>
      <c r="D144" s="14" t="s">
        <v>54</v>
      </c>
      <c r="E144" s="22">
        <f>('2012-2022'!E144-'2012-2022'!R$2)/'2012-2022'!R$3</f>
        <v>-1.0402094039540508</v>
      </c>
      <c r="F144" s="22">
        <f>('2012-2022'!F144-'2012-2022'!S$2)/'2012-2022'!S$3</f>
        <v>-0.67651479227208633</v>
      </c>
      <c r="G144" s="22">
        <f>('2012-2022'!G144-'2012-2022'!T$2)/'2012-2022'!T$3</f>
        <v>-1.4473851905829331</v>
      </c>
      <c r="H144" s="22">
        <f>('2012-2022'!H144-'2012-2022'!U$2)/'2012-2022'!U$3</f>
        <v>-0.64603451572022841</v>
      </c>
      <c r="I144" s="22">
        <f>('2012-2022'!I144-'2012-2022'!V$2)/'2012-2022'!V$3</f>
        <v>-1.2091241057122144</v>
      </c>
      <c r="J144" s="22">
        <f>('2012-2022'!J144-'2012-2022'!W$2)/'2012-2022'!W$3</f>
        <v>-0.11774143915471254</v>
      </c>
      <c r="K144" s="22">
        <f>('2012-2022'!K144-'2012-2022'!X$2)/'2012-2022'!X$3</f>
        <v>-0.2985152863003479</v>
      </c>
      <c r="L144" s="22">
        <f>('2012-2022'!L144-'2012-2022'!Y$2)/'2012-2022'!Y$3</f>
        <v>-3.7597806857198372E-2</v>
      </c>
      <c r="M144" s="22">
        <f>('2012-2022'!M144-'2012-2022'!Z$2)/'2012-2022'!Z$3</f>
        <v>0.3382629854332081</v>
      </c>
      <c r="N144" s="22">
        <f>('2012-2022'!N144-'2012-2022'!AA$2)/'2012-2022'!AA$3</f>
        <v>0.47137850135774678</v>
      </c>
      <c r="O144" s="22">
        <f>('2012-2022'!P144-'2012-2022'!AC$2)/'2012-2022'!AC$3</f>
        <v>1.3074904037658188</v>
      </c>
    </row>
    <row r="145" spans="1:15">
      <c r="A145" s="10" t="s">
        <v>17</v>
      </c>
      <c r="B145" s="11">
        <v>2012</v>
      </c>
      <c r="C145" s="14" t="s">
        <v>55</v>
      </c>
      <c r="D145" s="14" t="s">
        <v>54</v>
      </c>
      <c r="E145" s="22">
        <f>('2012-2022'!E145-'2012-2022'!R$2)/'2012-2022'!R$3</f>
        <v>-0.52644972538888746</v>
      </c>
      <c r="F145" s="22">
        <f>('2012-2022'!F145-'2012-2022'!S$2)/'2012-2022'!S$3</f>
        <v>-0.77554423059652688</v>
      </c>
      <c r="G145" s="22">
        <f>('2012-2022'!G145-'2012-2022'!T$2)/'2012-2022'!T$3</f>
        <v>-1.2974879195707614</v>
      </c>
      <c r="H145" s="22">
        <f>('2012-2022'!H145-'2012-2022'!U$2)/'2012-2022'!U$3</f>
        <v>-0.54979096494883017</v>
      </c>
      <c r="I145" s="22">
        <f>('2012-2022'!I145-'2012-2022'!V$2)/'2012-2022'!V$3</f>
        <v>-0.46253891669822572</v>
      </c>
      <c r="J145" s="22">
        <f>('2012-2022'!J145-'2012-2022'!W$2)/'2012-2022'!W$3</f>
        <v>-0.78997966130953312</v>
      </c>
      <c r="K145" s="22">
        <f>('2012-2022'!K145-'2012-2022'!X$2)/'2012-2022'!X$3</f>
        <v>-0.927965723289773</v>
      </c>
      <c r="L145" s="22">
        <f>('2012-2022'!L145-'2012-2022'!Y$2)/'2012-2022'!Y$3</f>
        <v>-0.5375490130277466</v>
      </c>
      <c r="M145" s="22">
        <f>('2012-2022'!M145-'2012-2022'!Z$2)/'2012-2022'!Z$3</f>
        <v>-0.39276856239028579</v>
      </c>
      <c r="N145" s="22">
        <f>('2012-2022'!N145-'2012-2022'!AA$2)/'2012-2022'!AA$3</f>
        <v>-0.64677125782193712</v>
      </c>
      <c r="O145" s="22">
        <f>('2012-2022'!P145-'2012-2022'!AC$2)/'2012-2022'!AC$3</f>
        <v>1.1741860833599129</v>
      </c>
    </row>
    <row r="146" spans="1:15">
      <c r="A146" s="10" t="s">
        <v>17</v>
      </c>
      <c r="B146" s="11">
        <v>2013</v>
      </c>
      <c r="C146" s="14" t="s">
        <v>55</v>
      </c>
      <c r="D146" s="14" t="s">
        <v>54</v>
      </c>
      <c r="E146" s="22">
        <f>('2012-2022'!E146-'2012-2022'!R$2)/'2012-2022'!R$3</f>
        <v>-0.40847261592880307</v>
      </c>
      <c r="F146" s="22">
        <f>('2012-2022'!F146-'2012-2022'!S$2)/'2012-2022'!S$3</f>
        <v>-0.55717877801198634</v>
      </c>
      <c r="G146" s="22">
        <f>('2012-2022'!G146-'2012-2022'!T$2)/'2012-2022'!T$3</f>
        <v>-0.5224647994297994</v>
      </c>
      <c r="H146" s="22">
        <f>('2012-2022'!H146-'2012-2022'!U$2)/'2012-2022'!U$3</f>
        <v>-0.52357665237970563</v>
      </c>
      <c r="I146" s="22">
        <f>('2012-2022'!I146-'2012-2022'!V$2)/'2012-2022'!V$3</f>
        <v>-0.2925412428994798</v>
      </c>
      <c r="J146" s="22">
        <f>('2012-2022'!J146-'2012-2022'!W$2)/'2012-2022'!W$3</f>
        <v>-0.7828188928340849</v>
      </c>
      <c r="K146" s="22">
        <f>('2012-2022'!K146-'2012-2022'!X$2)/'2012-2022'!X$3</f>
        <v>-0.91340987683219577</v>
      </c>
      <c r="L146" s="22">
        <f>('2012-2022'!L146-'2012-2022'!Y$2)/'2012-2022'!Y$3</f>
        <v>-0.56493997493425785</v>
      </c>
      <c r="M146" s="22">
        <f>('2012-2022'!M146-'2012-2022'!Z$2)/'2012-2022'!Z$3</f>
        <v>-0.17282568831061293</v>
      </c>
      <c r="N146" s="22">
        <f>('2012-2022'!N146-'2012-2022'!AA$2)/'2012-2022'!AA$3</f>
        <v>-0.75454549487690259</v>
      </c>
      <c r="O146" s="22">
        <f>('2012-2022'!P146-'2012-2022'!AC$2)/'2012-2022'!AC$3</f>
        <v>1.172523167544242</v>
      </c>
    </row>
    <row r="147" spans="1:15">
      <c r="A147" s="10" t="s">
        <v>17</v>
      </c>
      <c r="B147" s="11">
        <v>2014</v>
      </c>
      <c r="C147" s="14" t="s">
        <v>55</v>
      </c>
      <c r="D147" s="14" t="s">
        <v>54</v>
      </c>
      <c r="E147" s="22">
        <f>('2012-2022'!E147-'2012-2022'!R$2)/'2012-2022'!R$3</f>
        <v>-0.27804654857057109</v>
      </c>
      <c r="F147" s="22">
        <f>('2012-2022'!F147-'2012-2022'!S$2)/'2012-2022'!S$3</f>
        <v>0.67711091602741458</v>
      </c>
      <c r="G147" s="22">
        <f>('2012-2022'!G147-'2012-2022'!T$2)/'2012-2022'!T$3</f>
        <v>-1.2676238949416434</v>
      </c>
      <c r="H147" s="22">
        <f>('2012-2022'!H147-'2012-2022'!U$2)/'2012-2022'!U$3</f>
        <v>0.2249349334784756</v>
      </c>
      <c r="I147" s="22">
        <f>('2012-2022'!I147-'2012-2022'!V$2)/'2012-2022'!V$3</f>
        <v>-0.58411192008815804</v>
      </c>
      <c r="J147" s="22">
        <f>('2012-2022'!J147-'2012-2022'!W$2)/'2012-2022'!W$3</f>
        <v>-0.61987715306584912</v>
      </c>
      <c r="K147" s="22">
        <f>('2012-2022'!K147-'2012-2022'!X$2)/'2012-2022'!X$3</f>
        <v>-0.87312798606594988</v>
      </c>
      <c r="L147" s="22">
        <f>('2012-2022'!L147-'2012-2022'!Y$2)/'2012-2022'!Y$3</f>
        <v>-0.65625593654842884</v>
      </c>
      <c r="M147" s="22">
        <f>('2012-2022'!M147-'2012-2022'!Z$2)/'2012-2022'!Z$3</f>
        <v>-0.43702841470119164</v>
      </c>
      <c r="N147" s="22">
        <f>('2012-2022'!N147-'2012-2022'!AA$2)/'2012-2022'!AA$3</f>
        <v>4.6701491422259878E-2</v>
      </c>
      <c r="O147" s="22">
        <f>('2012-2022'!P147-'2012-2022'!AC$2)/'2012-2022'!AC$3</f>
        <v>1.0511291815084427</v>
      </c>
    </row>
    <row r="148" spans="1:15">
      <c r="A148" s="10" t="s">
        <v>17</v>
      </c>
      <c r="B148" s="11">
        <v>2015</v>
      </c>
      <c r="C148" s="14" t="s">
        <v>55</v>
      </c>
      <c r="D148" s="14" t="s">
        <v>54</v>
      </c>
      <c r="E148" s="22">
        <f>('2012-2022'!E148-'2012-2022'!R$2)/'2012-2022'!R$3</f>
        <v>-0.69888373035105966</v>
      </c>
      <c r="F148" s="22">
        <f>('2012-2022'!F148-'2012-2022'!S$2)/'2012-2022'!S$3</f>
        <v>-7.4952867242590412E-2</v>
      </c>
      <c r="G148" s="22">
        <f>('2012-2022'!G148-'2012-2022'!T$2)/'2012-2022'!T$3</f>
        <v>-0.60338948091292266</v>
      </c>
      <c r="H148" s="22">
        <f>('2012-2022'!H148-'2012-2022'!U$2)/'2012-2022'!U$3</f>
        <v>-0.56639688743355032</v>
      </c>
      <c r="I148" s="22">
        <f>('2012-2022'!I148-'2012-2022'!V$2)/'2012-2022'!V$3</f>
        <v>-0.7293448682405318</v>
      </c>
      <c r="J148" s="22">
        <f>('2012-2022'!J148-'2012-2022'!W$2)/'2012-2022'!W$3</f>
        <v>-0.94180888236466676</v>
      </c>
      <c r="K148" s="22">
        <f>('2012-2022'!K148-'2012-2022'!X$2)/'2012-2022'!X$3</f>
        <v>-0.85444071595214321</v>
      </c>
      <c r="L148" s="22">
        <f>('2012-2022'!L148-'2012-2022'!Y$2)/'2012-2022'!Y$3</f>
        <v>-0.74680068724772941</v>
      </c>
      <c r="M148" s="22">
        <f>('2012-2022'!M148-'2012-2022'!Z$2)/'2012-2022'!Z$3</f>
        <v>-0.49368379370597154</v>
      </c>
      <c r="N148" s="22">
        <f>('2012-2022'!N148-'2012-2022'!AA$2)/'2012-2022'!AA$3</f>
        <v>0.22154307967376988</v>
      </c>
      <c r="O148" s="22">
        <f>('2012-2022'!P148-'2012-2022'!AC$2)/'2012-2022'!AC$3</f>
        <v>1.2050822219111297</v>
      </c>
    </row>
    <row r="149" spans="1:15">
      <c r="A149" s="10" t="s">
        <v>17</v>
      </c>
      <c r="B149" s="11">
        <v>2016</v>
      </c>
      <c r="C149" s="14" t="s">
        <v>55</v>
      </c>
      <c r="D149" s="14" t="s">
        <v>54</v>
      </c>
      <c r="E149" s="22">
        <f>('2012-2022'!E149-'2012-2022'!R$2)/'2012-2022'!R$3</f>
        <v>0.25869793617302678</v>
      </c>
      <c r="F149" s="22">
        <f>('2012-2022'!F149-'2012-2022'!S$2)/'2012-2022'!S$3</f>
        <v>1.5289362837127387</v>
      </c>
      <c r="G149" s="22">
        <f>('2012-2022'!G149-'2012-2022'!T$2)/'2012-2022'!T$3</f>
        <v>-0.99638742392930224</v>
      </c>
      <c r="H149" s="22">
        <f>('2012-2022'!H149-'2012-2022'!U$2)/'2012-2022'!U$3</f>
        <v>1.0228253679589903</v>
      </c>
      <c r="I149" s="22">
        <f>('2012-2022'!I149-'2012-2022'!V$2)/'2012-2022'!V$3</f>
        <v>-0.25878125040658412</v>
      </c>
      <c r="J149" s="22">
        <f>('2012-2022'!J149-'2012-2022'!W$2)/'2012-2022'!W$3</f>
        <v>-0.88733584854019898</v>
      </c>
      <c r="K149" s="22">
        <f>('2012-2022'!K149-'2012-2022'!X$2)/'2012-2022'!X$3</f>
        <v>-0.86986474511557965</v>
      </c>
      <c r="L149" s="22">
        <f>('2012-2022'!L149-'2012-2022'!Y$2)/'2012-2022'!Y$3</f>
        <v>-0.56389623947978784</v>
      </c>
      <c r="M149" s="22">
        <f>('2012-2022'!M149-'2012-2022'!Z$2)/'2012-2022'!Z$3</f>
        <v>-0.81339324764762533</v>
      </c>
      <c r="N149" s="22">
        <f>('2012-2022'!N149-'2012-2022'!AA$2)/'2012-2022'!AA$3</f>
        <v>0.58769734201663881</v>
      </c>
      <c r="O149" s="22">
        <f>('2012-2022'!P149-'2012-2022'!AC$2)/'2012-2022'!AC$3</f>
        <v>1.420267450963931</v>
      </c>
    </row>
    <row r="150" spans="1:15">
      <c r="A150" s="10" t="s">
        <v>17</v>
      </c>
      <c r="B150" s="11">
        <v>2017</v>
      </c>
      <c r="C150" s="14" t="s">
        <v>55</v>
      </c>
      <c r="D150" s="14" t="s">
        <v>54</v>
      </c>
      <c r="E150" s="22">
        <f>('2012-2022'!E150-'2012-2022'!R$2)/'2012-2022'!R$3</f>
        <v>-4.0016959070134105E-2</v>
      </c>
      <c r="F150" s="22">
        <f>('2012-2022'!F150-'2012-2022'!S$2)/'2012-2022'!S$3</f>
        <v>0.22577350427136336</v>
      </c>
      <c r="G150" s="22">
        <f>('2012-2022'!G150-'2012-2022'!T$2)/'2012-2022'!T$3</f>
        <v>-8.0558295865253204E-2</v>
      </c>
      <c r="H150" s="22">
        <f>('2012-2022'!H150-'2012-2022'!U$2)/'2012-2022'!U$3</f>
        <v>-1.7825171145862604E-2</v>
      </c>
      <c r="I150" s="22">
        <f>('2012-2022'!I150-'2012-2022'!V$2)/'2012-2022'!V$3</f>
        <v>-4.0108479433579362E-2</v>
      </c>
      <c r="J150" s="22">
        <f>('2012-2022'!J150-'2012-2022'!W$2)/'2012-2022'!W$3</f>
        <v>-0.58922553293602797</v>
      </c>
      <c r="K150" s="22">
        <f>('2012-2022'!K150-'2012-2022'!X$2)/'2012-2022'!X$3</f>
        <v>-0.90409677585994397</v>
      </c>
      <c r="L150" s="22">
        <f>('2012-2022'!L150-'2012-2022'!Y$2)/'2012-2022'!Y$3</f>
        <v>-0.39708111325198064</v>
      </c>
      <c r="M150" s="22">
        <f>('2012-2022'!M150-'2012-2022'!Z$2)/'2012-2022'!Z$3</f>
        <v>-1.0362721459694102</v>
      </c>
      <c r="N150" s="22">
        <f>('2012-2022'!N150-'2012-2022'!AA$2)/'2012-2022'!AA$3</f>
        <v>1.1991253605774073</v>
      </c>
      <c r="O150" s="22">
        <f>('2012-2022'!P150-'2012-2022'!AC$2)/'2012-2022'!AC$3</f>
        <v>1.4348071208877491</v>
      </c>
    </row>
    <row r="151" spans="1:15">
      <c r="A151" s="10" t="s">
        <v>17</v>
      </c>
      <c r="B151" s="11">
        <v>2018</v>
      </c>
      <c r="C151" s="14" t="s">
        <v>55</v>
      </c>
      <c r="D151" s="14" t="s">
        <v>54</v>
      </c>
      <c r="E151" s="22">
        <f>('2012-2022'!E151-'2012-2022'!R$2)/'2012-2022'!R$3</f>
        <v>0.44127243043176911</v>
      </c>
      <c r="F151" s="22">
        <f>('2012-2022'!F151-'2012-2022'!S$2)/'2012-2022'!S$3</f>
        <v>0.60019735511839156</v>
      </c>
      <c r="G151" s="22">
        <f>('2012-2022'!G151-'2012-2022'!T$2)/'2012-2022'!T$3</f>
        <v>-0.28286995049918789</v>
      </c>
      <c r="H151" s="22">
        <f>('2012-2022'!H151-'2012-2022'!U$2)/'2012-2022'!U$3</f>
        <v>0.63041228826342688</v>
      </c>
      <c r="I151" s="22">
        <f>('2012-2022'!I151-'2012-2022'!V$2)/'2012-2022'!V$3</f>
        <v>0.29760061846290231</v>
      </c>
      <c r="J151" s="22">
        <f>('2012-2022'!J151-'2012-2022'!W$2)/'2012-2022'!W$3</f>
        <v>-0.46215641501574006</v>
      </c>
      <c r="K151" s="22">
        <f>('2012-2022'!K151-'2012-2022'!X$2)/'2012-2022'!X$3</f>
        <v>-0.86913289639278379</v>
      </c>
      <c r="L151" s="22">
        <f>('2012-2022'!L151-'2012-2022'!Y$2)/'2012-2022'!Y$3</f>
        <v>-0.45584410617637178</v>
      </c>
      <c r="M151" s="22">
        <f>('2012-2022'!M151-'2012-2022'!Z$2)/'2012-2022'!Z$3</f>
        <v>-0.8379161517993976</v>
      </c>
      <c r="N151" s="22">
        <f>('2012-2022'!N151-'2012-2022'!AA$2)/'2012-2022'!AA$3</f>
        <v>1.3630027953797303</v>
      </c>
      <c r="O151" s="22">
        <f>('2012-2022'!P151-'2012-2022'!AC$2)/'2012-2022'!AC$3</f>
        <v>1.3949273144269236</v>
      </c>
    </row>
    <row r="152" spans="1:15">
      <c r="A152" s="10" t="s">
        <v>17</v>
      </c>
      <c r="B152" s="11">
        <v>2019</v>
      </c>
      <c r="C152" s="14" t="s">
        <v>55</v>
      </c>
      <c r="D152" s="14" t="s">
        <v>54</v>
      </c>
      <c r="E152" s="22">
        <f>('2012-2022'!E152-'2012-2022'!R$2)/'2012-2022'!R$3</f>
        <v>0.17929977376391415</v>
      </c>
      <c r="F152" s="22">
        <f>('2012-2022'!F152-'2012-2022'!S$2)/'2012-2022'!S$3</f>
        <v>0.77635157437945601</v>
      </c>
      <c r="G152" s="22">
        <f>('2012-2022'!G152-'2012-2022'!T$2)/'2012-2022'!T$3</f>
        <v>-2.0008646023345501E-2</v>
      </c>
      <c r="H152" s="22">
        <f>('2012-2022'!H152-'2012-2022'!U$2)/'2012-2022'!U$3</f>
        <v>0.39515601860191518</v>
      </c>
      <c r="I152" s="22">
        <f>('2012-2022'!I152-'2012-2022'!V$2)/'2012-2022'!V$3</f>
        <v>3.4099017516302364E-2</v>
      </c>
      <c r="J152" s="22">
        <f>('2012-2022'!J152-'2012-2022'!W$2)/'2012-2022'!W$3</f>
        <v>-0.82263124369288687</v>
      </c>
      <c r="K152" s="22">
        <f>('2012-2022'!K152-'2012-2022'!X$2)/'2012-2022'!X$3</f>
        <v>-0.76924687732360675</v>
      </c>
      <c r="L152" s="22">
        <f>('2012-2022'!L152-'2012-2022'!Y$2)/'2012-2022'!Y$3</f>
        <v>0.77657957308981607</v>
      </c>
      <c r="M152" s="22">
        <f>('2012-2022'!M152-'2012-2022'!Z$2)/'2012-2022'!Z$3</f>
        <v>-1.6410603186259465</v>
      </c>
      <c r="N152" s="22">
        <f>('2012-2022'!N152-'2012-2022'!AA$2)/'2012-2022'!AA$3</f>
        <v>1.2296109970731066</v>
      </c>
      <c r="O152" s="22">
        <f>('2012-2022'!P152-'2012-2022'!AC$2)/'2012-2022'!AC$3</f>
        <v>1.3021730208049205</v>
      </c>
    </row>
    <row r="153" spans="1:15">
      <c r="A153" s="10" t="s">
        <v>17</v>
      </c>
      <c r="B153" s="11">
        <v>2020</v>
      </c>
      <c r="C153" s="14" t="s">
        <v>55</v>
      </c>
      <c r="D153" s="14" t="s">
        <v>54</v>
      </c>
      <c r="E153" s="22">
        <f>('2012-2022'!E153-'2012-2022'!R$2)/'2012-2022'!R$3</f>
        <v>9.2632154273406639E-2</v>
      </c>
      <c r="F153" s="22">
        <f>('2012-2022'!F153-'2012-2022'!S$2)/'2012-2022'!S$3</f>
        <v>-7.2780152369823672E-2</v>
      </c>
      <c r="G153" s="22">
        <f>('2012-2022'!G153-'2012-2022'!T$2)/'2012-2022'!T$3</f>
        <v>-0.16266267129799308</v>
      </c>
      <c r="H153" s="22">
        <f>('2012-2022'!H153-'2012-2022'!U$2)/'2012-2022'!U$3</f>
        <v>5.4911300413905805E-3</v>
      </c>
      <c r="I153" s="22">
        <f>('2012-2022'!I153-'2012-2022'!V$2)/'2012-2022'!V$3</f>
        <v>0.14984381791700316</v>
      </c>
      <c r="J153" s="22">
        <f>('2012-2022'!J153-'2012-2022'!W$2)/'2012-2022'!W$3</f>
        <v>-0.6790005118025787</v>
      </c>
      <c r="K153" s="22">
        <f>('2012-2022'!K153-'2012-2022'!X$2)/'2012-2022'!X$3</f>
        <v>-0.3964600402909304</v>
      </c>
      <c r="L153" s="22">
        <f>('2012-2022'!L153-'2012-2022'!Y$2)/'2012-2022'!Y$3</f>
        <v>1.5207322237042298</v>
      </c>
      <c r="M153" s="22">
        <f>('2012-2022'!M153-'2012-2022'!Z$2)/'2012-2022'!Z$3</f>
        <v>-0.57481315167357694</v>
      </c>
      <c r="N153" s="22">
        <f>('2012-2022'!N153-'2012-2022'!AA$2)/'2012-2022'!AA$3</f>
        <v>0.24619606691112172</v>
      </c>
      <c r="O153" s="22">
        <f>('2012-2022'!P153-'2012-2022'!AC$2)/'2012-2022'!AC$3</f>
        <v>1.1787332975533809</v>
      </c>
    </row>
    <row r="154" spans="1:15">
      <c r="A154" s="10" t="s">
        <v>17</v>
      </c>
      <c r="B154" s="11">
        <v>2021</v>
      </c>
      <c r="C154" s="14" t="s">
        <v>55</v>
      </c>
      <c r="D154" s="14" t="s">
        <v>54</v>
      </c>
      <c r="E154" s="22">
        <f>('2012-2022'!E154-'2012-2022'!R$2)/'2012-2022'!R$3</f>
        <v>0.25615543079255437</v>
      </c>
      <c r="F154" s="22">
        <f>('2012-2022'!F154-'2012-2022'!S$2)/'2012-2022'!S$3</f>
        <v>-9.9363740019314528E-2</v>
      </c>
      <c r="G154" s="22">
        <f>('2012-2022'!G154-'2012-2022'!T$2)/'2012-2022'!T$3</f>
        <v>-0.88559760878834637</v>
      </c>
      <c r="H154" s="22">
        <f>('2012-2022'!H154-'2012-2022'!U$2)/'2012-2022'!U$3</f>
        <v>0.33684682062769788</v>
      </c>
      <c r="I154" s="22">
        <f>('2012-2022'!I154-'2012-2022'!V$2)/'2012-2022'!V$3</f>
        <v>0.19333360591592871</v>
      </c>
      <c r="J154" s="22">
        <f>('2012-2022'!J154-'2012-2022'!W$2)/'2012-2022'!W$3</f>
        <v>-0.51959078794662761</v>
      </c>
      <c r="K154" s="22">
        <f>('2012-2022'!K154-'2012-2022'!X$2)/'2012-2022'!X$3</f>
        <v>1.4836335304453869E-2</v>
      </c>
      <c r="L154" s="22">
        <f>('2012-2022'!L154-'2012-2022'!Y$2)/'2012-2022'!Y$3</f>
        <v>1.1976996021284509</v>
      </c>
      <c r="M154" s="22">
        <f>('2012-2022'!M154-'2012-2022'!Z$2)/'2012-2022'!Z$3</f>
        <v>-0.78283529133586238</v>
      </c>
      <c r="N154" s="22">
        <f>('2012-2022'!N154-'2012-2022'!AA$2)/'2012-2022'!AA$3</f>
        <v>1.5619630965882578</v>
      </c>
      <c r="O154" s="22">
        <f>('2012-2022'!P154-'2012-2022'!AC$2)/'2012-2022'!AC$3</f>
        <v>1.2536799214245042</v>
      </c>
    </row>
    <row r="155" spans="1:15">
      <c r="A155" s="10" t="s">
        <v>17</v>
      </c>
      <c r="B155" s="11">
        <v>2022</v>
      </c>
      <c r="C155" s="14" t="s">
        <v>55</v>
      </c>
      <c r="D155" s="14" t="s">
        <v>54</v>
      </c>
      <c r="E155" s="22">
        <f>('2012-2022'!E155-'2012-2022'!R$2)/'2012-2022'!R$3</f>
        <v>-1.1941893537190371</v>
      </c>
      <c r="F155" s="22">
        <f>('2012-2022'!F155-'2012-2022'!S$2)/'2012-2022'!S$3</f>
        <v>0.2860335393752631</v>
      </c>
      <c r="G155" s="22">
        <f>('2012-2022'!G155-'2012-2022'!T$2)/'2012-2022'!T$3</f>
        <v>-0.5052303800390805</v>
      </c>
      <c r="H155" s="22">
        <f>('2012-2022'!H155-'2012-2022'!U$2)/'2012-2022'!U$3</f>
        <v>-0.89195103104741535</v>
      </c>
      <c r="I155" s="22">
        <f>('2012-2022'!I155-'2012-2022'!V$2)/'2012-2022'!V$3</f>
        <v>-1.3083130913770051</v>
      </c>
      <c r="J155" s="22">
        <f>('2012-2022'!J155-'2012-2022'!W$2)/'2012-2022'!W$3</f>
        <v>0.20613244026617564</v>
      </c>
      <c r="K155" s="22">
        <f>('2012-2022'!K155-'2012-2022'!X$2)/'2012-2022'!X$3</f>
        <v>-0.97373071516614973</v>
      </c>
      <c r="L155" s="22">
        <f>('2012-2022'!L155-'2012-2022'!Y$2)/'2012-2022'!Y$3</f>
        <v>-1.0548451009891893</v>
      </c>
      <c r="M155" s="22">
        <f>('2012-2022'!M155-'2012-2022'!Z$2)/'2012-2022'!Z$3</f>
        <v>1.8151055842468233</v>
      </c>
      <c r="N155" s="22">
        <f>('2012-2022'!N155-'2012-2022'!AA$2)/'2012-2022'!AA$3</f>
        <v>-0.52553657920636276</v>
      </c>
      <c r="O155" s="22">
        <f>('2012-2022'!P155-'2012-2022'!AC$2)/'2012-2022'!AC$3</f>
        <v>1.1267231444235584</v>
      </c>
    </row>
    <row r="156" spans="1:15">
      <c r="A156" s="10" t="s">
        <v>19</v>
      </c>
      <c r="B156" s="11">
        <v>2012</v>
      </c>
      <c r="C156" s="14" t="s">
        <v>51</v>
      </c>
      <c r="D156" s="14" t="s">
        <v>54</v>
      </c>
      <c r="E156" s="22">
        <f>('2012-2022'!E156-'2012-2022'!R$2)/'2012-2022'!R$3</f>
        <v>-0.71322116844810457</v>
      </c>
      <c r="F156" s="22">
        <f>('2012-2022'!F156-'2012-2022'!S$2)/'2012-2022'!S$3</f>
        <v>-0.3476301745022331</v>
      </c>
      <c r="G156" s="22">
        <f>('2012-2022'!G156-'2012-2022'!T$2)/'2012-2022'!T$3</f>
        <v>-0.12164276704083474</v>
      </c>
      <c r="H156" s="22">
        <f>('2012-2022'!H156-'2012-2022'!U$2)/'2012-2022'!U$3</f>
        <v>-0.74318876998407901</v>
      </c>
      <c r="I156" s="22">
        <f>('2012-2022'!I156-'2012-2022'!V$2)/'2012-2022'!V$3</f>
        <v>-0.62666756441383331</v>
      </c>
      <c r="J156" s="22">
        <f>('2012-2022'!J156-'2012-2022'!W$2)/'2012-2022'!W$3</f>
        <v>-0.69983175921132523</v>
      </c>
      <c r="K156" s="22">
        <f>('2012-2022'!K156-'2012-2022'!X$2)/'2012-2022'!X$3</f>
        <v>-0.45037356648711258</v>
      </c>
      <c r="L156" s="22">
        <f>('2012-2022'!L156-'2012-2022'!Y$2)/'2012-2022'!Y$3</f>
        <v>-0.87133598576007998</v>
      </c>
      <c r="M156" s="22">
        <f>('2012-2022'!M156-'2012-2022'!Z$2)/'2012-2022'!Z$3</f>
        <v>-3.1829966568679984</v>
      </c>
      <c r="N156" s="22">
        <f>('2012-2022'!N156-'2012-2022'!AA$2)/'2012-2022'!AA$3</f>
        <v>-0.39270219611850049</v>
      </c>
      <c r="O156" s="22">
        <f>('2012-2022'!P156-'2012-2022'!AC$2)/'2012-2022'!AC$3</f>
        <v>-0.44606721029380564</v>
      </c>
    </row>
    <row r="157" spans="1:15">
      <c r="A157" s="10" t="s">
        <v>19</v>
      </c>
      <c r="B157" s="11">
        <v>2013</v>
      </c>
      <c r="C157" s="14" t="s">
        <v>51</v>
      </c>
      <c r="D157" s="14" t="s">
        <v>54</v>
      </c>
      <c r="E157" s="22">
        <f>('2012-2022'!E157-'2012-2022'!R$2)/'2012-2022'!R$3</f>
        <v>1.2059226514996033</v>
      </c>
      <c r="F157" s="22">
        <f>('2012-2022'!F157-'2012-2022'!S$2)/'2012-2022'!S$3</f>
        <v>0.72164971151183799</v>
      </c>
      <c r="G157" s="22">
        <f>('2012-2022'!G157-'2012-2022'!T$2)/'2012-2022'!T$3</f>
        <v>-7.701910942909812E-2</v>
      </c>
      <c r="H157" s="22">
        <f>('2012-2022'!H157-'2012-2022'!U$2)/'2012-2022'!U$3</f>
        <v>1.2931303896490849</v>
      </c>
      <c r="I157" s="22">
        <f>('2012-2022'!I157-'2012-2022'!V$2)/'2012-2022'!V$3</f>
        <v>1.0839407641195209</v>
      </c>
      <c r="J157" s="22">
        <f>('2012-2022'!J157-'2012-2022'!W$2)/'2012-2022'!W$3</f>
        <v>1.3018607465937653</v>
      </c>
      <c r="K157" s="22">
        <f>('2012-2022'!K157-'2012-2022'!X$2)/'2012-2022'!X$3</f>
        <v>0.94339765252316277</v>
      </c>
      <c r="L157" s="22">
        <f>('2012-2022'!L157-'2012-2022'!Y$2)/'2012-2022'!Y$3</f>
        <v>1.288194680130313</v>
      </c>
      <c r="M157" s="22">
        <f>('2012-2022'!M157-'2012-2022'!Z$2)/'2012-2022'!Z$3</f>
        <v>-1.5537725428348139</v>
      </c>
      <c r="N157" s="22">
        <f>('2012-2022'!N157-'2012-2022'!AA$2)/'2012-2022'!AA$3</f>
        <v>0.86586664835625893</v>
      </c>
      <c r="O157" s="22">
        <f>('2012-2022'!P157-'2012-2022'!AC$2)/'2012-2022'!AC$3</f>
        <v>-0.51118745628991269</v>
      </c>
    </row>
    <row r="158" spans="1:15">
      <c r="A158" s="10" t="s">
        <v>19</v>
      </c>
      <c r="B158" s="11">
        <v>2014</v>
      </c>
      <c r="C158" s="14" t="s">
        <v>51</v>
      </c>
      <c r="D158" s="14" t="s">
        <v>54</v>
      </c>
      <c r="E158" s="22">
        <f>('2012-2022'!E158-'2012-2022'!R$2)/'2012-2022'!R$3</f>
        <v>0.25927671729217455</v>
      </c>
      <c r="F158" s="22">
        <f>('2012-2022'!F158-'2012-2022'!S$2)/'2012-2022'!S$3</f>
        <v>0.12300939262668623</v>
      </c>
      <c r="G158" s="22">
        <f>('2012-2022'!G158-'2012-2022'!T$2)/'2012-2022'!T$3</f>
        <v>-0.78297185936601799</v>
      </c>
      <c r="H158" s="22">
        <f>('2012-2022'!H158-'2012-2022'!U$2)/'2012-2022'!U$3</f>
        <v>0.37085484818538311</v>
      </c>
      <c r="I158" s="22">
        <f>('2012-2022'!I158-'2012-2022'!V$2)/'2012-2022'!V$3</f>
        <v>0.18232143142626508</v>
      </c>
      <c r="J158" s="22">
        <f>('2012-2022'!J158-'2012-2022'!W$2)/'2012-2022'!W$3</f>
        <v>0.25863606376502535</v>
      </c>
      <c r="K158" s="22">
        <f>('2012-2022'!K158-'2012-2022'!X$2)/'2012-2022'!X$3</f>
        <v>0.37450347707404091</v>
      </c>
      <c r="L158" s="22">
        <f>('2012-2022'!L158-'2012-2022'!Y$2)/'2012-2022'!Y$3</f>
        <v>-0.17841565588392477</v>
      </c>
      <c r="M158" s="22">
        <f>('2012-2022'!M158-'2012-2022'!Z$2)/'2012-2022'!Z$3</f>
        <v>-3.1459145101007868</v>
      </c>
      <c r="N158" s="22">
        <f>('2012-2022'!N158-'2012-2022'!AA$2)/'2012-2022'!AA$3</f>
        <v>-9.5658317568226972E-2</v>
      </c>
      <c r="O158" s="22">
        <f>('2012-2022'!P158-'2012-2022'!AC$2)/'2012-2022'!AC$3</f>
        <v>-0.55477101265091699</v>
      </c>
    </row>
    <row r="159" spans="1:15">
      <c r="A159" s="10" t="s">
        <v>19</v>
      </c>
      <c r="B159" s="11">
        <v>2015</v>
      </c>
      <c r="C159" s="14" t="s">
        <v>51</v>
      </c>
      <c r="D159" s="14" t="s">
        <v>54</v>
      </c>
      <c r="E159" s="22">
        <f>('2012-2022'!E159-'2012-2022'!R$2)/'2012-2022'!R$3</f>
        <v>-0.186229258087833</v>
      </c>
      <c r="F159" s="22">
        <f>('2012-2022'!F159-'2012-2022'!S$2)/'2012-2022'!S$3</f>
        <v>1.4838901486009993E-4</v>
      </c>
      <c r="G159" s="22">
        <f>('2012-2022'!G159-'2012-2022'!T$2)/'2012-2022'!T$3</f>
        <v>-0.34082741103156083</v>
      </c>
      <c r="H159" s="22">
        <f>('2012-2022'!H159-'2012-2022'!U$2)/'2012-2022'!U$3</f>
        <v>-0.19622231277712851</v>
      </c>
      <c r="I159" s="22">
        <f>('2012-2022'!I159-'2012-2022'!V$2)/'2012-2022'!V$3</f>
        <v>-0.14721539745705978</v>
      </c>
      <c r="J159" s="22">
        <f>('2012-2022'!J159-'2012-2022'!W$2)/'2012-2022'!W$3</f>
        <v>-0.17216118817211629</v>
      </c>
      <c r="K159" s="22">
        <f>('2012-2022'!K159-'2012-2022'!X$2)/'2012-2022'!X$3</f>
        <v>-0.41732768523224345</v>
      </c>
      <c r="L159" s="22">
        <f>('2012-2022'!L159-'2012-2022'!Y$2)/'2012-2022'!Y$3</f>
        <v>0.95338274859173655</v>
      </c>
      <c r="M159" s="22">
        <f>('2012-2022'!M159-'2012-2022'!Z$2)/'2012-2022'!Z$3</f>
        <v>-2.9470196501585568</v>
      </c>
      <c r="N159" s="22">
        <f>('2012-2022'!N159-'2012-2022'!AA$2)/'2012-2022'!AA$3</f>
        <v>0.10630854387617152</v>
      </c>
      <c r="O159" s="22">
        <f>('2012-2022'!P159-'2012-2022'!AC$2)/'2012-2022'!AC$3</f>
        <v>-0.51027094791339189</v>
      </c>
    </row>
    <row r="160" spans="1:15">
      <c r="A160" s="10" t="s">
        <v>19</v>
      </c>
      <c r="B160" s="11">
        <v>2016</v>
      </c>
      <c r="C160" s="14" t="s">
        <v>51</v>
      </c>
      <c r="D160" s="14" t="s">
        <v>54</v>
      </c>
      <c r="E160" s="22">
        <f>('2012-2022'!E160-'2012-2022'!R$2)/'2012-2022'!R$3</f>
        <v>-0.107293299971115</v>
      </c>
      <c r="F160" s="22">
        <f>('2012-2022'!F160-'2012-2022'!S$2)/'2012-2022'!S$3</f>
        <v>0.15715226814191247</v>
      </c>
      <c r="G160" s="22">
        <f>('2012-2022'!G160-'2012-2022'!T$2)/'2012-2022'!T$3</f>
        <v>-0.44196650044023134</v>
      </c>
      <c r="H160" s="22">
        <f>('2012-2022'!H160-'2012-2022'!U$2)/'2012-2022'!U$3</f>
        <v>-7.19340888021269E-2</v>
      </c>
      <c r="I160" s="22">
        <f>('2012-2022'!I160-'2012-2022'!V$2)/'2012-2022'!V$3</f>
        <v>-9.9070972835504881E-2</v>
      </c>
      <c r="J160" s="22">
        <f>('2012-2022'!J160-'2012-2022'!W$2)/'2012-2022'!W$3</f>
        <v>-0.29818810410195801</v>
      </c>
      <c r="K160" s="22">
        <f>('2012-2022'!K160-'2012-2022'!X$2)/'2012-2022'!X$3</f>
        <v>-0.68283917886711942</v>
      </c>
      <c r="L160" s="22">
        <f>('2012-2022'!L160-'2012-2022'!Y$2)/'2012-2022'!Y$3</f>
        <v>0.78264917623781238</v>
      </c>
      <c r="M160" s="22">
        <f>('2012-2022'!M160-'2012-2022'!Z$2)/'2012-2022'!Z$3</f>
        <v>-1.7210187889276269</v>
      </c>
      <c r="N160" s="22">
        <f>('2012-2022'!N160-'2012-2022'!AA$2)/'2012-2022'!AA$3</f>
        <v>-0.14672610561256677</v>
      </c>
      <c r="O160" s="22">
        <f>('2012-2022'!P160-'2012-2022'!AC$2)/'2012-2022'!AC$3</f>
        <v>-0.51383791302431769</v>
      </c>
    </row>
    <row r="161" spans="1:15">
      <c r="A161" s="10" t="s">
        <v>19</v>
      </c>
      <c r="B161" s="11">
        <v>2017</v>
      </c>
      <c r="C161" s="14" t="s">
        <v>51</v>
      </c>
      <c r="D161" s="14" t="s">
        <v>54</v>
      </c>
      <c r="E161" s="22">
        <f>('2012-2022'!E161-'2012-2022'!R$2)/'2012-2022'!R$3</f>
        <v>0.60894384972442517</v>
      </c>
      <c r="F161" s="22">
        <f>('2012-2022'!F161-'2012-2022'!S$2)/'2012-2022'!S$3</f>
        <v>0.51935732626728293</v>
      </c>
      <c r="G161" s="22">
        <f>('2012-2022'!G161-'2012-2022'!T$2)/'2012-2022'!T$3</f>
        <v>0.13147655381523918</v>
      </c>
      <c r="H161" s="22">
        <f>('2012-2022'!H161-'2012-2022'!U$2)/'2012-2022'!U$3</f>
        <v>0.59471693224416156</v>
      </c>
      <c r="I161" s="22">
        <f>('2012-2022'!I161-'2012-2022'!V$2)/'2012-2022'!V$3</f>
        <v>0.59290558123100257</v>
      </c>
      <c r="J161" s="22">
        <f>('2012-2022'!J161-'2012-2022'!W$2)/'2012-2022'!W$3</f>
        <v>0.53778831992979304</v>
      </c>
      <c r="K161" s="22">
        <f>('2012-2022'!K161-'2012-2022'!X$2)/'2012-2022'!X$3</f>
        <v>0.10571788266276727</v>
      </c>
      <c r="L161" s="22">
        <f>('2012-2022'!L161-'2012-2022'!Y$2)/'2012-2022'!Y$3</f>
        <v>1.1006149647191443</v>
      </c>
      <c r="M161" s="22">
        <f>('2012-2022'!M161-'2012-2022'!Z$2)/'2012-2022'!Z$3</f>
        <v>-2.0590723128113879</v>
      </c>
      <c r="N161" s="22">
        <f>('2012-2022'!N161-'2012-2022'!AA$2)/'2012-2022'!AA$3</f>
        <v>0.25251367346645542</v>
      </c>
      <c r="O161" s="22">
        <f>('2012-2022'!P161-'2012-2022'!AC$2)/'2012-2022'!AC$3</f>
        <v>-0.61131693933466513</v>
      </c>
    </row>
    <row r="162" spans="1:15">
      <c r="A162" s="10" t="s">
        <v>19</v>
      </c>
      <c r="B162" s="11">
        <v>2018</v>
      </c>
      <c r="C162" s="14" t="s">
        <v>51</v>
      </c>
      <c r="D162" s="14" t="s">
        <v>54</v>
      </c>
      <c r="E162" s="22">
        <f>('2012-2022'!E162-'2012-2022'!R$2)/'2012-2022'!R$3</f>
        <v>-5.8935804134191555E-2</v>
      </c>
      <c r="F162" s="22">
        <f>('2012-2022'!F162-'2012-2022'!S$2)/'2012-2022'!S$3</f>
        <v>0.11610686183660417</v>
      </c>
      <c r="G162" s="22">
        <f>('2012-2022'!G162-'2012-2022'!T$2)/'2012-2022'!T$3</f>
        <v>-0.65731356694663012</v>
      </c>
      <c r="H162" s="22">
        <f>('2012-2022'!H162-'2012-2022'!U$2)/'2012-2022'!U$3</f>
        <v>-2.2486252459119455E-3</v>
      </c>
      <c r="I162" s="22">
        <f>('2012-2022'!I162-'2012-2022'!V$2)/'2012-2022'!V$3</f>
        <v>-6.7299412533243605E-2</v>
      </c>
      <c r="J162" s="22">
        <f>('2012-2022'!J162-'2012-2022'!W$2)/'2012-2022'!W$3</f>
        <v>-0.80429648995402137</v>
      </c>
      <c r="K162" s="22">
        <f>('2012-2022'!K162-'2012-2022'!X$2)/'2012-2022'!X$3</f>
        <v>-0.14280071683031959</v>
      </c>
      <c r="L162" s="22">
        <f>('2012-2022'!L162-'2012-2022'!Y$2)/'2012-2022'!Y$3</f>
        <v>1.1537446115090928</v>
      </c>
      <c r="M162" s="22">
        <f>('2012-2022'!M162-'2012-2022'!Z$2)/'2012-2022'!Z$3</f>
        <v>-2.1984709325196734</v>
      </c>
      <c r="N162" s="22">
        <f>('2012-2022'!N162-'2012-2022'!AA$2)/'2012-2022'!AA$3</f>
        <v>-0.35833670879376689</v>
      </c>
      <c r="O162" s="22">
        <f>('2012-2022'!P162-'2012-2022'!AC$2)/'2012-2022'!AC$3</f>
        <v>-0.64554733284523824</v>
      </c>
    </row>
    <row r="163" spans="1:15">
      <c r="A163" s="10" t="s">
        <v>19</v>
      </c>
      <c r="B163" s="11">
        <v>2019</v>
      </c>
      <c r="C163" s="14" t="s">
        <v>51</v>
      </c>
      <c r="D163" s="14" t="s">
        <v>54</v>
      </c>
      <c r="E163" s="22">
        <f>('2012-2022'!E163-'2012-2022'!R$2)/'2012-2022'!R$3</f>
        <v>1.3231221717618</v>
      </c>
      <c r="F163" s="22">
        <f>('2012-2022'!F163-'2012-2022'!S$2)/'2012-2022'!S$3</f>
        <v>0.66827117266613723</v>
      </c>
      <c r="G163" s="22">
        <f>('2012-2022'!G163-'2012-2022'!T$2)/'2012-2022'!T$3</f>
        <v>-0.70730092577617387</v>
      </c>
      <c r="H163" s="22">
        <f>('2012-2022'!H163-'2012-2022'!U$2)/'2012-2022'!U$3</f>
        <v>1.5598346982366775</v>
      </c>
      <c r="I163" s="22">
        <f>('2012-2022'!I163-'2012-2022'!V$2)/'2012-2022'!V$3</f>
        <v>1.094942138008983</v>
      </c>
      <c r="J163" s="22">
        <f>('2012-2022'!J163-'2012-2022'!W$2)/'2012-2022'!W$3</f>
        <v>1.8664973493407622</v>
      </c>
      <c r="K163" s="22">
        <f>('2012-2022'!K163-'2012-2022'!X$2)/'2012-2022'!X$3</f>
        <v>2.0006776792455221</v>
      </c>
      <c r="L163" s="22">
        <f>('2012-2022'!L163-'2012-2022'!Y$2)/'2012-2022'!Y$3</f>
        <v>0.29310802618002041</v>
      </c>
      <c r="M163" s="22">
        <f>('2012-2022'!M163-'2012-2022'!Z$2)/'2012-2022'!Z$3</f>
        <v>-0.24291880876350544</v>
      </c>
      <c r="N163" s="22">
        <f>('2012-2022'!N163-'2012-2022'!AA$2)/'2012-2022'!AA$3</f>
        <v>0.53287436036126945</v>
      </c>
      <c r="O163" s="22">
        <f>('2012-2022'!P163-'2012-2022'!AC$2)/'2012-2022'!AC$3</f>
        <v>-0.63884236374556624</v>
      </c>
    </row>
    <row r="164" spans="1:15">
      <c r="A164" s="10" t="s">
        <v>19</v>
      </c>
      <c r="B164" s="11">
        <v>2020</v>
      </c>
      <c r="C164" s="14" t="s">
        <v>51</v>
      </c>
      <c r="D164" s="14" t="s">
        <v>54</v>
      </c>
      <c r="E164" s="22">
        <f>('2012-2022'!E164-'2012-2022'!R$2)/'2012-2022'!R$3</f>
        <v>2.8834130310728838</v>
      </c>
      <c r="F164" s="22">
        <f>('2012-2022'!F164-'2012-2022'!S$2)/'2012-2022'!S$3</f>
        <v>0.86907985960727352</v>
      </c>
      <c r="G164" s="22">
        <f>('2012-2022'!G164-'2012-2022'!T$2)/'2012-2022'!T$3</f>
        <v>-0.62930935625274154</v>
      </c>
      <c r="H164" s="22">
        <f>('2012-2022'!H164-'2012-2022'!U$2)/'2012-2022'!U$3</f>
        <v>3.1897238488792206</v>
      </c>
      <c r="I164" s="22">
        <f>('2012-2022'!I164-'2012-2022'!V$2)/'2012-2022'!V$3</f>
        <v>2.5037874942088592</v>
      </c>
      <c r="J164" s="22">
        <f>('2012-2022'!J164-'2012-2022'!W$2)/'2012-2022'!W$3</f>
        <v>1.8469908147964167</v>
      </c>
      <c r="K164" s="22">
        <f>('2012-2022'!K164-'2012-2022'!X$2)/'2012-2022'!X$3</f>
        <v>2.6146845501750895</v>
      </c>
      <c r="L164" s="22">
        <f>('2012-2022'!L164-'2012-2022'!Y$2)/'2012-2022'!Y$3</f>
        <v>0.86291586761795813</v>
      </c>
      <c r="M164" s="22">
        <f>('2012-2022'!M164-'2012-2022'!Z$2)/'2012-2022'!Z$3</f>
        <v>-0.17129605115795954</v>
      </c>
      <c r="N164" s="22">
        <f>('2012-2022'!N164-'2012-2022'!AA$2)/'2012-2022'!AA$3</f>
        <v>0.14990693240911998</v>
      </c>
      <c r="O164" s="22">
        <f>('2012-2022'!P164-'2012-2022'!AC$2)/'2012-2022'!AC$3</f>
        <v>-0.70082158844139952</v>
      </c>
    </row>
    <row r="165" spans="1:15">
      <c r="A165" s="10" t="s">
        <v>19</v>
      </c>
      <c r="B165" s="11">
        <v>2021</v>
      </c>
      <c r="C165" s="14" t="s">
        <v>51</v>
      </c>
      <c r="D165" s="14" t="s">
        <v>54</v>
      </c>
      <c r="E165" s="22">
        <f>('2012-2022'!E165-'2012-2022'!R$2)/'2012-2022'!R$3</f>
        <v>1.3040265595571081</v>
      </c>
      <c r="F165" s="22">
        <f>('2012-2022'!F165-'2012-2022'!S$2)/'2012-2022'!S$3</f>
        <v>0.56198027103989334</v>
      </c>
      <c r="G165" s="22">
        <f>('2012-2022'!G165-'2012-2022'!T$2)/'2012-2022'!T$3</f>
        <v>-0.3961483492117544</v>
      </c>
      <c r="H165" s="22">
        <f>('2012-2022'!H165-'2012-2022'!U$2)/'2012-2022'!U$3</f>
        <v>1.3330796551370376</v>
      </c>
      <c r="I165" s="22">
        <f>('2012-2022'!I165-'2012-2022'!V$2)/'2012-2022'!V$3</f>
        <v>1.2258721988994099</v>
      </c>
      <c r="J165" s="22">
        <f>('2012-2022'!J165-'2012-2022'!W$2)/'2012-2022'!W$3</f>
        <v>1.5939152241697678</v>
      </c>
      <c r="K165" s="22">
        <f>('2012-2022'!K165-'2012-2022'!X$2)/'2012-2022'!X$3</f>
        <v>2.0436533120094453</v>
      </c>
      <c r="L165" s="22">
        <f>('2012-2022'!L165-'2012-2022'!Y$2)/'2012-2022'!Y$3</f>
        <v>0.28722884342532667</v>
      </c>
      <c r="M165" s="22">
        <f>('2012-2022'!M165-'2012-2022'!Z$2)/'2012-2022'!Z$3</f>
        <v>-0.15187195663340888</v>
      </c>
      <c r="N165" s="22">
        <f>('2012-2022'!N165-'2012-2022'!AA$2)/'2012-2022'!AA$3</f>
        <v>9.2925733637287719E-2</v>
      </c>
      <c r="O165" s="22">
        <f>('2012-2022'!P165-'2012-2022'!AC$2)/'2012-2022'!AC$3</f>
        <v>-0.77412289748076313</v>
      </c>
    </row>
    <row r="166" spans="1:15">
      <c r="A166" s="10" t="s">
        <v>19</v>
      </c>
      <c r="B166" s="11">
        <v>2022</v>
      </c>
      <c r="C166" s="14" t="s">
        <v>51</v>
      </c>
      <c r="D166" s="14" t="s">
        <v>54</v>
      </c>
      <c r="E166" s="22">
        <f>('2012-2022'!E166-'2012-2022'!R$2)/'2012-2022'!R$3</f>
        <v>2.1290181883010439</v>
      </c>
      <c r="F166" s="22">
        <f>('2012-2022'!F166-'2012-2022'!S$2)/'2012-2022'!S$3</f>
        <v>0.27411915135859627</v>
      </c>
      <c r="G166" s="22">
        <f>('2012-2022'!G166-'2012-2022'!T$2)/'2012-2022'!T$3</f>
        <v>-0.23276321279426548</v>
      </c>
      <c r="H166" s="22">
        <f>('2012-2022'!H166-'2012-2022'!U$2)/'2012-2022'!U$3</f>
        <v>1.7795970195669431</v>
      </c>
      <c r="I166" s="22">
        <f>('2012-2022'!I166-'2012-2022'!V$2)/'2012-2022'!V$3</f>
        <v>2.2650395577487967</v>
      </c>
      <c r="J166" s="22">
        <f>('2012-2022'!J166-'2012-2022'!W$2)/'2012-2022'!W$3</f>
        <v>2.1929437240947411</v>
      </c>
      <c r="K166" s="22">
        <f>('2012-2022'!K166-'2012-2022'!X$2)/'2012-2022'!X$3</f>
        <v>2.8743047705112055</v>
      </c>
      <c r="L166" s="22">
        <f>('2012-2022'!L166-'2012-2022'!Y$2)/'2012-2022'!Y$3</f>
        <v>0.49743136346519495</v>
      </c>
      <c r="M166" s="22">
        <f>('2012-2022'!M166-'2012-2022'!Z$2)/'2012-2022'!Z$3</f>
        <v>0.3030028741069285</v>
      </c>
      <c r="N166" s="22">
        <f>('2012-2022'!N166-'2012-2022'!AA$2)/'2012-2022'!AA$3</f>
        <v>0.53346375747696484</v>
      </c>
      <c r="O166" s="22">
        <f>('2012-2022'!P166-'2012-2022'!AC$2)/'2012-2022'!AC$3</f>
        <v>-0.99038995843753763</v>
      </c>
    </row>
    <row r="167" spans="1:15">
      <c r="A167" s="10" t="s">
        <v>20</v>
      </c>
      <c r="B167" s="11">
        <v>2012</v>
      </c>
      <c r="C167" s="14" t="s">
        <v>55</v>
      </c>
      <c r="D167" s="14" t="s">
        <v>54</v>
      </c>
      <c r="E167" s="22">
        <f>('2012-2022'!E167-'2012-2022'!R$2)/'2012-2022'!R$3</f>
        <v>-0.21652027276271277</v>
      </c>
      <c r="F167" s="22">
        <f>('2012-2022'!F167-'2012-2022'!S$2)/'2012-2022'!S$3</f>
        <v>-0.50068320641093189</v>
      </c>
      <c r="G167" s="22">
        <f>('2012-2022'!G167-'2012-2022'!T$2)/'2012-2022'!T$3</f>
        <v>1.5012491955405984</v>
      </c>
      <c r="H167" s="22">
        <f>('2012-2022'!H167-'2012-2022'!U$2)/'2012-2022'!U$3</f>
        <v>-0.60981176777028678</v>
      </c>
      <c r="I167" s="22">
        <f>('2012-2022'!I167-'2012-2022'!V$2)/'2012-2022'!V$3</f>
        <v>1.5421908728957287E-2</v>
      </c>
      <c r="J167" s="22">
        <f>('2012-2022'!J167-'2012-2022'!W$2)/'2012-2022'!W$3</f>
        <v>0.21659853887495395</v>
      </c>
      <c r="K167" s="22">
        <f>('2012-2022'!K167-'2012-2022'!X$2)/'2012-2022'!X$3</f>
        <v>0.14325243376652527</v>
      </c>
      <c r="L167" s="22">
        <f>('2012-2022'!L167-'2012-2022'!Y$2)/'2012-2022'!Y$3</f>
        <v>-6.2348682635892459E-2</v>
      </c>
      <c r="M167" s="22">
        <f>('2012-2022'!M167-'2012-2022'!Z$2)/'2012-2022'!Z$3</f>
        <v>1.6235311602896645</v>
      </c>
      <c r="N167" s="22">
        <f>('2012-2022'!N167-'2012-2022'!AA$2)/'2012-2022'!AA$3</f>
        <v>-1.5157146046983705</v>
      </c>
      <c r="O167" s="22">
        <f>('2012-2022'!P167-'2012-2022'!AC$2)/'2012-2022'!AC$3</f>
        <v>3.3338206054053146E-2</v>
      </c>
    </row>
    <row r="168" spans="1:15">
      <c r="A168" s="10" t="s">
        <v>20</v>
      </c>
      <c r="B168" s="11">
        <v>2013</v>
      </c>
      <c r="C168" s="14" t="s">
        <v>55</v>
      </c>
      <c r="D168" s="14" t="s">
        <v>54</v>
      </c>
      <c r="E168" s="22">
        <f>('2012-2022'!E168-'2012-2022'!R$2)/'2012-2022'!R$3</f>
        <v>-6.4949810177685197E-2</v>
      </c>
      <c r="F168" s="22">
        <f>('2012-2022'!F168-'2012-2022'!S$2)/'2012-2022'!S$3</f>
        <v>0.11658040356773143</v>
      </c>
      <c r="G168" s="22">
        <f>('2012-2022'!G168-'2012-2022'!T$2)/'2012-2022'!T$3</f>
        <v>1.4471894701566927</v>
      </c>
      <c r="H168" s="22">
        <f>('2012-2022'!H168-'2012-2022'!U$2)/'2012-2022'!U$3</f>
        <v>-0.20512844809247913</v>
      </c>
      <c r="I168" s="22">
        <f>('2012-2022'!I168-'2012-2022'!V$2)/'2012-2022'!V$3</f>
        <v>-1.0469801036560629E-2</v>
      </c>
      <c r="J168" s="22">
        <f>('2012-2022'!J168-'2012-2022'!W$2)/'2012-2022'!W$3</f>
        <v>3.2139466752583938E-2</v>
      </c>
      <c r="K168" s="22">
        <f>('2012-2022'!K168-'2012-2022'!X$2)/'2012-2022'!X$3</f>
        <v>-6.8284446846608018E-2</v>
      </c>
      <c r="L168" s="22">
        <f>('2012-2022'!L168-'2012-2022'!Y$2)/'2012-2022'!Y$3</f>
        <v>-0.31538821928908589</v>
      </c>
      <c r="M168" s="22">
        <f>('2012-2022'!M168-'2012-2022'!Z$2)/'2012-2022'!Z$3</f>
        <v>1.3783332803979709</v>
      </c>
      <c r="N168" s="22">
        <f>('2012-2022'!N168-'2012-2022'!AA$2)/'2012-2022'!AA$3</f>
        <v>-1.1649172928616589</v>
      </c>
      <c r="O168" s="22">
        <f>('2012-2022'!P168-'2012-2022'!AC$2)/'2012-2022'!AC$3</f>
        <v>9.4431472652582851E-2</v>
      </c>
    </row>
    <row r="169" spans="1:15">
      <c r="A169" s="10" t="s">
        <v>20</v>
      </c>
      <c r="B169" s="11">
        <v>2014</v>
      </c>
      <c r="C169" s="14" t="s">
        <v>55</v>
      </c>
      <c r="D169" s="14" t="s">
        <v>54</v>
      </c>
      <c r="E169" s="22">
        <f>('2012-2022'!E169-'2012-2022'!R$2)/'2012-2022'!R$3</f>
        <v>-9.7522836883350977E-2</v>
      </c>
      <c r="F169" s="22">
        <f>('2012-2022'!F169-'2012-2022'!S$2)/'2012-2022'!S$3</f>
        <v>-0.3771389404819292</v>
      </c>
      <c r="G169" s="22">
        <f>('2012-2022'!G169-'2012-2022'!T$2)/'2012-2022'!T$3</f>
        <v>1.6981191013952801</v>
      </c>
      <c r="H169" s="22">
        <f>('2012-2022'!H169-'2012-2022'!U$2)/'2012-2022'!U$3</f>
        <v>-0.45069874699447821</v>
      </c>
      <c r="I169" s="22">
        <f>('2012-2022'!I169-'2012-2022'!V$2)/'2012-2022'!V$3</f>
        <v>6.6163014174837692E-2</v>
      </c>
      <c r="J169" s="22">
        <f>('2012-2022'!J169-'2012-2022'!W$2)/'2012-2022'!W$3</f>
        <v>0.25196082832192684</v>
      </c>
      <c r="K169" s="22">
        <f>('2012-2022'!K169-'2012-2022'!X$2)/'2012-2022'!X$3</f>
        <v>-0.21911941008440575</v>
      </c>
      <c r="L169" s="22">
        <f>('2012-2022'!L169-'2012-2022'!Y$2)/'2012-2022'!Y$3</f>
        <v>-0.21463714329458744</v>
      </c>
      <c r="M169" s="22">
        <f>('2012-2022'!M169-'2012-2022'!Z$2)/'2012-2022'!Z$3</f>
        <v>1.5975305241251283</v>
      </c>
      <c r="N169" s="22">
        <f>('2012-2022'!N169-'2012-2022'!AA$2)/'2012-2022'!AA$3</f>
        <v>-0.83624317046956009</v>
      </c>
      <c r="O169" s="22">
        <f>('2012-2022'!P169-'2012-2022'!AC$2)/'2012-2022'!AC$3</f>
        <v>4.8536027054837692E-2</v>
      </c>
    </row>
    <row r="170" spans="1:15">
      <c r="A170" s="10" t="s">
        <v>20</v>
      </c>
      <c r="B170" s="11">
        <v>2015</v>
      </c>
      <c r="C170" s="14" t="s">
        <v>55</v>
      </c>
      <c r="D170" s="14" t="s">
        <v>54</v>
      </c>
      <c r="E170" s="22">
        <f>('2012-2022'!E170-'2012-2022'!R$2)/'2012-2022'!R$3</f>
        <v>-0.24802764016167037</v>
      </c>
      <c r="F170" s="22">
        <f>('2012-2022'!F170-'2012-2022'!S$2)/'2012-2022'!S$3</f>
        <v>-7.9903152700641619E-2</v>
      </c>
      <c r="G170" s="22">
        <f>('2012-2022'!G170-'2012-2022'!T$2)/'2012-2022'!T$3</f>
        <v>0.56436972296760213</v>
      </c>
      <c r="H170" s="22">
        <f>('2012-2022'!H170-'2012-2022'!U$2)/'2012-2022'!U$3</f>
        <v>-0.20721294034465626</v>
      </c>
      <c r="I170" s="22">
        <f>('2012-2022'!I170-'2012-2022'!V$2)/'2012-2022'!V$3</f>
        <v>-0.29255223146268222</v>
      </c>
      <c r="J170" s="22">
        <f>('2012-2022'!J170-'2012-2022'!W$2)/'2012-2022'!W$3</f>
        <v>0.39286964694050253</v>
      </c>
      <c r="K170" s="22">
        <f>('2012-2022'!K170-'2012-2022'!X$2)/'2012-2022'!X$3</f>
        <v>8.121422996718787E-3</v>
      </c>
      <c r="L170" s="22">
        <f>('2012-2022'!L170-'2012-2022'!Y$2)/'2012-2022'!Y$3</f>
        <v>0.11954840332841904</v>
      </c>
      <c r="M170" s="22">
        <f>('2012-2022'!M170-'2012-2022'!Z$2)/'2012-2022'!Z$3</f>
        <v>1.5329553404616743</v>
      </c>
      <c r="N170" s="22">
        <f>('2012-2022'!N170-'2012-2022'!AA$2)/'2012-2022'!AA$3</f>
        <v>-0.74005650402326661</v>
      </c>
      <c r="O170" s="22">
        <f>('2012-2022'!P170-'2012-2022'!AC$2)/'2012-2022'!AC$3</f>
        <v>-1.8600663090928921E-2</v>
      </c>
    </row>
    <row r="171" spans="1:15">
      <c r="A171" s="10" t="s">
        <v>20</v>
      </c>
      <c r="B171" s="11">
        <v>2016</v>
      </c>
      <c r="C171" s="14" t="s">
        <v>55</v>
      </c>
      <c r="D171" s="14" t="s">
        <v>54</v>
      </c>
      <c r="E171" s="22">
        <f>('2012-2022'!E171-'2012-2022'!R$2)/'2012-2022'!R$3</f>
        <v>0.34264166129417462</v>
      </c>
      <c r="F171" s="22">
        <f>('2012-2022'!F171-'2012-2022'!S$2)/'2012-2022'!S$3</f>
        <v>-9.471558002301933E-2</v>
      </c>
      <c r="G171" s="22">
        <f>('2012-2022'!G171-'2012-2022'!T$2)/'2012-2022'!T$3</f>
        <v>1.5762189727271656</v>
      </c>
      <c r="H171" s="22">
        <f>('2012-2022'!H171-'2012-2022'!U$2)/'2012-2022'!U$3</f>
        <v>3.9046322298910641E-2</v>
      </c>
      <c r="I171" s="22">
        <f>('2012-2022'!I171-'2012-2022'!V$2)/'2012-2022'!V$3</f>
        <v>0.43662945743796278</v>
      </c>
      <c r="J171" s="22">
        <f>('2012-2022'!J171-'2012-2022'!W$2)/'2012-2022'!W$3</f>
        <v>0.76573134766802375</v>
      </c>
      <c r="K171" s="22">
        <f>('2012-2022'!K171-'2012-2022'!X$2)/'2012-2022'!X$3</f>
        <v>9.5472098209174031E-2</v>
      </c>
      <c r="L171" s="22">
        <f>('2012-2022'!L171-'2012-2022'!Y$2)/'2012-2022'!Y$3</f>
        <v>0.4525249293875932</v>
      </c>
      <c r="M171" s="22">
        <f>('2012-2022'!M171-'2012-2022'!Z$2)/'2012-2022'!Z$3</f>
        <v>1.5911276086658026</v>
      </c>
      <c r="N171" s="22">
        <f>('2012-2022'!N171-'2012-2022'!AA$2)/'2012-2022'!AA$3</f>
        <v>-0.33082545990817819</v>
      </c>
      <c r="O171" s="22">
        <f>('2012-2022'!P171-'2012-2022'!AC$2)/'2012-2022'!AC$3</f>
        <v>-2.0116987854881942E-2</v>
      </c>
    </row>
    <row r="172" spans="1:15">
      <c r="A172" s="10" t="s">
        <v>20</v>
      </c>
      <c r="B172" s="11">
        <v>2017</v>
      </c>
      <c r="C172" s="14" t="s">
        <v>55</v>
      </c>
      <c r="D172" s="14" t="s">
        <v>54</v>
      </c>
      <c r="E172" s="22">
        <f>('2012-2022'!E172-'2012-2022'!R$2)/'2012-2022'!R$3</f>
        <v>-2.0382031800369411E-2</v>
      </c>
      <c r="F172" s="22">
        <f>('2012-2022'!F172-'2012-2022'!S$2)/'2012-2022'!S$3</f>
        <v>-1.5360274551615427</v>
      </c>
      <c r="G172" s="22">
        <f>('2012-2022'!G172-'2012-2022'!T$2)/'2012-2022'!T$3</f>
        <v>2.9477800281175508</v>
      </c>
      <c r="H172" s="22">
        <f>('2012-2022'!H172-'2012-2022'!U$2)/'2012-2022'!U$3</f>
        <v>-1.0647412577076212</v>
      </c>
      <c r="I172" s="22">
        <f>('2012-2022'!I172-'2012-2022'!V$2)/'2012-2022'!V$3</f>
        <v>0.4405171083498079</v>
      </c>
      <c r="J172" s="22">
        <f>('2012-2022'!J172-'2012-2022'!W$2)/'2012-2022'!W$3</f>
        <v>8.3454876301108719E-2</v>
      </c>
      <c r="K172" s="22">
        <f>('2012-2022'!K172-'2012-2022'!X$2)/'2012-2022'!X$3</f>
        <v>-0.84113211094802764</v>
      </c>
      <c r="L172" s="22">
        <f>('2012-2022'!L172-'2012-2022'!Y$2)/'2012-2022'!Y$3</f>
        <v>0.34567670392129307</v>
      </c>
      <c r="M172" s="22">
        <f>('2012-2022'!M172-'2012-2022'!Z$2)/'2012-2022'!Z$3</f>
        <v>6.3446115855395988E-2</v>
      </c>
      <c r="N172" s="22">
        <f>('2012-2022'!N172-'2012-2022'!AA$2)/'2012-2022'!AA$3</f>
        <v>1.4934124623529941</v>
      </c>
      <c r="O172" s="22">
        <f>('2012-2022'!P172-'2012-2022'!AC$2)/'2012-2022'!AC$3</f>
        <v>-0.13229610448526696</v>
      </c>
    </row>
    <row r="173" spans="1:15">
      <c r="A173" s="10" t="s">
        <v>20</v>
      </c>
      <c r="B173" s="11">
        <v>2018</v>
      </c>
      <c r="C173" s="14" t="s">
        <v>55</v>
      </c>
      <c r="D173" s="14" t="s">
        <v>54</v>
      </c>
      <c r="E173" s="22">
        <f>('2012-2022'!E173-'2012-2022'!R$2)/'2012-2022'!R$3</f>
        <v>-0.9468092380870583</v>
      </c>
      <c r="F173" s="22">
        <f>('2012-2022'!F173-'2012-2022'!S$2)/'2012-2022'!S$3</f>
        <v>-1.8944026714682867</v>
      </c>
      <c r="G173" s="22">
        <f>('2012-2022'!G173-'2012-2022'!T$2)/'2012-2022'!T$3</f>
        <v>2.0381760551455432</v>
      </c>
      <c r="H173" s="22">
        <f>('2012-2022'!H173-'2012-2022'!U$2)/'2012-2022'!U$3</f>
        <v>-1.3981489758438248</v>
      </c>
      <c r="I173" s="22">
        <f>('2012-2022'!I173-'2012-2022'!V$2)/'2012-2022'!V$3</f>
        <v>-0.71445453799525027</v>
      </c>
      <c r="J173" s="22">
        <f>('2012-2022'!J173-'2012-2022'!W$2)/'2012-2022'!W$3</f>
        <v>-0.41661560192200969</v>
      </c>
      <c r="K173" s="22">
        <f>('2012-2022'!K173-'2012-2022'!X$2)/'2012-2022'!X$3</f>
        <v>-0.92271995382860295</v>
      </c>
      <c r="L173" s="22">
        <f>('2012-2022'!L173-'2012-2022'!Y$2)/'2012-2022'!Y$3</f>
        <v>-0.12987222284301919</v>
      </c>
      <c r="M173" s="22">
        <f>('2012-2022'!M173-'2012-2022'!Z$2)/'2012-2022'!Z$3</f>
        <v>-0.24073574696515343</v>
      </c>
      <c r="N173" s="22">
        <f>('2012-2022'!N173-'2012-2022'!AA$2)/'2012-2022'!AA$3</f>
        <v>1.4719845740882278</v>
      </c>
      <c r="O173" s="22">
        <f>('2012-2022'!P173-'2012-2022'!AC$2)/'2012-2022'!AC$3</f>
        <v>-8.1535872655769531E-2</v>
      </c>
    </row>
    <row r="174" spans="1:15">
      <c r="A174" s="10" t="s">
        <v>20</v>
      </c>
      <c r="B174" s="11">
        <v>2019</v>
      </c>
      <c r="C174" s="14" t="s">
        <v>55</v>
      </c>
      <c r="D174" s="14" t="s">
        <v>54</v>
      </c>
      <c r="E174" s="22">
        <f>('2012-2022'!E174-'2012-2022'!R$2)/'2012-2022'!R$3</f>
        <v>-0.74937388096712076</v>
      </c>
      <c r="F174" s="22">
        <f>('2012-2022'!F174-'2012-2022'!S$2)/'2012-2022'!S$3</f>
        <v>-1.3005663153984699</v>
      </c>
      <c r="G174" s="22">
        <f>('2012-2022'!G174-'2012-2022'!T$2)/'2012-2022'!T$3</f>
        <v>2.5100423036011756</v>
      </c>
      <c r="H174" s="22">
        <f>('2012-2022'!H174-'2012-2022'!U$2)/'2012-2022'!U$3</f>
        <v>-1.1580755557054143</v>
      </c>
      <c r="I174" s="22">
        <f>('2012-2022'!I174-'2012-2022'!V$2)/'2012-2022'!V$3</f>
        <v>-0.55357952999937232</v>
      </c>
      <c r="J174" s="22">
        <f>('2012-2022'!J174-'2012-2022'!W$2)/'2012-2022'!W$3</f>
        <v>-8.5890816207959977E-2</v>
      </c>
      <c r="K174" s="22">
        <f>('2012-2022'!K174-'2012-2022'!X$2)/'2012-2022'!X$3</f>
        <v>-1.1162288966271792</v>
      </c>
      <c r="L174" s="22">
        <f>('2012-2022'!L174-'2012-2022'!Y$2)/'2012-2022'!Y$3</f>
        <v>0.67912894819798031</v>
      </c>
      <c r="M174" s="22">
        <f>('2012-2022'!M174-'2012-2022'!Z$2)/'2012-2022'!Z$3</f>
        <v>1.420114031873805</v>
      </c>
      <c r="N174" s="22">
        <f>('2012-2022'!N174-'2012-2022'!AA$2)/'2012-2022'!AA$3</f>
        <v>2.6404106487062124</v>
      </c>
      <c r="O174" s="22">
        <f>('2012-2022'!P174-'2012-2022'!AC$2)/'2012-2022'!AC$3</f>
        <v>7.3590355526936694E-4</v>
      </c>
    </row>
    <row r="175" spans="1:15">
      <c r="A175" s="10" t="s">
        <v>20</v>
      </c>
      <c r="B175" s="11">
        <v>2020</v>
      </c>
      <c r="C175" s="14" t="s">
        <v>55</v>
      </c>
      <c r="D175" s="14" t="s">
        <v>54</v>
      </c>
      <c r="E175" s="22">
        <f>('2012-2022'!E175-'2012-2022'!R$2)/'2012-2022'!R$3</f>
        <v>-1.3880675952083295</v>
      </c>
      <c r="F175" s="22">
        <f>('2012-2022'!F175-'2012-2022'!S$2)/'2012-2022'!S$3</f>
        <v>-1.7144296895483568</v>
      </c>
      <c r="G175" s="22">
        <f>('2012-2022'!G175-'2012-2022'!T$2)/'2012-2022'!T$3</f>
        <v>1.0021879915268608</v>
      </c>
      <c r="H175" s="22">
        <f>('2012-2022'!H175-'2012-2022'!U$2)/'2012-2022'!U$3</f>
        <v>-1.4221521442181306</v>
      </c>
      <c r="I175" s="22">
        <f>('2012-2022'!I175-'2012-2022'!V$2)/'2012-2022'!V$3</f>
        <v>-1.3316992118298188</v>
      </c>
      <c r="J175" s="22">
        <f>('2012-2022'!J175-'2012-2022'!W$2)/'2012-2022'!W$3</f>
        <v>0.75070971515532481</v>
      </c>
      <c r="K175" s="22">
        <f>('2012-2022'!K175-'2012-2022'!X$2)/'2012-2022'!X$3</f>
        <v>-1.2299715421030293</v>
      </c>
      <c r="L175" s="22">
        <f>('2012-2022'!L175-'2012-2022'!Y$2)/'2012-2022'!Y$3</f>
        <v>1.6744295462069205</v>
      </c>
      <c r="M175" s="22">
        <f>('2012-2022'!M175-'2012-2022'!Z$2)/'2012-2022'!Z$3</f>
        <v>-0.27774742932858265</v>
      </c>
      <c r="N175" s="22">
        <f>('2012-2022'!N175-'2012-2022'!AA$2)/'2012-2022'!AA$3</f>
        <v>0.42390688193768722</v>
      </c>
      <c r="O175" s="22">
        <f>('2012-2022'!P175-'2012-2022'!AC$2)/'2012-2022'!AC$3</f>
        <v>-0.17809688193383238</v>
      </c>
    </row>
    <row r="176" spans="1:15">
      <c r="A176" s="10" t="s">
        <v>20</v>
      </c>
      <c r="B176" s="11">
        <v>2021</v>
      </c>
      <c r="C176" s="14" t="s">
        <v>55</v>
      </c>
      <c r="D176" s="14" t="s">
        <v>54</v>
      </c>
      <c r="E176" s="22">
        <f>('2012-2022'!E176-'2012-2022'!R$2)/'2012-2022'!R$3</f>
        <v>-1.4920421314469663</v>
      </c>
      <c r="F176" s="22">
        <f>('2012-2022'!F176-'2012-2022'!S$2)/'2012-2022'!S$3</f>
        <v>-1.9551968673292759</v>
      </c>
      <c r="G176" s="22">
        <f>('2012-2022'!G176-'2012-2022'!T$2)/'2012-2022'!T$3</f>
        <v>2.4567231562769924</v>
      </c>
      <c r="H176" s="22">
        <f>('2012-2022'!H176-'2012-2022'!U$2)/'2012-2022'!U$3</f>
        <v>-1.5079083057399112</v>
      </c>
      <c r="I176" s="22">
        <f>('2012-2022'!I176-'2012-2022'!V$2)/'2012-2022'!V$3</f>
        <v>-1.4372730134391618</v>
      </c>
      <c r="J176" s="22">
        <f>('2012-2022'!J176-'2012-2022'!W$2)/'2012-2022'!W$3</f>
        <v>0.75831432197154813</v>
      </c>
      <c r="K176" s="22">
        <f>('2012-2022'!K176-'2012-2022'!X$2)/'2012-2022'!X$3</f>
        <v>-1.4150731597706432</v>
      </c>
      <c r="L176" s="22">
        <f>('2012-2022'!L176-'2012-2022'!Y$2)/'2012-2022'!Y$3</f>
        <v>0.97468498048976981</v>
      </c>
      <c r="M176" s="22">
        <f>('2012-2022'!M176-'2012-2022'!Z$2)/'2012-2022'!Z$3</f>
        <v>0.17407904861501494</v>
      </c>
      <c r="N176" s="22">
        <f>('2012-2022'!N176-'2012-2022'!AA$2)/'2012-2022'!AA$3</f>
        <v>1.7242830045481818</v>
      </c>
      <c r="O176" s="22">
        <f>('2012-2022'!P176-'2012-2022'!AC$2)/'2012-2022'!AC$3</f>
        <v>-0.19304489468439104</v>
      </c>
    </row>
    <row r="177" spans="1:15">
      <c r="A177" s="10" t="s">
        <v>20</v>
      </c>
      <c r="B177" s="11">
        <v>2022</v>
      </c>
      <c r="C177" s="14" t="s">
        <v>55</v>
      </c>
      <c r="D177" s="14" t="s">
        <v>54</v>
      </c>
      <c r="E177" s="22">
        <f>('2012-2022'!E177-'2012-2022'!R$2)/'2012-2022'!R$3</f>
        <v>-1.4900989913011071</v>
      </c>
      <c r="F177" s="22">
        <f>('2012-2022'!F177-'2012-2022'!S$2)/'2012-2022'!S$3</f>
        <v>-1.3214180069788324</v>
      </c>
      <c r="G177" s="22">
        <f>('2012-2022'!G177-'2012-2022'!T$2)/'2012-2022'!T$3</f>
        <v>3.7967719082593008</v>
      </c>
      <c r="H177" s="22">
        <f>('2012-2022'!H177-'2012-2022'!U$2)/'2012-2022'!U$3</f>
        <v>-1.4449079460721037</v>
      </c>
      <c r="I177" s="22">
        <f>('2012-2022'!I177-'2012-2022'!V$2)/'2012-2022'!V$3</f>
        <v>-1.463941046971595</v>
      </c>
      <c r="J177" s="22">
        <f>('2012-2022'!J177-'2012-2022'!W$2)/'2012-2022'!W$3</f>
        <v>-0.31284699414835848</v>
      </c>
      <c r="K177" s="22">
        <f>('2012-2022'!K177-'2012-2022'!X$2)/'2012-2022'!X$3</f>
        <v>-1.4539477044572826</v>
      </c>
      <c r="L177" s="22">
        <f>('2012-2022'!L177-'2012-2022'!Y$2)/'2012-2022'!Y$3</f>
        <v>0.39537553019834215</v>
      </c>
      <c r="M177" s="22">
        <f>('2012-2022'!M177-'2012-2022'!Z$2)/'2012-2022'!Z$3</f>
        <v>1.495423373832121</v>
      </c>
      <c r="N177" s="22">
        <f>('2012-2022'!N177-'2012-2022'!AA$2)/'2012-2022'!AA$3</f>
        <v>1.7068653420729849</v>
      </c>
      <c r="O177" s="22">
        <f>('2012-2022'!P177-'2012-2022'!AC$2)/'2012-2022'!AC$3</f>
        <v>-0.17618528935975838</v>
      </c>
    </row>
    <row r="178" spans="1:15">
      <c r="A178" s="10" t="s">
        <v>23</v>
      </c>
      <c r="B178" s="11">
        <v>2012</v>
      </c>
      <c r="C178" s="14" t="s">
        <v>55</v>
      </c>
      <c r="D178" s="14" t="s">
        <v>54</v>
      </c>
      <c r="E178" s="22">
        <f>('2012-2022'!E178-'2012-2022'!R$2)/'2012-2022'!R$3</f>
        <v>-3.3462867861358554E-2</v>
      </c>
      <c r="F178" s="22">
        <f>('2012-2022'!F178-'2012-2022'!S$2)/'2012-2022'!S$3</f>
        <v>0.7235306622560842</v>
      </c>
      <c r="G178" s="22">
        <f>('2012-2022'!G178-'2012-2022'!T$2)/'2012-2022'!T$3</f>
        <v>0.47614164485304417</v>
      </c>
      <c r="H178" s="22">
        <f>('2012-2022'!H178-'2012-2022'!U$2)/'2012-2022'!U$3</f>
        <v>0.20307402020269405</v>
      </c>
      <c r="I178" s="22">
        <f>('2012-2022'!I178-'2012-2022'!V$2)/'2012-2022'!V$3</f>
        <v>-0.18589605942473775</v>
      </c>
      <c r="J178" s="22">
        <f>('2012-2022'!J178-'2012-2022'!W$2)/'2012-2022'!W$3</f>
        <v>-0.14497259315741207</v>
      </c>
      <c r="K178" s="22">
        <f>('2012-2022'!K178-'2012-2022'!X$2)/'2012-2022'!X$3</f>
        <v>-0.51110130173224178</v>
      </c>
      <c r="L178" s="22">
        <f>('2012-2022'!L178-'2012-2022'!Y$2)/'2012-2022'!Y$3</f>
        <v>6.0881288757512877E-2</v>
      </c>
      <c r="M178" s="22">
        <f>('2012-2022'!M178-'2012-2022'!Z$2)/'2012-2022'!Z$3</f>
        <v>0.51671992428392166</v>
      </c>
      <c r="N178" s="22">
        <f>('2012-2022'!N178-'2012-2022'!AA$2)/'2012-2022'!AA$3</f>
        <v>-1.6756000946080054</v>
      </c>
      <c r="O178" s="22">
        <f>('2012-2022'!P178-'2012-2022'!AC$2)/'2012-2022'!AC$3</f>
        <v>0.18563788546090659</v>
      </c>
    </row>
    <row r="179" spans="1:15">
      <c r="A179" s="10" t="s">
        <v>23</v>
      </c>
      <c r="B179" s="11">
        <v>2013</v>
      </c>
      <c r="C179" s="14" t="s">
        <v>55</v>
      </c>
      <c r="D179" s="14" t="s">
        <v>54</v>
      </c>
      <c r="E179" s="22">
        <f>('2012-2022'!E179-'2012-2022'!R$2)/'2012-2022'!R$3</f>
        <v>-0.18115910222310722</v>
      </c>
      <c r="F179" s="22">
        <f>('2012-2022'!F179-'2012-2022'!S$2)/'2012-2022'!S$3</f>
        <v>-0.19736671180525725</v>
      </c>
      <c r="G179" s="22">
        <f>('2012-2022'!G179-'2012-2022'!T$2)/'2012-2022'!T$3</f>
        <v>1.0464975673521364</v>
      </c>
      <c r="H179" s="22">
        <f>('2012-2022'!H179-'2012-2022'!U$2)/'2012-2022'!U$3</f>
        <v>-0.38221658438984896</v>
      </c>
      <c r="I179" s="22">
        <f>('2012-2022'!I179-'2012-2022'!V$2)/'2012-2022'!V$3</f>
        <v>-7.3568414760532164E-2</v>
      </c>
      <c r="J179" s="22">
        <f>('2012-2022'!J179-'2012-2022'!W$2)/'2012-2022'!W$3</f>
        <v>-3.346198534972035E-2</v>
      </c>
      <c r="K179" s="22">
        <f>('2012-2022'!K179-'2012-2022'!X$2)/'2012-2022'!X$3</f>
        <v>-0.15142200170878944</v>
      </c>
      <c r="L179" s="22">
        <f>('2012-2022'!L179-'2012-2022'!Y$2)/'2012-2022'!Y$3</f>
        <v>-0.23565792459396978</v>
      </c>
      <c r="M179" s="22">
        <f>('2012-2022'!M179-'2012-2022'!Z$2)/'2012-2022'!Z$3</f>
        <v>0.15441468828914473</v>
      </c>
      <c r="N179" s="22">
        <f>('2012-2022'!N179-'2012-2022'!AA$2)/'2012-2022'!AA$3</f>
        <v>-1.7838002406130524</v>
      </c>
      <c r="O179" s="22">
        <f>('2012-2022'!P179-'2012-2022'!AC$2)/'2012-2022'!AC$3</f>
        <v>3.1434156758798189E-2</v>
      </c>
    </row>
    <row r="180" spans="1:15">
      <c r="A180" s="10" t="s">
        <v>23</v>
      </c>
      <c r="B180" s="11">
        <v>2014</v>
      </c>
      <c r="C180" s="14" t="s">
        <v>55</v>
      </c>
      <c r="D180" s="14" t="s">
        <v>54</v>
      </c>
      <c r="E180" s="22">
        <f>('2012-2022'!E180-'2012-2022'!R$2)/'2012-2022'!R$3</f>
        <v>0.28970275810933338</v>
      </c>
      <c r="F180" s="22">
        <f>('2012-2022'!F180-'2012-2022'!S$2)/'2012-2022'!S$3</f>
        <v>1.6118267075246291</v>
      </c>
      <c r="G180" s="22">
        <f>('2012-2022'!G180-'2012-2022'!T$2)/'2012-2022'!T$3</f>
        <v>0.25068108181819998</v>
      </c>
      <c r="H180" s="22">
        <f>('2012-2022'!H180-'2012-2022'!U$2)/'2012-2022'!U$3</f>
        <v>0.93638771579049085</v>
      </c>
      <c r="I180" s="22">
        <f>('2012-2022'!I180-'2012-2022'!V$2)/'2012-2022'!V$3</f>
        <v>-0.11702622200351168</v>
      </c>
      <c r="J180" s="22">
        <f>('2012-2022'!J180-'2012-2022'!W$2)/'2012-2022'!W$3</f>
        <v>0.26036056762153015</v>
      </c>
      <c r="K180" s="22">
        <f>('2012-2022'!K180-'2012-2022'!X$2)/'2012-2022'!X$3</f>
        <v>-0.25046644783900313</v>
      </c>
      <c r="L180" s="22">
        <f>('2012-2022'!L180-'2012-2022'!Y$2)/'2012-2022'!Y$3</f>
        <v>6.7216704223804033E-2</v>
      </c>
      <c r="M180" s="22">
        <f>('2012-2022'!M180-'2012-2022'!Z$2)/'2012-2022'!Z$3</f>
        <v>0.31803076777601519</v>
      </c>
      <c r="N180" s="22">
        <f>('2012-2022'!N180-'2012-2022'!AA$2)/'2012-2022'!AA$3</f>
        <v>-1.3237896580886159</v>
      </c>
      <c r="O180" s="22">
        <f>('2012-2022'!P180-'2012-2022'!AC$2)/'2012-2022'!AC$3</f>
        <v>-0.1254776090393675</v>
      </c>
    </row>
    <row r="181" spans="1:15">
      <c r="A181" s="10" t="s">
        <v>23</v>
      </c>
      <c r="B181" s="11">
        <v>2015</v>
      </c>
      <c r="C181" s="14" t="s">
        <v>55</v>
      </c>
      <c r="D181" s="14" t="s">
        <v>54</v>
      </c>
      <c r="E181" s="22">
        <f>('2012-2022'!E181-'2012-2022'!R$2)/'2012-2022'!R$3</f>
        <v>-0.17241546541740638</v>
      </c>
      <c r="F181" s="22">
        <f>('2012-2022'!F181-'2012-2022'!S$2)/'2012-2022'!S$3</f>
        <v>0.34789241519123137</v>
      </c>
      <c r="G181" s="22">
        <f>('2012-2022'!G181-'2012-2022'!T$2)/'2012-2022'!T$3</f>
        <v>2.2077061470553182E-2</v>
      </c>
      <c r="H181" s="22">
        <f>('2012-2022'!H181-'2012-2022'!U$2)/'2012-2022'!U$3</f>
        <v>9.7714946880963868E-2</v>
      </c>
      <c r="I181" s="22">
        <f>('2012-2022'!I181-'2012-2022'!V$2)/'2012-2022'!V$3</f>
        <v>-0.33712373960053443</v>
      </c>
      <c r="J181" s="22">
        <f>('2012-2022'!J181-'2012-2022'!W$2)/'2012-2022'!W$3</f>
        <v>8.5318525171076298E-2</v>
      </c>
      <c r="K181" s="22">
        <f>('2012-2022'!K181-'2012-2022'!X$2)/'2012-2022'!X$3</f>
        <v>-0.26838795372233276</v>
      </c>
      <c r="L181" s="22">
        <f>('2012-2022'!L181-'2012-2022'!Y$2)/'2012-2022'!Y$3</f>
        <v>-0.41332199239498846</v>
      </c>
      <c r="M181" s="22">
        <f>('2012-2022'!M181-'2012-2022'!Z$2)/'2012-2022'!Z$3</f>
        <v>-0.15701416511553495</v>
      </c>
      <c r="N181" s="22">
        <f>('2012-2022'!N181-'2012-2022'!AA$2)/'2012-2022'!AA$3</f>
        <v>-1.141217416664331</v>
      </c>
      <c r="O181" s="22">
        <f>('2012-2022'!P181-'2012-2022'!AC$2)/'2012-2022'!AC$3</f>
        <v>-0.14997666998804515</v>
      </c>
    </row>
    <row r="182" spans="1:15">
      <c r="A182" s="10" t="s">
        <v>23</v>
      </c>
      <c r="B182" s="11">
        <v>2016</v>
      </c>
      <c r="C182" s="14" t="s">
        <v>55</v>
      </c>
      <c r="D182" s="14" t="s">
        <v>54</v>
      </c>
      <c r="E182" s="22">
        <f>('2012-2022'!E182-'2012-2022'!R$2)/'2012-2022'!R$3</f>
        <v>-1.4093773141910437</v>
      </c>
      <c r="F182" s="22">
        <f>('2012-2022'!F182-'2012-2022'!S$2)/'2012-2022'!S$3</f>
        <v>-2.2760966602432915</v>
      </c>
      <c r="G182" s="22">
        <f>('2012-2022'!G182-'2012-2022'!T$2)/'2012-2022'!T$3</f>
        <v>-2.5520663274900932</v>
      </c>
      <c r="H182" s="22">
        <f>('2012-2022'!H182-'2012-2022'!U$2)/'2012-2022'!U$3</f>
        <v>-1.5165930284781242</v>
      </c>
      <c r="I182" s="22">
        <f>('2012-2022'!I182-'2012-2022'!V$2)/'2012-2022'!V$3</f>
        <v>-1.293489501174953</v>
      </c>
      <c r="J182" s="22">
        <f>('2012-2022'!J182-'2012-2022'!W$2)/'2012-2022'!W$3</f>
        <v>-0.64009087419895305</v>
      </c>
      <c r="K182" s="22">
        <f>('2012-2022'!K182-'2012-2022'!X$2)/'2012-2022'!X$3</f>
        <v>-0.71937167406206659</v>
      </c>
      <c r="L182" s="22">
        <f>('2012-2022'!L182-'2012-2022'!Y$2)/'2012-2022'!Y$3</f>
        <v>-0.69735901232696718</v>
      </c>
      <c r="M182" s="22">
        <f>('2012-2022'!M182-'2012-2022'!Z$2)/'2012-2022'!Z$3</f>
        <v>0.66307552803093073</v>
      </c>
      <c r="N182" s="22">
        <f>('2012-2022'!N182-'2012-2022'!AA$2)/'2012-2022'!AA$3</f>
        <v>-1.3529963009152366</v>
      </c>
      <c r="O182" s="22">
        <f>('2012-2022'!P182-'2012-2022'!AC$2)/'2012-2022'!AC$3</f>
        <v>1.5152743755649761E-2</v>
      </c>
    </row>
    <row r="183" spans="1:15">
      <c r="A183" s="10" t="s">
        <v>23</v>
      </c>
      <c r="B183" s="11">
        <v>2017</v>
      </c>
      <c r="C183" s="14" t="s">
        <v>55</v>
      </c>
      <c r="D183" s="14" t="s">
        <v>54</v>
      </c>
      <c r="E183" s="22">
        <f>('2012-2022'!E183-'2012-2022'!R$2)/'2012-2022'!R$3</f>
        <v>-1.0720309382262643</v>
      </c>
      <c r="F183" s="22">
        <f>('2012-2022'!F183-'2012-2022'!S$2)/'2012-2022'!S$3</f>
        <v>-2.085513829683717</v>
      </c>
      <c r="G183" s="22">
        <f>('2012-2022'!G183-'2012-2022'!T$2)/'2012-2022'!T$3</f>
        <v>-2.1254505836424151</v>
      </c>
      <c r="H183" s="22">
        <f>('2012-2022'!H183-'2012-2022'!U$2)/'2012-2022'!U$3</f>
        <v>-1.3475189001319241</v>
      </c>
      <c r="I183" s="22">
        <f>('2012-2022'!I183-'2012-2022'!V$2)/'2012-2022'!V$3</f>
        <v>-0.89449215180593256</v>
      </c>
      <c r="J183" s="22">
        <f>('2012-2022'!J183-'2012-2022'!W$2)/'2012-2022'!W$3</f>
        <v>-0.25618905069457576</v>
      </c>
      <c r="K183" s="22">
        <f>('2012-2022'!K183-'2012-2022'!X$2)/'2012-2022'!X$3</f>
        <v>-0.56371151940011643</v>
      </c>
      <c r="L183" s="22">
        <f>('2012-2022'!L183-'2012-2022'!Y$2)/'2012-2022'!Y$3</f>
        <v>-0.61678513846551997</v>
      </c>
      <c r="M183" s="22">
        <f>('2012-2022'!M183-'2012-2022'!Z$2)/'2012-2022'!Z$3</f>
        <v>0.28713123700691862</v>
      </c>
      <c r="N183" s="22">
        <f>('2012-2022'!N183-'2012-2022'!AA$2)/'2012-2022'!AA$3</f>
        <v>-1.1800441842019216</v>
      </c>
      <c r="O183" s="22">
        <f>('2012-2022'!P183-'2012-2022'!AC$2)/'2012-2022'!AC$3</f>
        <v>-0.10753956628623063</v>
      </c>
    </row>
    <row r="184" spans="1:15">
      <c r="A184" s="10" t="s">
        <v>23</v>
      </c>
      <c r="B184" s="11">
        <v>2018</v>
      </c>
      <c r="C184" s="14" t="s">
        <v>55</v>
      </c>
      <c r="D184" s="14" t="s">
        <v>54</v>
      </c>
      <c r="E184" s="22">
        <f>('2012-2022'!E184-'2012-2022'!R$2)/'2012-2022'!R$3</f>
        <v>0.53495164705432074</v>
      </c>
      <c r="F184" s="22">
        <f>('2012-2022'!F184-'2012-2022'!S$2)/'2012-2022'!S$3</f>
        <v>0.60350956456928073</v>
      </c>
      <c r="G184" s="22">
        <f>('2012-2022'!G184-'2012-2022'!T$2)/'2012-2022'!T$3</f>
        <v>0.19736263926342126</v>
      </c>
      <c r="H184" s="22">
        <f>('2012-2022'!H184-'2012-2022'!U$2)/'2012-2022'!U$3</f>
        <v>1.0870940509460296</v>
      </c>
      <c r="I184" s="22">
        <f>('2012-2022'!I184-'2012-2022'!V$2)/'2012-2022'!V$3</f>
        <v>0.18835179188615769</v>
      </c>
      <c r="J184" s="22">
        <f>('2012-2022'!J184-'2012-2022'!W$2)/'2012-2022'!W$3</f>
        <v>0.16433998878593301</v>
      </c>
      <c r="K184" s="22">
        <f>('2012-2022'!K184-'2012-2022'!X$2)/'2012-2022'!X$3</f>
        <v>-0.23163251605848359</v>
      </c>
      <c r="L184" s="22">
        <f>('2012-2022'!L184-'2012-2022'!Y$2)/'2012-2022'!Y$3</f>
        <v>-0.53973142884529279</v>
      </c>
      <c r="M184" s="22">
        <f>('2012-2022'!M184-'2012-2022'!Z$2)/'2012-2022'!Z$3</f>
        <v>-0.45572941036906311</v>
      </c>
      <c r="N184" s="22">
        <f>('2012-2022'!N184-'2012-2022'!AA$2)/'2012-2022'!AA$3</f>
        <v>-0.4596381905858703</v>
      </c>
      <c r="O184" s="22">
        <f>('2012-2022'!P184-'2012-2022'!AC$2)/'2012-2022'!AC$3</f>
        <v>-0.17853552359716313</v>
      </c>
    </row>
    <row r="185" spans="1:15">
      <c r="A185" s="10" t="s">
        <v>23</v>
      </c>
      <c r="B185" s="11">
        <v>2019</v>
      </c>
      <c r="C185" s="14" t="s">
        <v>55</v>
      </c>
      <c r="D185" s="14" t="s">
        <v>54</v>
      </c>
      <c r="E185" s="22">
        <f>('2012-2022'!E185-'2012-2022'!R$2)/'2012-2022'!R$3</f>
        <v>0.70056157170279931</v>
      </c>
      <c r="F185" s="22">
        <f>('2012-2022'!F185-'2012-2022'!S$2)/'2012-2022'!S$3</f>
        <v>0.27187811423391978</v>
      </c>
      <c r="G185" s="22">
        <f>('2012-2022'!G185-'2012-2022'!T$2)/'2012-2022'!T$3</f>
        <v>0.21414468322298666</v>
      </c>
      <c r="H185" s="22">
        <f>('2012-2022'!H185-'2012-2022'!U$2)/'2012-2022'!U$3</f>
        <v>0.99729769303112659</v>
      </c>
      <c r="I185" s="22">
        <f>('2012-2022'!I185-'2012-2022'!V$2)/'2012-2022'!V$3</f>
        <v>0.46383281378637248</v>
      </c>
      <c r="J185" s="22">
        <f>('2012-2022'!J185-'2012-2022'!W$2)/'2012-2022'!W$3</f>
        <v>0.14355742625210113</v>
      </c>
      <c r="K185" s="22">
        <f>('2012-2022'!K185-'2012-2022'!X$2)/'2012-2022'!X$3</f>
        <v>-0.18681067271714083</v>
      </c>
      <c r="L185" s="22">
        <f>('2012-2022'!L185-'2012-2022'!Y$2)/'2012-2022'!Y$3</f>
        <v>1.867192980832632</v>
      </c>
      <c r="M185" s="22">
        <f>('2012-2022'!M185-'2012-2022'!Z$2)/'2012-2022'!Z$3</f>
        <v>0.2771703921381955</v>
      </c>
      <c r="N185" s="22">
        <f>('2012-2022'!N185-'2012-2022'!AA$2)/'2012-2022'!AA$3</f>
        <v>-0.54475184523644948</v>
      </c>
      <c r="O185" s="22">
        <f>('2012-2022'!P185-'2012-2022'!AC$2)/'2012-2022'!AC$3</f>
        <v>-0.12561451954993413</v>
      </c>
    </row>
    <row r="186" spans="1:15">
      <c r="A186" s="10" t="s">
        <v>23</v>
      </c>
      <c r="B186" s="11">
        <v>2020</v>
      </c>
      <c r="C186" s="14" t="s">
        <v>55</v>
      </c>
      <c r="D186" s="14" t="s">
        <v>54</v>
      </c>
      <c r="E186" s="22">
        <f>('2012-2022'!E186-'2012-2022'!R$2)/'2012-2022'!R$3</f>
        <v>0.75898497160745249</v>
      </c>
      <c r="F186" s="22">
        <f>('2012-2022'!F186-'2012-2022'!S$2)/'2012-2022'!S$3</f>
        <v>0.20301893041004798</v>
      </c>
      <c r="G186" s="22">
        <f>('2012-2022'!G186-'2012-2022'!T$2)/'2012-2022'!T$3</f>
        <v>0.62820925074393064</v>
      </c>
      <c r="H186" s="22">
        <f>('2012-2022'!H186-'2012-2022'!U$2)/'2012-2022'!U$3</f>
        <v>1.1121728126241537</v>
      </c>
      <c r="I186" s="22">
        <f>('2012-2022'!I186-'2012-2022'!V$2)/'2012-2022'!V$3</f>
        <v>0.49302975080293165</v>
      </c>
      <c r="J186" s="22">
        <f>('2012-2022'!J186-'2012-2022'!W$2)/'2012-2022'!W$3</f>
        <v>0.43266879262785402</v>
      </c>
      <c r="K186" s="22">
        <f>('2012-2022'!K186-'2012-2022'!X$2)/'2012-2022'!X$3</f>
        <v>-0.18151759220749375</v>
      </c>
      <c r="L186" s="22">
        <f>('2012-2022'!L186-'2012-2022'!Y$2)/'2012-2022'!Y$3</f>
        <v>2.4057351681667223</v>
      </c>
      <c r="M186" s="22">
        <f>('2012-2022'!M186-'2012-2022'!Z$2)/'2012-2022'!Z$3</f>
        <v>0.39427830739156838</v>
      </c>
      <c r="N186" s="22">
        <f>('2012-2022'!N186-'2012-2022'!AA$2)/'2012-2022'!AA$3</f>
        <v>-0.24161746702435358</v>
      </c>
      <c r="O186" s="22">
        <f>('2012-2022'!P186-'2012-2022'!AC$2)/'2012-2022'!AC$3</f>
        <v>-0.27351810178232905</v>
      </c>
    </row>
    <row r="187" spans="1:15">
      <c r="A187" s="10" t="s">
        <v>23</v>
      </c>
      <c r="B187" s="11">
        <v>2021</v>
      </c>
      <c r="C187" s="14" t="s">
        <v>55</v>
      </c>
      <c r="D187" s="14" t="s">
        <v>54</v>
      </c>
      <c r="E187" s="22">
        <f>('2012-2022'!E187-'2012-2022'!R$2)/'2012-2022'!R$3</f>
        <v>-0.74705614345582183</v>
      </c>
      <c r="F187" s="22">
        <f>('2012-2022'!F187-'2012-2022'!S$2)/'2012-2022'!S$3</f>
        <v>-1.1109040037529518</v>
      </c>
      <c r="G187" s="22">
        <f>('2012-2022'!G187-'2012-2022'!T$2)/'2012-2022'!T$3</f>
        <v>0.75712417202868187</v>
      </c>
      <c r="H187" s="22">
        <f>('2012-2022'!H187-'2012-2022'!U$2)/'2012-2022'!U$3</f>
        <v>-0.96261417711581665</v>
      </c>
      <c r="I187" s="22">
        <f>('2012-2022'!I187-'2012-2022'!V$2)/'2012-2022'!V$3</f>
        <v>-0.64528821791733304</v>
      </c>
      <c r="J187" s="22">
        <f>('2012-2022'!J187-'2012-2022'!W$2)/'2012-2022'!W$3</f>
        <v>-0.836816569353378</v>
      </c>
      <c r="K187" s="22">
        <f>('2012-2022'!K187-'2012-2022'!X$2)/'2012-2022'!X$3</f>
        <v>-1.0948589066237671</v>
      </c>
      <c r="L187" s="22">
        <f>('2012-2022'!L187-'2012-2022'!Y$2)/'2012-2022'!Y$3</f>
        <v>0.96712332474570506</v>
      </c>
      <c r="M187" s="22">
        <f>('2012-2022'!M187-'2012-2022'!Z$2)/'2012-2022'!Z$3</f>
        <v>1.1755182325927891</v>
      </c>
      <c r="N187" s="22">
        <f>('2012-2022'!N187-'2012-2022'!AA$2)/'2012-2022'!AA$3</f>
        <v>-0.70947187206499918</v>
      </c>
      <c r="O187" s="22">
        <f>('2012-2022'!P187-'2012-2022'!AC$2)/'2012-2022'!AC$3</f>
        <v>-0.10804924049177458</v>
      </c>
    </row>
    <row r="188" spans="1:15">
      <c r="A188" s="10" t="s">
        <v>23</v>
      </c>
      <c r="B188" s="11">
        <v>2022</v>
      </c>
      <c r="C188" s="14" t="s">
        <v>55</v>
      </c>
      <c r="D188" s="14" t="s">
        <v>54</v>
      </c>
      <c r="E188" s="22">
        <f>('2012-2022'!E188-'2012-2022'!R$2)/'2012-2022'!R$3</f>
        <v>-3.8537643513135704E-2</v>
      </c>
      <c r="F188" s="22">
        <f>('2012-2022'!F188-'2012-2022'!S$2)/'2012-2022'!S$3</f>
        <v>-0.68718564476845867</v>
      </c>
      <c r="G188" s="22">
        <f>('2012-2022'!G188-'2012-2022'!T$2)/'2012-2022'!T$3</f>
        <v>-2.7972938787741989E-2</v>
      </c>
      <c r="H188" s="22">
        <f>('2012-2022'!H188-'2012-2022'!U$2)/'2012-2022'!U$3</f>
        <v>-0.18114338534129379</v>
      </c>
      <c r="I188" s="22">
        <f>('2012-2022'!I188-'2012-2022'!V$2)/'2012-2022'!V$3</f>
        <v>-1.5406053886097925E-2</v>
      </c>
      <c r="J188" s="22">
        <f>('2012-2022'!J188-'2012-2022'!W$2)/'2012-2022'!W$3</f>
        <v>-0.74245355133143021</v>
      </c>
      <c r="K188" s="22">
        <f>('2012-2022'!K188-'2012-2022'!X$2)/'2012-2022'!X$3</f>
        <v>-0.7008713634990047</v>
      </c>
      <c r="L188" s="22">
        <f>('2012-2022'!L188-'2012-2022'!Y$2)/'2012-2022'!Y$3</f>
        <v>1.4026669637817555</v>
      </c>
      <c r="M188" s="22">
        <f>('2012-2022'!M188-'2012-2022'!Z$2)/'2012-2022'!Z$3</f>
        <v>1.0074246840240135</v>
      </c>
      <c r="N188" s="22">
        <f>('2012-2022'!N188-'2012-2022'!AA$2)/'2012-2022'!AA$3</f>
        <v>-0.95910239933801344</v>
      </c>
      <c r="O188" s="22">
        <f>('2012-2022'!P188-'2012-2022'!AC$2)/'2012-2022'!AC$3</f>
        <v>-0.1269525714911291</v>
      </c>
    </row>
    <row r="189" spans="1:15">
      <c r="A189" s="10" t="s">
        <v>24</v>
      </c>
      <c r="B189" s="11">
        <v>2012</v>
      </c>
      <c r="C189" s="14" t="s">
        <v>55</v>
      </c>
      <c r="D189" s="14" t="s">
        <v>54</v>
      </c>
      <c r="E189" s="22">
        <f>('2012-2022'!E189-'2012-2022'!R$2)/'2012-2022'!R$3</f>
        <v>-1.003863972530439</v>
      </c>
      <c r="F189" s="22">
        <f>('2012-2022'!F189-'2012-2022'!S$2)/'2012-2022'!S$3</f>
        <v>-0.66874691865010605</v>
      </c>
      <c r="G189" s="22">
        <f>('2012-2022'!G189-'2012-2022'!T$2)/'2012-2022'!T$3</f>
        <v>0.14400329097138434</v>
      </c>
      <c r="H189" s="22">
        <f>('2012-2022'!H189-'2012-2022'!U$2)/'2012-2022'!U$3</f>
        <v>-0.94936379160343154</v>
      </c>
      <c r="I189" s="22">
        <f>('2012-2022'!I189-'2012-2022'!V$2)/'2012-2022'!V$3</f>
        <v>-1.0014712715294352</v>
      </c>
      <c r="J189" s="22">
        <f>('2012-2022'!J189-'2012-2022'!W$2)/'2012-2022'!W$3</f>
        <v>-7.1661702477040642E-3</v>
      </c>
      <c r="K189" s="22">
        <f>('2012-2022'!K189-'2012-2022'!X$2)/'2012-2022'!X$3</f>
        <v>-0.57897723484112551</v>
      </c>
      <c r="L189" s="22">
        <f>('2012-2022'!L189-'2012-2022'!Y$2)/'2012-2022'!Y$3</f>
        <v>-0.13181401796169467</v>
      </c>
      <c r="M189" s="22">
        <f>('2012-2022'!M189-'2012-2022'!Z$2)/'2012-2022'!Z$3</f>
        <v>-0.15109655915182313</v>
      </c>
      <c r="N189" s="22">
        <f>('2012-2022'!N189-'2012-2022'!AA$2)/'2012-2022'!AA$3</f>
        <v>-1.5653552613819226</v>
      </c>
      <c r="O189" s="22">
        <f>('2012-2022'!P189-'2012-2022'!AC$2)/'2012-2022'!AC$3</f>
        <v>-0.23100782827596922</v>
      </c>
    </row>
    <row r="190" spans="1:15">
      <c r="A190" s="10" t="s">
        <v>24</v>
      </c>
      <c r="B190" s="11">
        <v>2013</v>
      </c>
      <c r="C190" s="14" t="s">
        <v>55</v>
      </c>
      <c r="D190" s="14" t="s">
        <v>54</v>
      </c>
      <c r="E190" s="22">
        <f>('2012-2022'!E190-'2012-2022'!R$2)/'2012-2022'!R$3</f>
        <v>-0.85028364265207357</v>
      </c>
      <c r="F190" s="22">
        <f>('2012-2022'!F190-'2012-2022'!S$2)/'2012-2022'!S$3</f>
        <v>-0.35964948229671412</v>
      </c>
      <c r="G190" s="22">
        <f>('2012-2022'!G190-'2012-2022'!T$2)/'2012-2022'!T$3</f>
        <v>-0.23570094457189811</v>
      </c>
      <c r="H190" s="22">
        <f>('2012-2022'!H190-'2012-2022'!U$2)/'2012-2022'!U$3</f>
        <v>-0.69731204420242943</v>
      </c>
      <c r="I190" s="22">
        <f>('2012-2022'!I190-'2012-2022'!V$2)/'2012-2022'!V$3</f>
        <v>-0.90999858798435507</v>
      </c>
      <c r="J190" s="22">
        <f>('2012-2022'!J190-'2012-2022'!W$2)/'2012-2022'!W$3</f>
        <v>7.2575005386271534E-3</v>
      </c>
      <c r="K190" s="22">
        <f>('2012-2022'!K190-'2012-2022'!X$2)/'2012-2022'!X$3</f>
        <v>-0.57849902246400531</v>
      </c>
      <c r="L190" s="22">
        <f>('2012-2022'!L190-'2012-2022'!Y$2)/'2012-2022'!Y$3</f>
        <v>-0.19362667512429391</v>
      </c>
      <c r="M190" s="22">
        <f>('2012-2022'!M190-'2012-2022'!Z$2)/'2012-2022'!Z$3</f>
        <v>-0.10143132423319146</v>
      </c>
      <c r="N190" s="22">
        <f>('2012-2022'!N190-'2012-2022'!AA$2)/'2012-2022'!AA$3</f>
        <v>-1.786774131738543</v>
      </c>
      <c r="O190" s="22">
        <f>('2012-2022'!P190-'2012-2022'!AC$2)/'2012-2022'!AC$3</f>
        <v>-0.26344229282102782</v>
      </c>
    </row>
    <row r="191" spans="1:15">
      <c r="A191" s="10" t="s">
        <v>24</v>
      </c>
      <c r="B191" s="11">
        <v>2014</v>
      </c>
      <c r="C191" s="14" t="s">
        <v>55</v>
      </c>
      <c r="D191" s="14" t="s">
        <v>54</v>
      </c>
      <c r="E191" s="22">
        <f>('2012-2022'!E191-'2012-2022'!R$2)/'2012-2022'!R$3</f>
        <v>-0.81970508991805047</v>
      </c>
      <c r="F191" s="22">
        <f>('2012-2022'!F191-'2012-2022'!S$2)/'2012-2022'!S$3</f>
        <v>-1.1656204587127168</v>
      </c>
      <c r="G191" s="22">
        <f>('2012-2022'!G191-'2012-2022'!T$2)/'2012-2022'!T$3</f>
        <v>0.49551453158722775</v>
      </c>
      <c r="H191" s="22">
        <f>('2012-2022'!H191-'2012-2022'!U$2)/'2012-2022'!U$3</f>
        <v>-1.0110688022634438</v>
      </c>
      <c r="I191" s="22">
        <f>('2012-2022'!I191-'2012-2022'!V$2)/'2012-2022'!V$3</f>
        <v>-0.71571431358647597</v>
      </c>
      <c r="J191" s="22">
        <f>('2012-2022'!J191-'2012-2022'!W$2)/'2012-2022'!W$3</f>
        <v>-0.2430669712595678</v>
      </c>
      <c r="K191" s="22">
        <f>('2012-2022'!K191-'2012-2022'!X$2)/'2012-2022'!X$3</f>
        <v>-0.75945866736394307</v>
      </c>
      <c r="L191" s="22">
        <f>('2012-2022'!L191-'2012-2022'!Y$2)/'2012-2022'!Y$3</f>
        <v>-9.840453610728267E-2</v>
      </c>
      <c r="M191" s="22">
        <f>('2012-2022'!M191-'2012-2022'!Z$2)/'2012-2022'!Z$3</f>
        <v>-0.43923768473137526</v>
      </c>
      <c r="N191" s="22">
        <f>('2012-2022'!N191-'2012-2022'!AA$2)/'2012-2022'!AA$3</f>
        <v>-1.7127137966700501</v>
      </c>
      <c r="O191" s="22">
        <f>('2012-2022'!P191-'2012-2022'!AC$2)/'2012-2022'!AC$3</f>
        <v>-0.36104917770735911</v>
      </c>
    </row>
    <row r="192" spans="1:15">
      <c r="A192" s="10" t="s">
        <v>24</v>
      </c>
      <c r="B192" s="11">
        <v>2015</v>
      </c>
      <c r="C192" s="14" t="s">
        <v>55</v>
      </c>
      <c r="D192" s="14" t="s">
        <v>54</v>
      </c>
      <c r="E192" s="22">
        <f>('2012-2022'!E192-'2012-2022'!R$2)/'2012-2022'!R$3</f>
        <v>-0.73313538127039979</v>
      </c>
      <c r="F192" s="22">
        <f>('2012-2022'!F192-'2012-2022'!S$2)/'2012-2022'!S$3</f>
        <v>-1.4651143415817098</v>
      </c>
      <c r="G192" s="22">
        <f>('2012-2022'!G192-'2012-2022'!T$2)/'2012-2022'!T$3</f>
        <v>1.7236803019981659</v>
      </c>
      <c r="H192" s="22">
        <f>('2012-2022'!H192-'2012-2022'!U$2)/'2012-2022'!U$3</f>
        <v>-1.1783205884965111</v>
      </c>
      <c r="I192" s="22">
        <f>('2012-2022'!I192-'2012-2022'!V$2)/'2012-2022'!V$3</f>
        <v>-0.50889306274592072</v>
      </c>
      <c r="J192" s="22">
        <f>('2012-2022'!J192-'2012-2022'!W$2)/'2012-2022'!W$3</f>
        <v>-0.24175035902780917</v>
      </c>
      <c r="K192" s="22">
        <f>('2012-2022'!K192-'2012-2022'!X$2)/'2012-2022'!X$3</f>
        <v>-0.93311777239866756</v>
      </c>
      <c r="L192" s="22">
        <f>('2012-2022'!L192-'2012-2022'!Y$2)/'2012-2022'!Y$3</f>
        <v>-0.35915714122728382</v>
      </c>
      <c r="M192" s="22">
        <f>('2012-2022'!M192-'2012-2022'!Z$2)/'2012-2022'!Z$3</f>
        <v>-0.29197922735062187</v>
      </c>
      <c r="N192" s="22">
        <f>('2012-2022'!N192-'2012-2022'!AA$2)/'2012-2022'!AA$3</f>
        <v>-1.5077718841469012</v>
      </c>
      <c r="O192" s="22">
        <f>('2012-2022'!P192-'2012-2022'!AC$2)/'2012-2022'!AC$3</f>
        <v>-0.31807901563566143</v>
      </c>
    </row>
    <row r="193" spans="1:15">
      <c r="A193" s="10" t="s">
        <v>24</v>
      </c>
      <c r="B193" s="11">
        <v>2016</v>
      </c>
      <c r="C193" s="14" t="s">
        <v>55</v>
      </c>
      <c r="D193" s="14" t="s">
        <v>54</v>
      </c>
      <c r="E193" s="22">
        <f>('2012-2022'!E193-'2012-2022'!R$2)/'2012-2022'!R$3</f>
        <v>-9.2282588148868597E-2</v>
      </c>
      <c r="F193" s="22">
        <f>('2012-2022'!F193-'2012-2022'!S$2)/'2012-2022'!S$3</f>
        <v>0.49670042745351506</v>
      </c>
      <c r="G193" s="22">
        <f>('2012-2022'!G193-'2012-2022'!T$2)/'2012-2022'!T$3</f>
        <v>0.62086615307774085</v>
      </c>
      <c r="H193" s="22">
        <f>('2012-2022'!H193-'2012-2022'!U$2)/'2012-2022'!U$3</f>
        <v>0.19564683137372019</v>
      </c>
      <c r="I193" s="22">
        <f>('2012-2022'!I193-'2012-2022'!V$2)/'2012-2022'!V$3</f>
        <v>-0.27363300933630097</v>
      </c>
      <c r="J193" s="22">
        <f>('2012-2022'!J193-'2012-2022'!W$2)/'2012-2022'!W$3</f>
        <v>3.4808632467719501E-2</v>
      </c>
      <c r="K193" s="22">
        <f>('2012-2022'!K193-'2012-2022'!X$2)/'2012-2022'!X$3</f>
        <v>-0.6110929772557957</v>
      </c>
      <c r="L193" s="22">
        <f>('2012-2022'!L193-'2012-2022'!Y$2)/'2012-2022'!Y$3</f>
        <v>6.641303790044622E-3</v>
      </c>
      <c r="M193" s="22">
        <f>('2012-2022'!M193-'2012-2022'!Z$2)/'2012-2022'!Z$3</f>
        <v>-0.74594213760282124</v>
      </c>
      <c r="N193" s="22">
        <f>('2012-2022'!N193-'2012-2022'!AA$2)/'2012-2022'!AA$3</f>
        <v>-1.2099587622647316</v>
      </c>
      <c r="O193" s="22">
        <f>('2012-2022'!P193-'2012-2022'!AC$2)/'2012-2022'!AC$3</f>
        <v>-0.23151096497320325</v>
      </c>
    </row>
    <row r="194" spans="1:15">
      <c r="A194" s="10" t="s">
        <v>24</v>
      </c>
      <c r="B194" s="11">
        <v>2017</v>
      </c>
      <c r="C194" s="14" t="s">
        <v>55</v>
      </c>
      <c r="D194" s="14" t="s">
        <v>54</v>
      </c>
      <c r="E194" s="22">
        <f>('2012-2022'!E194-'2012-2022'!R$2)/'2012-2022'!R$3</f>
        <v>-0.55245100910743228</v>
      </c>
      <c r="F194" s="22">
        <f>('2012-2022'!F194-'2012-2022'!S$2)/'2012-2022'!S$3</f>
        <v>-0.43744705644736387</v>
      </c>
      <c r="G194" s="22">
        <f>('2012-2022'!G194-'2012-2022'!T$2)/'2012-2022'!T$3</f>
        <v>0.29146341034143702</v>
      </c>
      <c r="H194" s="22">
        <f>('2012-2022'!H194-'2012-2022'!U$2)/'2012-2022'!U$3</f>
        <v>-0.520815225027636</v>
      </c>
      <c r="I194" s="22">
        <f>('2012-2022'!I194-'2012-2022'!V$2)/'2012-2022'!V$3</f>
        <v>-0.57830392292128241</v>
      </c>
      <c r="J194" s="22">
        <f>('2012-2022'!J194-'2012-2022'!W$2)/'2012-2022'!W$3</f>
        <v>0.16593991201026209</v>
      </c>
      <c r="K194" s="22">
        <f>('2012-2022'!K194-'2012-2022'!X$2)/'2012-2022'!X$3</f>
        <v>-0.42331472177111368</v>
      </c>
      <c r="L194" s="22">
        <f>('2012-2022'!L194-'2012-2022'!Y$2)/'2012-2022'!Y$3</f>
        <v>-0.2190704333138247</v>
      </c>
      <c r="M194" s="22">
        <f>('2012-2022'!M194-'2012-2022'!Z$2)/'2012-2022'!Z$3</f>
        <v>-0.84340660829500103</v>
      </c>
      <c r="N194" s="22">
        <f>('2012-2022'!N194-'2012-2022'!AA$2)/'2012-2022'!AA$3</f>
        <v>-0.63386040575115321</v>
      </c>
      <c r="O194" s="22">
        <f>('2012-2022'!P194-'2012-2022'!AC$2)/'2012-2022'!AC$3</f>
        <v>-0.27688441567666666</v>
      </c>
    </row>
    <row r="195" spans="1:15">
      <c r="A195" s="10" t="s">
        <v>24</v>
      </c>
      <c r="B195" s="11">
        <v>2018</v>
      </c>
      <c r="C195" s="14" t="s">
        <v>55</v>
      </c>
      <c r="D195" s="14" t="s">
        <v>54</v>
      </c>
      <c r="E195" s="22">
        <f>('2012-2022'!E195-'2012-2022'!R$2)/'2012-2022'!R$3</f>
        <v>-0.54704251419085048</v>
      </c>
      <c r="F195" s="22">
        <f>('2012-2022'!F195-'2012-2022'!S$2)/'2012-2022'!S$3</f>
        <v>-1.5163270615876874</v>
      </c>
      <c r="G195" s="22">
        <f>('2012-2022'!G195-'2012-2022'!T$2)/'2012-2022'!T$3</f>
        <v>1.6315909679515845</v>
      </c>
      <c r="H195" s="22">
        <f>('2012-2022'!H195-'2012-2022'!U$2)/'2012-2022'!U$3</f>
        <v>-1.1378823225024186</v>
      </c>
      <c r="I195" s="22">
        <f>('2012-2022'!I195-'2012-2022'!V$2)/'2012-2022'!V$3</f>
        <v>-0.25540249682466792</v>
      </c>
      <c r="J195" s="22">
        <f>('2012-2022'!J195-'2012-2022'!W$2)/'2012-2022'!W$3</f>
        <v>-3.7428236805465531E-2</v>
      </c>
      <c r="K195" s="22">
        <f>('2012-2022'!K195-'2012-2022'!X$2)/'2012-2022'!X$3</f>
        <v>-0.45551836098560383</v>
      </c>
      <c r="L195" s="22">
        <f>('2012-2022'!L195-'2012-2022'!Y$2)/'2012-2022'!Y$3</f>
        <v>-0.26120339578429635</v>
      </c>
      <c r="M195" s="22">
        <f>('2012-2022'!M195-'2012-2022'!Z$2)/'2012-2022'!Z$3</f>
        <v>-0.57132611995491944</v>
      </c>
      <c r="N195" s="22">
        <f>('2012-2022'!N195-'2012-2022'!AA$2)/'2012-2022'!AA$3</f>
        <v>-0.1636311766496516</v>
      </c>
      <c r="O195" s="22">
        <f>('2012-2022'!P195-'2012-2022'!AC$2)/'2012-2022'!AC$3</f>
        <v>-0.22095288905273425</v>
      </c>
    </row>
    <row r="196" spans="1:15">
      <c r="A196" s="10" t="s">
        <v>24</v>
      </c>
      <c r="B196" s="11">
        <v>2019</v>
      </c>
      <c r="C196" s="14" t="s">
        <v>55</v>
      </c>
      <c r="D196" s="14" t="s">
        <v>54</v>
      </c>
      <c r="E196" s="22">
        <f>('2012-2022'!E196-'2012-2022'!R$2)/'2012-2022'!R$3</f>
        <v>-0.4914420882576645</v>
      </c>
      <c r="F196" s="22">
        <f>('2012-2022'!F196-'2012-2022'!S$2)/'2012-2022'!S$3</f>
        <v>-1.5540138534069254</v>
      </c>
      <c r="G196" s="22">
        <f>('2012-2022'!G196-'2012-2022'!T$2)/'2012-2022'!T$3</f>
        <v>0.62024136205376024</v>
      </c>
      <c r="H196" s="22">
        <f>('2012-2022'!H196-'2012-2022'!U$2)/'2012-2022'!U$3</f>
        <v>-1.0702081430906853</v>
      </c>
      <c r="I196" s="22">
        <f>('2012-2022'!I196-'2012-2022'!V$2)/'2012-2022'!V$3</f>
        <v>-0.200384350545741</v>
      </c>
      <c r="J196" s="22">
        <f>('2012-2022'!J196-'2012-2022'!W$2)/'2012-2022'!W$3</f>
        <v>0.52587920587518722</v>
      </c>
      <c r="K196" s="22">
        <f>('2012-2022'!K196-'2012-2022'!X$2)/'2012-2022'!X$3</f>
        <v>-0.43357766940674042</v>
      </c>
      <c r="L196" s="22">
        <f>('2012-2022'!L196-'2012-2022'!Y$2)/'2012-2022'!Y$3</f>
        <v>1.4886038264518353</v>
      </c>
      <c r="M196" s="22">
        <f>('2012-2022'!M196-'2012-2022'!Z$2)/'2012-2022'!Z$3</f>
        <v>7.6976648469279485E-2</v>
      </c>
      <c r="N196" s="22">
        <f>('2012-2022'!N196-'2012-2022'!AA$2)/'2012-2022'!AA$3</f>
        <v>0.17311064927637498</v>
      </c>
      <c r="O196" s="22">
        <f>('2012-2022'!P196-'2012-2022'!AC$2)/'2012-2022'!AC$3</f>
        <v>7.2432505747182713E-2</v>
      </c>
    </row>
    <row r="197" spans="1:15">
      <c r="A197" s="10" t="s">
        <v>24</v>
      </c>
      <c r="B197" s="11">
        <v>2020</v>
      </c>
      <c r="C197" s="14" t="s">
        <v>55</v>
      </c>
      <c r="D197" s="14" t="s">
        <v>54</v>
      </c>
      <c r="E197" s="22">
        <f>('2012-2022'!E197-'2012-2022'!R$2)/'2012-2022'!R$3</f>
        <v>-0.69757494640172912</v>
      </c>
      <c r="F197" s="22">
        <f>('2012-2022'!F197-'2012-2022'!S$2)/'2012-2022'!S$3</f>
        <v>-1.4228435076888435</v>
      </c>
      <c r="G197" s="22">
        <f>('2012-2022'!G197-'2012-2022'!T$2)/'2012-2022'!T$3</f>
        <v>1.116067973780394</v>
      </c>
      <c r="H197" s="22">
        <f>('2012-2022'!H197-'2012-2022'!U$2)/'2012-2022'!U$3</f>
        <v>-1.1239661647232266</v>
      </c>
      <c r="I197" s="22">
        <f>('2012-2022'!I197-'2012-2022'!V$2)/'2012-2022'!V$3</f>
        <v>-0.46725514948611285</v>
      </c>
      <c r="J197" s="22">
        <f>('2012-2022'!J197-'2012-2022'!W$2)/'2012-2022'!W$3</f>
        <v>0.69496898529434326</v>
      </c>
      <c r="K197" s="22">
        <f>('2012-2022'!K197-'2012-2022'!X$2)/'2012-2022'!X$3</f>
        <v>-0.68623819892464877</v>
      </c>
      <c r="L197" s="22">
        <f>('2012-2022'!L197-'2012-2022'!Y$2)/'2012-2022'!Y$3</f>
        <v>1.2881775441552943</v>
      </c>
      <c r="M197" s="22">
        <f>('2012-2022'!M197-'2012-2022'!Z$2)/'2012-2022'!Z$3</f>
        <v>0.54111041273607108</v>
      </c>
      <c r="N197" s="22">
        <f>('2012-2022'!N197-'2012-2022'!AA$2)/'2012-2022'!AA$3</f>
        <v>-0.172070457517008</v>
      </c>
      <c r="O197" s="22">
        <f>('2012-2022'!P197-'2012-2022'!AC$2)/'2012-2022'!AC$3</f>
        <v>-6.9855223652765452E-3</v>
      </c>
    </row>
    <row r="198" spans="1:15">
      <c r="A198" s="10" t="s">
        <v>24</v>
      </c>
      <c r="B198" s="11">
        <v>2021</v>
      </c>
      <c r="C198" s="14" t="s">
        <v>55</v>
      </c>
      <c r="D198" s="14" t="s">
        <v>54</v>
      </c>
      <c r="E198" s="22">
        <f>('2012-2022'!E198-'2012-2022'!R$2)/'2012-2022'!R$3</f>
        <v>-0.20453801503990926</v>
      </c>
      <c r="F198" s="22">
        <f>('2012-2022'!F198-'2012-2022'!S$2)/'2012-2022'!S$3</f>
        <v>0.34722928584590573</v>
      </c>
      <c r="G198" s="22">
        <f>('2012-2022'!G198-'2012-2022'!T$2)/'2012-2022'!T$3</f>
        <v>1.1742883326899483</v>
      </c>
      <c r="H198" s="22">
        <f>('2012-2022'!H198-'2012-2022'!U$2)/'2012-2022'!U$3</f>
        <v>-0.16242170874444262</v>
      </c>
      <c r="I198" s="22">
        <f>('2012-2022'!I198-'2012-2022'!V$2)/'2012-2022'!V$3</f>
        <v>-0.24445343158060398</v>
      </c>
      <c r="J198" s="22">
        <f>('2012-2022'!J198-'2012-2022'!W$2)/'2012-2022'!W$3</f>
        <v>0.61996368802512647</v>
      </c>
      <c r="K198" s="22">
        <f>('2012-2022'!K198-'2012-2022'!X$2)/'2012-2022'!X$3</f>
        <v>-0.47176374229709572</v>
      </c>
      <c r="L198" s="22">
        <f>('2012-2022'!L198-'2012-2022'!Y$2)/'2012-2022'!Y$3</f>
        <v>1.0258551027426439</v>
      </c>
      <c r="M198" s="22">
        <f>('2012-2022'!M198-'2012-2022'!Z$2)/'2012-2022'!Z$3</f>
        <v>0.19735374623722191</v>
      </c>
      <c r="N198" s="22">
        <f>('2012-2022'!N198-'2012-2022'!AA$2)/'2012-2022'!AA$3</f>
        <v>0.41602421234716203</v>
      </c>
      <c r="O198" s="22">
        <f>('2012-2022'!P198-'2012-2022'!AC$2)/'2012-2022'!AC$3</f>
        <v>2.9106308388163141E-3</v>
      </c>
    </row>
    <row r="199" spans="1:15">
      <c r="A199" s="10" t="s">
        <v>24</v>
      </c>
      <c r="B199" s="11">
        <v>2022</v>
      </c>
      <c r="C199" s="14" t="s">
        <v>55</v>
      </c>
      <c r="D199" s="14" t="s">
        <v>54</v>
      </c>
      <c r="E199" s="22">
        <f>('2012-2022'!E199-'2012-2022'!R$2)/'2012-2022'!R$3</f>
        <v>-4.5890411139614007E-2</v>
      </c>
      <c r="F199" s="22">
        <f>('2012-2022'!F199-'2012-2022'!S$2)/'2012-2022'!S$3</f>
        <v>-0.11722323221244237</v>
      </c>
      <c r="G199" s="22">
        <f>('2012-2022'!G199-'2012-2022'!T$2)/'2012-2022'!T$3</f>
        <v>0.70877153300591866</v>
      </c>
      <c r="H199" s="22">
        <f>('2012-2022'!H199-'2012-2022'!U$2)/'2012-2022'!U$3</f>
        <v>-0.13501531579159365</v>
      </c>
      <c r="I199" s="22">
        <f>('2012-2022'!I199-'2012-2022'!V$2)/'2012-2022'!V$3</f>
        <v>-2.6361954257161126E-2</v>
      </c>
      <c r="J199" s="22">
        <f>('2012-2022'!J199-'2012-2022'!W$2)/'2012-2022'!W$3</f>
        <v>0.99120592114175698</v>
      </c>
      <c r="K199" s="22">
        <f>('2012-2022'!K199-'2012-2022'!X$2)/'2012-2022'!X$3</f>
        <v>-0.38801454297264254</v>
      </c>
      <c r="L199" s="22">
        <f>('2012-2022'!L199-'2012-2022'!Y$2)/'2012-2022'!Y$3</f>
        <v>0.93568774254222453</v>
      </c>
      <c r="M199" s="22">
        <f>('2012-2022'!M199-'2012-2022'!Z$2)/'2012-2022'!Z$3</f>
        <v>0.60955113139842387</v>
      </c>
      <c r="N199" s="22">
        <f>('2012-2022'!N199-'2012-2022'!AA$2)/'2012-2022'!AA$3</f>
        <v>0.63135787638723695</v>
      </c>
      <c r="O199" s="22">
        <f>('2012-2022'!P199-'2012-2022'!AC$2)/'2012-2022'!AC$3</f>
        <v>-0.11307671010339207</v>
      </c>
    </row>
    <row r="200" spans="1:15">
      <c r="A200" s="10" t="s">
        <v>25</v>
      </c>
      <c r="B200" s="11">
        <v>2012</v>
      </c>
      <c r="C200" s="14" t="s">
        <v>60</v>
      </c>
      <c r="D200" s="14" t="s">
        <v>52</v>
      </c>
      <c r="E200" s="22">
        <f>('2012-2022'!E200-'2012-2022'!R$2)/'2012-2022'!R$3</f>
        <v>-0.95861205537259897</v>
      </c>
      <c r="F200" s="22">
        <f>('2012-2022'!F200-'2012-2022'!S$2)/'2012-2022'!S$3</f>
        <v>0.33589588105664653</v>
      </c>
      <c r="G200" s="22">
        <f>('2012-2022'!G200-'2012-2022'!T$2)/'2012-2022'!T$3</f>
        <v>0.26440503333968735</v>
      </c>
      <c r="H200" s="22">
        <f>('2012-2022'!H200-'2012-2022'!U$2)/'2012-2022'!U$3</f>
        <v>-0.8778869989600272</v>
      </c>
      <c r="I200" s="22">
        <f>('2012-2022'!I200-'2012-2022'!V$2)/'2012-2022'!V$3</f>
        <v>-0.90201003308906158</v>
      </c>
      <c r="J200" s="22">
        <f>('2012-2022'!J200-'2012-2022'!W$2)/'2012-2022'!W$3</f>
        <v>-1.033168486536316</v>
      </c>
      <c r="K200" s="22">
        <f>('2012-2022'!K200-'2012-2022'!X$2)/'2012-2022'!X$3</f>
        <v>-0.63393363295664296</v>
      </c>
      <c r="L200" s="22">
        <f>('2012-2022'!L200-'2012-2022'!Y$2)/'2012-2022'!Y$3</f>
        <v>-0.92308812138899976</v>
      </c>
      <c r="M200" s="22">
        <f>('2012-2022'!M200-'2012-2022'!Z$2)/'2012-2022'!Z$3</f>
        <v>-0.9874693820575936</v>
      </c>
      <c r="N200" s="22">
        <f>('2012-2022'!N200-'2012-2022'!AA$2)/'2012-2022'!AA$3</f>
        <v>-0.58008923874377805</v>
      </c>
      <c r="O200" s="22">
        <f>('2012-2022'!P200-'2012-2022'!AC$2)/'2012-2022'!AC$3</f>
        <v>-0.23260813487744161</v>
      </c>
    </row>
    <row r="201" spans="1:15">
      <c r="A201" s="10" t="s">
        <v>25</v>
      </c>
      <c r="B201" s="11">
        <v>2013</v>
      </c>
      <c r="C201" s="14" t="s">
        <v>60</v>
      </c>
      <c r="D201" s="14" t="s">
        <v>52</v>
      </c>
      <c r="E201" s="22">
        <f>('2012-2022'!E201-'2012-2022'!R$2)/'2012-2022'!R$3</f>
        <v>-0.37185811896862103</v>
      </c>
      <c r="F201" s="22">
        <f>('2012-2022'!F201-'2012-2022'!S$2)/'2012-2022'!S$3</f>
        <v>0.68605916911383868</v>
      </c>
      <c r="G201" s="22">
        <f>('2012-2022'!G201-'2012-2022'!T$2)/'2012-2022'!T$3</f>
        <v>0.80659582229983118</v>
      </c>
      <c r="H201" s="22">
        <f>('2012-2022'!H201-'2012-2022'!U$2)/'2012-2022'!U$3</f>
        <v>-0.48636492136801024</v>
      </c>
      <c r="I201" s="22">
        <f>('2012-2022'!I201-'2012-2022'!V$2)/'2012-2022'!V$3</f>
        <v>-0.16511596811323523</v>
      </c>
      <c r="J201" s="22">
        <f>('2012-2022'!J201-'2012-2022'!W$2)/'2012-2022'!W$3</f>
        <v>-0.75719778903970114</v>
      </c>
      <c r="K201" s="22">
        <f>('2012-2022'!K201-'2012-2022'!X$2)/'2012-2022'!X$3</f>
        <v>-0.52059163917396167</v>
      </c>
      <c r="L201" s="22">
        <f>('2012-2022'!L201-'2012-2022'!Y$2)/'2012-2022'!Y$3</f>
        <v>-0.82618511035768383</v>
      </c>
      <c r="M201" s="22">
        <f>('2012-2022'!M201-'2012-2022'!Z$2)/'2012-2022'!Z$3</f>
        <v>-1.6287066734275597</v>
      </c>
      <c r="N201" s="22">
        <f>('2012-2022'!N201-'2012-2022'!AA$2)/'2012-2022'!AA$3</f>
        <v>-0.43183017842968513</v>
      </c>
      <c r="O201" s="22">
        <f>('2012-2022'!P201-'2012-2022'!AC$2)/'2012-2022'!AC$3</f>
        <v>-0.25452890312575038</v>
      </c>
    </row>
    <row r="202" spans="1:15">
      <c r="A202" s="10" t="s">
        <v>25</v>
      </c>
      <c r="B202" s="11">
        <v>2014</v>
      </c>
      <c r="C202" s="14" t="s">
        <v>60</v>
      </c>
      <c r="D202" s="14" t="s">
        <v>52</v>
      </c>
      <c r="E202" s="22">
        <f>('2012-2022'!E202-'2012-2022'!R$2)/'2012-2022'!R$3</f>
        <v>-0.91833544197536443</v>
      </c>
      <c r="F202" s="22">
        <f>('2012-2022'!F202-'2012-2022'!S$2)/'2012-2022'!S$3</f>
        <v>0.23695644769798505</v>
      </c>
      <c r="G202" s="22">
        <f>('2012-2022'!G202-'2012-2022'!T$2)/'2012-2022'!T$3</f>
        <v>1.0185431037155812</v>
      </c>
      <c r="H202" s="22">
        <f>('2012-2022'!H202-'2012-2022'!U$2)/'2012-2022'!U$3</f>
        <v>-0.9097595515100898</v>
      </c>
      <c r="I202" s="22">
        <f>('2012-2022'!I202-'2012-2022'!V$2)/'2012-2022'!V$3</f>
        <v>-0.82282232034233371</v>
      </c>
      <c r="J202" s="22">
        <f>('2012-2022'!J202-'2012-2022'!W$2)/'2012-2022'!W$3</f>
        <v>-1.1938696542105585</v>
      </c>
      <c r="K202" s="22">
        <f>('2012-2022'!K202-'2012-2022'!X$2)/'2012-2022'!X$3</f>
        <v>-0.79786814688955199</v>
      </c>
      <c r="L202" s="22">
        <f>('2012-2022'!L202-'2012-2022'!Y$2)/'2012-2022'!Y$3</f>
        <v>-1.0117582682161661</v>
      </c>
      <c r="M202" s="22">
        <f>('2012-2022'!M202-'2012-2022'!Z$2)/'2012-2022'!Z$3</f>
        <v>-1.7985302095357831</v>
      </c>
      <c r="N202" s="22">
        <f>('2012-2022'!N202-'2012-2022'!AA$2)/'2012-2022'!AA$3</f>
        <v>-0.48513908790789034</v>
      </c>
      <c r="O202" s="22">
        <f>('2012-2022'!P202-'2012-2022'!AC$2)/'2012-2022'!AC$3</f>
        <v>-0.53493822397973556</v>
      </c>
    </row>
    <row r="203" spans="1:15">
      <c r="A203" s="10" t="s">
        <v>25</v>
      </c>
      <c r="B203" s="11">
        <v>2015</v>
      </c>
      <c r="C203" s="14" t="s">
        <v>60</v>
      </c>
      <c r="D203" s="14" t="s">
        <v>52</v>
      </c>
      <c r="E203" s="22">
        <f>('2012-2022'!E203-'2012-2022'!R$2)/'2012-2022'!R$3</f>
        <v>-0.66832069431309571</v>
      </c>
      <c r="F203" s="22">
        <f>('2012-2022'!F203-'2012-2022'!S$2)/'2012-2022'!S$3</f>
        <v>0.13739633802533729</v>
      </c>
      <c r="G203" s="22">
        <f>('2012-2022'!G203-'2012-2022'!T$2)/'2012-2022'!T$3</f>
        <v>0.58308418241479543</v>
      </c>
      <c r="H203" s="22">
        <f>('2012-2022'!H203-'2012-2022'!U$2)/'2012-2022'!U$3</f>
        <v>-0.69764136028603552</v>
      </c>
      <c r="I203" s="22">
        <f>('2012-2022'!I203-'2012-2022'!V$2)/'2012-2022'!V$3</f>
        <v>-0.57168478156382474</v>
      </c>
      <c r="J203" s="22">
        <f>('2012-2022'!J203-'2012-2022'!W$2)/'2012-2022'!W$3</f>
        <v>-0.51750222266109835</v>
      </c>
      <c r="K203" s="22">
        <f>('2012-2022'!K203-'2012-2022'!X$2)/'2012-2022'!X$3</f>
        <v>-0.71036561273243004</v>
      </c>
      <c r="L203" s="22">
        <f>('2012-2022'!L203-'2012-2022'!Y$2)/'2012-2022'!Y$3</f>
        <v>-0.53545744804454443</v>
      </c>
      <c r="M203" s="22">
        <f>('2012-2022'!M203-'2012-2022'!Z$2)/'2012-2022'!Z$3</f>
        <v>-1.0273604111526449</v>
      </c>
      <c r="N203" s="22">
        <f>('2012-2022'!N203-'2012-2022'!AA$2)/'2012-2022'!AA$3</f>
        <v>-0.24210065050665652</v>
      </c>
      <c r="O203" s="22">
        <f>('2012-2022'!P203-'2012-2022'!AC$2)/'2012-2022'!AC$3</f>
        <v>-0.66946216684937632</v>
      </c>
    </row>
    <row r="204" spans="1:15">
      <c r="A204" s="10" t="s">
        <v>25</v>
      </c>
      <c r="B204" s="11">
        <v>2016</v>
      </c>
      <c r="C204" s="14" t="s">
        <v>60</v>
      </c>
      <c r="D204" s="14" t="s">
        <v>52</v>
      </c>
      <c r="E204" s="22">
        <f>('2012-2022'!E204-'2012-2022'!R$2)/'2012-2022'!R$3</f>
        <v>-1.0133672601723802</v>
      </c>
      <c r="F204" s="22">
        <f>('2012-2022'!F204-'2012-2022'!S$2)/'2012-2022'!S$3</f>
        <v>1.1547856970999446</v>
      </c>
      <c r="G204" s="22">
        <f>('2012-2022'!G204-'2012-2022'!T$2)/'2012-2022'!T$3</f>
        <v>-0.64078204823384222</v>
      </c>
      <c r="H204" s="22">
        <f>('2012-2022'!H204-'2012-2022'!U$2)/'2012-2022'!U$3</f>
        <v>-0.64892414421135791</v>
      </c>
      <c r="I204" s="22">
        <f>('2012-2022'!I204-'2012-2022'!V$2)/'2012-2022'!V$3</f>
        <v>-1.1808931746599503</v>
      </c>
      <c r="J204" s="22">
        <f>('2012-2022'!J204-'2012-2022'!W$2)/'2012-2022'!W$3</f>
        <v>-1.174255264850864</v>
      </c>
      <c r="K204" s="22">
        <f>('2012-2022'!K204-'2012-2022'!X$2)/'2012-2022'!X$3</f>
        <v>-0.75547598465690835</v>
      </c>
      <c r="L204" s="22">
        <f>('2012-2022'!L204-'2012-2022'!Y$2)/'2012-2022'!Y$3</f>
        <v>-0.85765862555407313</v>
      </c>
      <c r="M204" s="22">
        <f>('2012-2022'!M204-'2012-2022'!Z$2)/'2012-2022'!Z$3</f>
        <v>-0.75814316993584407</v>
      </c>
      <c r="N204" s="22">
        <f>('2012-2022'!N204-'2012-2022'!AA$2)/'2012-2022'!AA$3</f>
        <v>-0.60758291017132382</v>
      </c>
      <c r="O204" s="22">
        <f>('2012-2022'!P204-'2012-2022'!AC$2)/'2012-2022'!AC$3</f>
        <v>-0.71161891202174765</v>
      </c>
    </row>
    <row r="205" spans="1:15">
      <c r="A205" s="10" t="s">
        <v>25</v>
      </c>
      <c r="B205" s="11">
        <v>2017</v>
      </c>
      <c r="C205" s="14" t="s">
        <v>60</v>
      </c>
      <c r="D205" s="14" t="s">
        <v>52</v>
      </c>
      <c r="E205" s="22">
        <f>('2012-2022'!E205-'2012-2022'!R$2)/'2012-2022'!R$3</f>
        <v>-0.24511798749775243</v>
      </c>
      <c r="F205" s="22">
        <f>('2012-2022'!F205-'2012-2022'!S$2)/'2012-2022'!S$3</f>
        <v>0.57814310397851909</v>
      </c>
      <c r="G205" s="22">
        <f>('2012-2022'!G205-'2012-2022'!T$2)/'2012-2022'!T$3</f>
        <v>1.133769752285211</v>
      </c>
      <c r="H205" s="22">
        <f>('2012-2022'!H205-'2012-2022'!U$2)/'2012-2022'!U$3</f>
        <v>-0.35666320357445752</v>
      </c>
      <c r="I205" s="22">
        <f>('2012-2022'!I205-'2012-2022'!V$2)/'2012-2022'!V$3</f>
        <v>-0.11355553776793932</v>
      </c>
      <c r="J205" s="22">
        <f>('2012-2022'!J205-'2012-2022'!W$2)/'2012-2022'!W$3</f>
        <v>-0.99552405730187865</v>
      </c>
      <c r="K205" s="22">
        <f>('2012-2022'!K205-'2012-2022'!X$2)/'2012-2022'!X$3</f>
        <v>-0.5382356949490994</v>
      </c>
      <c r="L205" s="22">
        <f>('2012-2022'!L205-'2012-2022'!Y$2)/'2012-2022'!Y$3</f>
        <v>-0.92218254422498758</v>
      </c>
      <c r="M205" s="22">
        <f>('2012-2022'!M205-'2012-2022'!Z$2)/'2012-2022'!Z$3</f>
        <v>-0.69708847784080763</v>
      </c>
      <c r="N205" s="22">
        <f>('2012-2022'!N205-'2012-2022'!AA$2)/'2012-2022'!AA$3</f>
        <v>-0.10115153636639646</v>
      </c>
      <c r="O205" s="22">
        <f>('2012-2022'!P205-'2012-2022'!AC$2)/'2012-2022'!AC$3</f>
        <v>-0.75116040242753634</v>
      </c>
    </row>
    <row r="206" spans="1:15">
      <c r="A206" s="10" t="s">
        <v>25</v>
      </c>
      <c r="B206" s="11">
        <v>2018</v>
      </c>
      <c r="C206" s="14" t="s">
        <v>60</v>
      </c>
      <c r="D206" s="14" t="s">
        <v>52</v>
      </c>
      <c r="E206" s="22">
        <f>('2012-2022'!E206-'2012-2022'!R$2)/'2012-2022'!R$3</f>
        <v>-0.31875691025607233</v>
      </c>
      <c r="F206" s="22">
        <f>('2012-2022'!F206-'2012-2022'!S$2)/'2012-2022'!S$3</f>
        <v>0.44324515138058268</v>
      </c>
      <c r="G206" s="22">
        <f>('2012-2022'!G206-'2012-2022'!T$2)/'2012-2022'!T$3</f>
        <v>1.0769875812747938</v>
      </c>
      <c r="H206" s="22">
        <f>('2012-2022'!H206-'2012-2022'!U$2)/'2012-2022'!U$3</f>
        <v>-0.38580437475422341</v>
      </c>
      <c r="I206" s="22">
        <f>('2012-2022'!I206-'2012-2022'!V$2)/'2012-2022'!V$3</f>
        <v>-0.23760480875728535</v>
      </c>
      <c r="J206" s="22">
        <f>('2012-2022'!J206-'2012-2022'!W$2)/'2012-2022'!W$3</f>
        <v>-0.10896955855033483</v>
      </c>
      <c r="K206" s="22">
        <f>('2012-2022'!K206-'2012-2022'!X$2)/'2012-2022'!X$3</f>
        <v>-0.51309360158482431</v>
      </c>
      <c r="L206" s="22">
        <f>('2012-2022'!L206-'2012-2022'!Y$2)/'2012-2022'!Y$3</f>
        <v>-0.99701885242356936</v>
      </c>
      <c r="M206" s="22">
        <f>('2012-2022'!M206-'2012-2022'!Z$2)/'2012-2022'!Z$3</f>
        <v>-0.16250669177447488</v>
      </c>
      <c r="N206" s="22">
        <f>('2012-2022'!N206-'2012-2022'!AA$2)/'2012-2022'!AA$3</f>
        <v>0.43450473496507408</v>
      </c>
      <c r="O206" s="22">
        <f>('2012-2022'!P206-'2012-2022'!AC$2)/'2012-2022'!AC$3</f>
        <v>-0.95374546426222473</v>
      </c>
    </row>
    <row r="207" spans="1:15">
      <c r="A207" s="10" t="s">
        <v>25</v>
      </c>
      <c r="B207" s="11">
        <v>2019</v>
      </c>
      <c r="C207" s="14" t="s">
        <v>60</v>
      </c>
      <c r="D207" s="14" t="s">
        <v>52</v>
      </c>
      <c r="E207" s="22">
        <f>('2012-2022'!E207-'2012-2022'!R$2)/'2012-2022'!R$3</f>
        <v>-0.3956914671521779</v>
      </c>
      <c r="F207" s="22">
        <f>('2012-2022'!F207-'2012-2022'!S$2)/'2012-2022'!S$3</f>
        <v>0.30834719878264566</v>
      </c>
      <c r="G207" s="22">
        <f>('2012-2022'!G207-'2012-2022'!T$2)/'2012-2022'!T$3</f>
        <v>1.0202054102643772</v>
      </c>
      <c r="H207" s="22">
        <f>('2012-2022'!H207-'2012-2022'!U$2)/'2012-2022'!U$3</f>
        <v>-0.41494554593398936</v>
      </c>
      <c r="I207" s="22">
        <f>('2012-2022'!I207-'2012-2022'!V$2)/'2012-2022'!V$3</f>
        <v>-0.36165407974663139</v>
      </c>
      <c r="J207" s="22">
        <f>('2012-2022'!J207-'2012-2022'!W$2)/'2012-2022'!W$3</f>
        <v>0.77758494020120839</v>
      </c>
      <c r="K207" s="22">
        <f>('2012-2022'!K207-'2012-2022'!X$2)/'2012-2022'!X$3</f>
        <v>-0.48795150822054933</v>
      </c>
      <c r="L207" s="22">
        <f>('2012-2022'!L207-'2012-2022'!Y$2)/'2012-2022'!Y$3</f>
        <v>-1.0718551606221509</v>
      </c>
      <c r="M207" s="22">
        <f>('2012-2022'!M207-'2012-2022'!Z$2)/'2012-2022'!Z$3</f>
        <v>0.37207509429185787</v>
      </c>
      <c r="N207" s="22">
        <f>('2012-2022'!N207-'2012-2022'!AA$2)/'2012-2022'!AA$3</f>
        <v>0.97016100629654456</v>
      </c>
      <c r="O207" s="22">
        <f>('2012-2022'!P207-'2012-2022'!AC$2)/'2012-2022'!AC$3</f>
        <v>-0.89055856062745331</v>
      </c>
    </row>
    <row r="208" spans="1:15">
      <c r="A208" s="10" t="s">
        <v>25</v>
      </c>
      <c r="B208" s="11">
        <v>2020</v>
      </c>
      <c r="C208" s="14" t="s">
        <v>60</v>
      </c>
      <c r="D208" s="14" t="s">
        <v>52</v>
      </c>
      <c r="E208" s="22">
        <f>('2012-2022'!E208-'2012-2022'!R$2)/'2012-2022'!R$3</f>
        <v>0.18063123157375607</v>
      </c>
      <c r="F208" s="22">
        <f>('2012-2022'!F208-'2012-2022'!S$2)/'2012-2022'!S$3</f>
        <v>0.99762393157000273</v>
      </c>
      <c r="G208" s="22">
        <f>('2012-2022'!G208-'2012-2022'!T$2)/'2012-2022'!T$3</f>
        <v>1.0097447591050028</v>
      </c>
      <c r="H208" s="22">
        <f>('2012-2022'!H208-'2012-2022'!U$2)/'2012-2022'!U$3</f>
        <v>0.3423717338990237</v>
      </c>
      <c r="I208" s="22">
        <f>('2012-2022'!I208-'2012-2022'!V$2)/'2012-2022'!V$3</f>
        <v>6.0718952044088739E-2</v>
      </c>
      <c r="J208" s="22">
        <f>('2012-2022'!J208-'2012-2022'!W$2)/'2012-2022'!W$3</f>
        <v>1.1830205868141093</v>
      </c>
      <c r="K208" s="22">
        <f>('2012-2022'!K208-'2012-2022'!X$2)/'2012-2022'!X$3</f>
        <v>3.8628758078546696E-2</v>
      </c>
      <c r="L208" s="22">
        <f>('2012-2022'!L208-'2012-2022'!Y$2)/'2012-2022'!Y$3</f>
        <v>-0.70049291777521816</v>
      </c>
      <c r="M208" s="22">
        <f>('2012-2022'!M208-'2012-2022'!Z$2)/'2012-2022'!Z$3</f>
        <v>0.51352544914115383</v>
      </c>
      <c r="N208" s="22">
        <f>('2012-2022'!N208-'2012-2022'!AA$2)/'2012-2022'!AA$3</f>
        <v>0.89146343453479671</v>
      </c>
      <c r="O208" s="22">
        <f>('2012-2022'!P208-'2012-2022'!AC$2)/'2012-2022'!AC$3</f>
        <v>-0.92688359694477729</v>
      </c>
    </row>
    <row r="209" spans="1:15">
      <c r="A209" s="10" t="s">
        <v>25</v>
      </c>
      <c r="B209" s="11">
        <v>2021</v>
      </c>
      <c r="C209" s="14" t="s">
        <v>60</v>
      </c>
      <c r="D209" s="14" t="s">
        <v>52</v>
      </c>
      <c r="E209" s="22">
        <f>('2012-2022'!E209-'2012-2022'!R$2)/'2012-2022'!R$3</f>
        <v>0.75136760485760001</v>
      </c>
      <c r="F209" s="22">
        <f>('2012-2022'!F209-'2012-2022'!S$2)/'2012-2022'!S$3</f>
        <v>1.6869006643573592</v>
      </c>
      <c r="G209" s="22">
        <f>('2012-2022'!G209-'2012-2022'!T$2)/'2012-2022'!T$3</f>
        <v>0.99928410794562716</v>
      </c>
      <c r="H209" s="22">
        <f>('2012-2022'!H209-'2012-2022'!U$2)/'2012-2022'!U$3</f>
        <v>1.0996890137320368</v>
      </c>
      <c r="I209" s="22">
        <f>('2012-2022'!I209-'2012-2022'!V$2)/'2012-2022'!V$3</f>
        <v>0.48309198383480884</v>
      </c>
      <c r="J209" s="22">
        <f>('2012-2022'!J209-'2012-2022'!W$2)/'2012-2022'!W$3</f>
        <v>1.5884562334270103</v>
      </c>
      <c r="K209" s="22">
        <f>('2012-2022'!K209-'2012-2022'!X$2)/'2012-2022'!X$3</f>
        <v>0.56520902437764287</v>
      </c>
      <c r="L209" s="22">
        <f>('2012-2022'!L209-'2012-2022'!Y$2)/'2012-2022'!Y$3</f>
        <v>-0.32913067492828485</v>
      </c>
      <c r="M209" s="22">
        <f>('2012-2022'!M209-'2012-2022'!Z$2)/'2012-2022'!Z$3</f>
        <v>0.65497580399044986</v>
      </c>
      <c r="N209" s="22">
        <f>('2012-2022'!N209-'2012-2022'!AA$2)/'2012-2022'!AA$3</f>
        <v>0.8127658627730493</v>
      </c>
      <c r="O209" s="22">
        <f>('2012-2022'!P209-'2012-2022'!AC$2)/'2012-2022'!AC$3</f>
        <v>-1.0176136516956746</v>
      </c>
    </row>
    <row r="210" spans="1:15">
      <c r="A210" s="10" t="s">
        <v>25</v>
      </c>
      <c r="B210" s="11">
        <v>2022</v>
      </c>
      <c r="C210" s="14" t="s">
        <v>60</v>
      </c>
      <c r="D210" s="14" t="s">
        <v>52</v>
      </c>
      <c r="E210" s="22">
        <f>('2012-2022'!E210-'2012-2022'!R$2)/'2012-2022'!R$3</f>
        <v>-0.61178002100807727</v>
      </c>
      <c r="F210" s="22">
        <f>('2012-2022'!F210-'2012-2022'!S$2)/'2012-2022'!S$3</f>
        <v>1.093358779843135</v>
      </c>
      <c r="G210" s="22">
        <f>('2012-2022'!G210-'2012-2022'!T$2)/'2012-2022'!T$3</f>
        <v>0.96114645993206882</v>
      </c>
      <c r="H210" s="22">
        <f>('2012-2022'!H210-'2012-2022'!U$2)/'2012-2022'!U$3</f>
        <v>-0.47359044734933398</v>
      </c>
      <c r="I210" s="22">
        <f>('2012-2022'!I210-'2012-2022'!V$2)/'2012-2022'!V$3</f>
        <v>-0.64479019549398875</v>
      </c>
      <c r="J210" s="22">
        <f>('2012-2022'!J210-'2012-2022'!W$2)/'2012-2022'!W$3</f>
        <v>1.0707724403695098</v>
      </c>
      <c r="K210" s="22">
        <f>('2012-2022'!K210-'2012-2022'!X$2)/'2012-2022'!X$3</f>
        <v>-0.93004599356556228</v>
      </c>
      <c r="L210" s="22">
        <f>('2012-2022'!L210-'2012-2022'!Y$2)/'2012-2022'!Y$3</f>
        <v>-0.65208846883625615</v>
      </c>
      <c r="M210" s="22">
        <f>('2012-2022'!M210-'2012-2022'!Z$2)/'2012-2022'!Z$3</f>
        <v>0.85393834407278069</v>
      </c>
      <c r="N210" s="22">
        <f>('2012-2022'!N210-'2012-2022'!AA$2)/'2012-2022'!AA$3</f>
        <v>1.0263824012077605</v>
      </c>
      <c r="O210" s="22">
        <f>('2012-2022'!P210-'2012-2022'!AC$2)/'2012-2022'!AC$3</f>
        <v>-1.1182375966670191</v>
      </c>
    </row>
    <row r="211" spans="1:15">
      <c r="A211" s="10" t="s">
        <v>26</v>
      </c>
      <c r="B211" s="11">
        <v>2012</v>
      </c>
      <c r="C211" s="14" t="s">
        <v>59</v>
      </c>
      <c r="D211" s="14" t="s">
        <v>54</v>
      </c>
      <c r="E211" s="22">
        <f>('2012-2022'!E211-'2012-2022'!R$2)/'2012-2022'!R$3</f>
        <v>-1.3536197925084197</v>
      </c>
      <c r="F211" s="22">
        <f>('2012-2022'!F211-'2012-2022'!S$2)/'2012-2022'!S$3</f>
        <v>-1.9820422537219784</v>
      </c>
      <c r="G211" s="22">
        <f>('2012-2022'!G211-'2012-2022'!T$2)/'2012-2022'!T$3</f>
        <v>-1.7460817018815544</v>
      </c>
      <c r="H211" s="22">
        <f>('2012-2022'!H211-'2012-2022'!U$2)/'2012-2022'!U$3</f>
        <v>-1.4063718950589355</v>
      </c>
      <c r="I211" s="22">
        <f>('2012-2022'!I211-'2012-2022'!V$2)/'2012-2022'!V$3</f>
        <v>-1.2580383099322945</v>
      </c>
      <c r="J211" s="22">
        <f>('2012-2022'!J211-'2012-2022'!W$2)/'2012-2022'!W$3</f>
        <v>-2.1246812894996387</v>
      </c>
      <c r="K211" s="22">
        <f>('2012-2022'!K211-'2012-2022'!X$2)/'2012-2022'!X$3</f>
        <v>-0.58481068809201397</v>
      </c>
      <c r="L211" s="22">
        <f>('2012-2022'!L211-'2012-2022'!Y$2)/'2012-2022'!Y$3</f>
        <v>-1.0410915131764413</v>
      </c>
      <c r="M211" s="22">
        <f>('2012-2022'!M211-'2012-2022'!Z$2)/'2012-2022'!Z$3</f>
        <v>-0.26685442283741734</v>
      </c>
      <c r="N211" s="22">
        <f>('2012-2022'!N211-'2012-2022'!AA$2)/'2012-2022'!AA$3</f>
        <v>-2.0066746111631888</v>
      </c>
      <c r="O211" s="22">
        <f>('2012-2022'!P211-'2012-2022'!AC$2)/'2012-2022'!AC$3</f>
        <v>0.12786039278862646</v>
      </c>
    </row>
    <row r="212" spans="1:15">
      <c r="A212" s="10" t="s">
        <v>26</v>
      </c>
      <c r="B212" s="11">
        <v>2013</v>
      </c>
      <c r="C212" s="14" t="s">
        <v>59</v>
      </c>
      <c r="D212" s="14" t="s">
        <v>54</v>
      </c>
      <c r="E212" s="22">
        <f>('2012-2022'!E212-'2012-2022'!R$2)/'2012-2022'!R$3</f>
        <v>-1.3970042734267891</v>
      </c>
      <c r="F212" s="22">
        <f>('2012-2022'!F212-'2012-2022'!S$2)/'2012-2022'!S$3</f>
        <v>-2.2488457007042286</v>
      </c>
      <c r="G212" s="22">
        <f>('2012-2022'!G212-'2012-2022'!T$2)/'2012-2022'!T$3</f>
        <v>-1.8922004954909637</v>
      </c>
      <c r="H212" s="22">
        <f>('2012-2022'!H212-'2012-2022'!U$2)/'2012-2022'!U$3</f>
        <v>-1.5204296627301963</v>
      </c>
      <c r="I212" s="22">
        <f>('2012-2022'!I212-'2012-2022'!V$2)/'2012-2022'!V$3</f>
        <v>-1.2375024347649881</v>
      </c>
      <c r="J212" s="22">
        <f>('2012-2022'!J212-'2012-2022'!W$2)/'2012-2022'!W$3</f>
        <v>-2.0229746984140351</v>
      </c>
      <c r="K212" s="22">
        <f>('2012-2022'!K212-'2012-2022'!X$2)/'2012-2022'!X$3</f>
        <v>-0.65831900208209426</v>
      </c>
      <c r="L212" s="22">
        <f>('2012-2022'!L212-'2012-2022'!Y$2)/'2012-2022'!Y$3</f>
        <v>-0.88361898176914933</v>
      </c>
      <c r="M212" s="22">
        <f>('2012-2022'!M212-'2012-2022'!Z$2)/'2012-2022'!Z$3</f>
        <v>0.16105264782120388</v>
      </c>
      <c r="N212" s="22">
        <f>('2012-2022'!N212-'2012-2022'!AA$2)/'2012-2022'!AA$3</f>
        <v>-1.993638713164005</v>
      </c>
      <c r="O212" s="22">
        <f>('2012-2022'!P212-'2012-2022'!AC$2)/'2012-2022'!AC$3</f>
        <v>0.24004240100922533</v>
      </c>
    </row>
    <row r="213" spans="1:15">
      <c r="A213" s="10" t="s">
        <v>26</v>
      </c>
      <c r="B213" s="11">
        <v>2014</v>
      </c>
      <c r="C213" s="14" t="s">
        <v>59</v>
      </c>
      <c r="D213" s="14" t="s">
        <v>54</v>
      </c>
      <c r="E213" s="22">
        <f>('2012-2022'!E213-'2012-2022'!R$2)/'2012-2022'!R$3</f>
        <v>-1.3890306476294163</v>
      </c>
      <c r="F213" s="22">
        <f>('2012-2022'!F213-'2012-2022'!S$2)/'2012-2022'!S$3</f>
        <v>-2.0393113825356397</v>
      </c>
      <c r="G213" s="22">
        <f>('2012-2022'!G213-'2012-2022'!T$2)/'2012-2022'!T$3</f>
        <v>-2.4829644495549865</v>
      </c>
      <c r="H213" s="22">
        <f>('2012-2022'!H213-'2012-2022'!U$2)/'2012-2022'!U$3</f>
        <v>-1.3945926814566061</v>
      </c>
      <c r="I213" s="22">
        <f>('2012-2022'!I213-'2012-2022'!V$2)/'2012-2022'!V$3</f>
        <v>-1.3200012690029428</v>
      </c>
      <c r="J213" s="22">
        <f>('2012-2022'!J213-'2012-2022'!W$2)/'2012-2022'!W$3</f>
        <v>-2.0528654016341945</v>
      </c>
      <c r="K213" s="22">
        <f>('2012-2022'!K213-'2012-2022'!X$2)/'2012-2022'!X$3</f>
        <v>-0.80489878389703906</v>
      </c>
      <c r="L213" s="22">
        <f>('2012-2022'!L213-'2012-2022'!Y$2)/'2012-2022'!Y$3</f>
        <v>-0.62814602798452479</v>
      </c>
      <c r="M213" s="22">
        <f>('2012-2022'!M213-'2012-2022'!Z$2)/'2012-2022'!Z$3</f>
        <v>-0.21397762104774926</v>
      </c>
      <c r="N213" s="22">
        <f>('2012-2022'!N213-'2012-2022'!AA$2)/'2012-2022'!AA$3</f>
        <v>-1.9419023800752464</v>
      </c>
      <c r="O213" s="22">
        <f>('2012-2022'!P213-'2012-2022'!AC$2)/'2012-2022'!AC$3</f>
        <v>0.20945239385675074</v>
      </c>
    </row>
    <row r="214" spans="1:15">
      <c r="A214" s="10" t="s">
        <v>26</v>
      </c>
      <c r="B214" s="11">
        <v>2015</v>
      </c>
      <c r="C214" s="14" t="s">
        <v>59</v>
      </c>
      <c r="D214" s="14" t="s">
        <v>54</v>
      </c>
      <c r="E214" s="22">
        <f>('2012-2022'!E214-'2012-2022'!R$2)/'2012-2022'!R$3</f>
        <v>-1.4105785061621021</v>
      </c>
      <c r="F214" s="22">
        <f>('2012-2022'!F214-'2012-2022'!S$2)/'2012-2022'!S$3</f>
        <v>-1.829777064367051</v>
      </c>
      <c r="G214" s="22">
        <f>('2012-2022'!G214-'2012-2022'!T$2)/'2012-2022'!T$3</f>
        <v>-3.0737284036190089</v>
      </c>
      <c r="H214" s="22">
        <f>('2012-2022'!H214-'2012-2022'!U$2)/'2012-2022'!U$3</f>
        <v>-1.2687557001830156</v>
      </c>
      <c r="I214" s="22">
        <f>('2012-2022'!I214-'2012-2022'!V$2)/'2012-2022'!V$3</f>
        <v>-1.4025001032408975</v>
      </c>
      <c r="J214" s="22">
        <f>('2012-2022'!J214-'2012-2022'!W$2)/'2012-2022'!W$3</f>
        <v>-2.0827561048543544</v>
      </c>
      <c r="K214" s="22">
        <f>('2012-2022'!K214-'2012-2022'!X$2)/'2012-2022'!X$3</f>
        <v>-0.95147856571198397</v>
      </c>
      <c r="L214" s="22">
        <f>('2012-2022'!L214-'2012-2022'!Y$2)/'2012-2022'!Y$3</f>
        <v>-0.37267307419990003</v>
      </c>
      <c r="M214" s="22">
        <f>('2012-2022'!M214-'2012-2022'!Z$2)/'2012-2022'!Z$3</f>
        <v>-0.58900788991670305</v>
      </c>
      <c r="N214" s="22">
        <f>('2012-2022'!N214-'2012-2022'!AA$2)/'2012-2022'!AA$3</f>
        <v>-1.890166046986488</v>
      </c>
      <c r="O214" s="22">
        <f>('2012-2022'!P214-'2012-2022'!AC$2)/'2012-2022'!AC$3</f>
        <v>0.21243098321978654</v>
      </c>
    </row>
    <row r="215" spans="1:15">
      <c r="A215" s="10" t="s">
        <v>26</v>
      </c>
      <c r="B215" s="11">
        <v>2016</v>
      </c>
      <c r="C215" s="14" t="s">
        <v>59</v>
      </c>
      <c r="D215" s="14" t="s">
        <v>54</v>
      </c>
      <c r="E215" s="22">
        <f>('2012-2022'!E215-'2012-2022'!R$2)/'2012-2022'!R$3</f>
        <v>-1.4194989130766982</v>
      </c>
      <c r="F215" s="22">
        <f>('2012-2022'!F215-'2012-2022'!S$2)/'2012-2022'!S$3</f>
        <v>-1.7603708839599075</v>
      </c>
      <c r="G215" s="22">
        <f>('2012-2022'!G215-'2012-2022'!T$2)/'2012-2022'!T$3</f>
        <v>-2.5182479430252052</v>
      </c>
      <c r="H215" s="22">
        <f>('2012-2022'!H215-'2012-2022'!U$2)/'2012-2022'!U$3</f>
        <v>-1.3201574350323084</v>
      </c>
      <c r="I215" s="22">
        <f>('2012-2022'!I215-'2012-2022'!V$2)/'2012-2022'!V$3</f>
        <v>-1.3790408275226949</v>
      </c>
      <c r="J215" s="22">
        <f>('2012-2022'!J215-'2012-2022'!W$2)/'2012-2022'!W$3</f>
        <v>-0.54751669548532755</v>
      </c>
      <c r="K215" s="22">
        <f>('2012-2022'!K215-'2012-2022'!X$2)/'2012-2022'!X$3</f>
        <v>0.44506594585207826</v>
      </c>
      <c r="L215" s="22">
        <f>('2012-2022'!L215-'2012-2022'!Y$2)/'2012-2022'!Y$3</f>
        <v>-0.20902604339769254</v>
      </c>
      <c r="M215" s="22">
        <f>('2012-2022'!M215-'2012-2022'!Z$2)/'2012-2022'!Z$3</f>
        <v>-0.93244621330228028</v>
      </c>
      <c r="N215" s="22">
        <f>('2012-2022'!N215-'2012-2022'!AA$2)/'2012-2022'!AA$3</f>
        <v>-0.58910278947788908</v>
      </c>
      <c r="O215" s="22">
        <f>('2012-2022'!P215-'2012-2022'!AC$2)/'2012-2022'!AC$3</f>
        <v>0.18699341266469902</v>
      </c>
    </row>
    <row r="216" spans="1:15">
      <c r="A216" s="10" t="s">
        <v>26</v>
      </c>
      <c r="B216" s="11">
        <v>2017</v>
      </c>
      <c r="C216" s="14" t="s">
        <v>59</v>
      </c>
      <c r="D216" s="14" t="s">
        <v>54</v>
      </c>
      <c r="E216" s="22">
        <f>('2012-2022'!E216-'2012-2022'!R$2)/'2012-2022'!R$3</f>
        <v>-0.67791302862541891</v>
      </c>
      <c r="F216" s="22">
        <f>('2012-2022'!F216-'2012-2022'!S$2)/'2012-2022'!S$3</f>
        <v>-1.7957175694320007</v>
      </c>
      <c r="G216" s="22">
        <f>('2012-2022'!G216-'2012-2022'!T$2)/'2012-2022'!T$3</f>
        <v>-1.7680174587815998</v>
      </c>
      <c r="H216" s="22">
        <f>('2012-2022'!H216-'2012-2022'!U$2)/'2012-2022'!U$3</f>
        <v>-1.1074116275898431</v>
      </c>
      <c r="I216" s="22">
        <f>('2012-2022'!I216-'2012-2022'!V$2)/'2012-2022'!V$3</f>
        <v>-0.32827710059534376</v>
      </c>
      <c r="J216" s="22">
        <f>('2012-2022'!J216-'2012-2022'!W$2)/'2012-2022'!W$3</f>
        <v>-0.49651268552781969</v>
      </c>
      <c r="K216" s="22">
        <f>('2012-2022'!K216-'2012-2022'!X$2)/'2012-2022'!X$3</f>
        <v>0.20752614134443323</v>
      </c>
      <c r="L216" s="22">
        <f>('2012-2022'!L216-'2012-2022'!Y$2)/'2012-2022'!Y$3</f>
        <v>9.6302053270497109E-2</v>
      </c>
      <c r="M216" s="22">
        <f>('2012-2022'!M216-'2012-2022'!Z$2)/'2012-2022'!Z$3</f>
        <v>-1.0713485376261587</v>
      </c>
      <c r="N216" s="22">
        <f>('2012-2022'!N216-'2012-2022'!AA$2)/'2012-2022'!AA$3</f>
        <v>-0.59053059259377194</v>
      </c>
      <c r="O216" s="22">
        <f>('2012-2022'!P216-'2012-2022'!AC$2)/'2012-2022'!AC$3</f>
        <v>0.16613436091017883</v>
      </c>
    </row>
    <row r="217" spans="1:15">
      <c r="A217" s="10" t="s">
        <v>26</v>
      </c>
      <c r="B217" s="11">
        <v>2018</v>
      </c>
      <c r="C217" s="14" t="s">
        <v>59</v>
      </c>
      <c r="D217" s="14" t="s">
        <v>54</v>
      </c>
      <c r="E217" s="22">
        <f>('2012-2022'!E217-'2012-2022'!R$2)/'2012-2022'!R$3</f>
        <v>-0.17132356543095337</v>
      </c>
      <c r="F217" s="22">
        <f>('2012-2022'!F217-'2012-2022'!S$2)/'2012-2022'!S$3</f>
        <v>-1.1086646916728149</v>
      </c>
      <c r="G217" s="22">
        <f>('2012-2022'!G217-'2012-2022'!T$2)/'2012-2022'!T$3</f>
        <v>-1.6609163632323205</v>
      </c>
      <c r="H217" s="22">
        <f>('2012-2022'!H217-'2012-2022'!U$2)/'2012-2022'!U$3</f>
        <v>-0.38552551781209266</v>
      </c>
      <c r="I217" s="22">
        <f>('2012-2022'!I217-'2012-2022'!V$2)/'2012-2022'!V$3</f>
        <v>-3.0375289296384151E-3</v>
      </c>
      <c r="J217" s="22">
        <f>('2012-2022'!J217-'2012-2022'!W$2)/'2012-2022'!W$3</f>
        <v>-0.1494577609854803</v>
      </c>
      <c r="K217" s="22">
        <f>('2012-2022'!K217-'2012-2022'!X$2)/'2012-2022'!X$3</f>
        <v>0.78429870838603621</v>
      </c>
      <c r="L217" s="22">
        <f>('2012-2022'!L217-'2012-2022'!Y$2)/'2012-2022'!Y$3</f>
        <v>0.14107930036104216</v>
      </c>
      <c r="M217" s="22">
        <f>('2012-2022'!M217-'2012-2022'!Z$2)/'2012-2022'!Z$3</f>
        <v>-1.3662529623722399</v>
      </c>
      <c r="N217" s="22">
        <f>('2012-2022'!N217-'2012-2022'!AA$2)/'2012-2022'!AA$3</f>
        <v>5.4399396962672632E-2</v>
      </c>
      <c r="O217" s="22">
        <f>('2012-2022'!P217-'2012-2022'!AC$2)/'2012-2022'!AC$3</f>
        <v>0.16313615902221335</v>
      </c>
    </row>
    <row r="218" spans="1:15">
      <c r="A218" s="10" t="s">
        <v>26</v>
      </c>
      <c r="B218" s="11">
        <v>2019</v>
      </c>
      <c r="C218" s="14" t="s">
        <v>59</v>
      </c>
      <c r="D218" s="14" t="s">
        <v>54</v>
      </c>
      <c r="E218" s="22">
        <f>('2012-2022'!E218-'2012-2022'!R$2)/'2012-2022'!R$3</f>
        <v>-0.56750336879282315</v>
      </c>
      <c r="F218" s="22">
        <f>('2012-2022'!F218-'2012-2022'!S$2)/'2012-2022'!S$3</f>
        <v>-1.7623534052035263</v>
      </c>
      <c r="G218" s="22">
        <f>('2012-2022'!G218-'2012-2022'!T$2)/'2012-2022'!T$3</f>
        <v>-2.0676738840841042</v>
      </c>
      <c r="H218" s="22">
        <f>('2012-2022'!H218-'2012-2022'!U$2)/'2012-2022'!U$3</f>
        <v>-0.98020989472539433</v>
      </c>
      <c r="I218" s="22">
        <f>('2012-2022'!I218-'2012-2022'!V$2)/'2012-2022'!V$3</f>
        <v>-0.24819711169319009</v>
      </c>
      <c r="J218" s="22">
        <f>('2012-2022'!J218-'2012-2022'!W$2)/'2012-2022'!W$3</f>
        <v>2.6301368815315199E-2</v>
      </c>
      <c r="K218" s="22">
        <f>('2012-2022'!K218-'2012-2022'!X$2)/'2012-2022'!X$3</f>
        <v>0.81345420093975906</v>
      </c>
      <c r="L218" s="22">
        <f>('2012-2022'!L218-'2012-2022'!Y$2)/'2012-2022'!Y$3</f>
        <v>-0.36805749625617251</v>
      </c>
      <c r="M218" s="22">
        <f>('2012-2022'!M218-'2012-2022'!Z$2)/'2012-2022'!Z$3</f>
        <v>-2.6599879227090599</v>
      </c>
      <c r="N218" s="22">
        <f>('2012-2022'!N218-'2012-2022'!AA$2)/'2012-2022'!AA$3</f>
        <v>-0.11882809243110277</v>
      </c>
      <c r="O218" s="22">
        <f>('2012-2022'!P218-'2012-2022'!AC$2)/'2012-2022'!AC$3</f>
        <v>0.10668238606137188</v>
      </c>
    </row>
    <row r="219" spans="1:15">
      <c r="A219" s="10" t="s">
        <v>26</v>
      </c>
      <c r="B219" s="11">
        <v>2020</v>
      </c>
      <c r="C219" s="14" t="s">
        <v>59</v>
      </c>
      <c r="D219" s="14" t="s">
        <v>54</v>
      </c>
      <c r="E219" s="22">
        <f>('2012-2022'!E219-'2012-2022'!R$2)/'2012-2022'!R$3</f>
        <v>-0.47986417306201901</v>
      </c>
      <c r="F219" s="22">
        <f>('2012-2022'!F219-'2012-2022'!S$2)/'2012-2022'!S$3</f>
        <v>-1.2427028201650701</v>
      </c>
      <c r="G219" s="22">
        <f>('2012-2022'!G219-'2012-2022'!T$2)/'2012-2022'!T$3</f>
        <v>-1.8805868230888183</v>
      </c>
      <c r="H219" s="22">
        <f>('2012-2022'!H219-'2012-2022'!U$2)/'2012-2022'!U$3</f>
        <v>-0.58960788314614831</v>
      </c>
      <c r="I219" s="22">
        <f>('2012-2022'!I219-'2012-2022'!V$2)/'2012-2022'!V$3</f>
        <v>-0.37642560718600199</v>
      </c>
      <c r="J219" s="22">
        <f>('2012-2022'!J219-'2012-2022'!W$2)/'2012-2022'!W$3</f>
        <v>0.14009190501011803</v>
      </c>
      <c r="K219" s="22">
        <f>('2012-2022'!K219-'2012-2022'!X$2)/'2012-2022'!X$3</f>
        <v>0.91763897969270303</v>
      </c>
      <c r="L219" s="22">
        <f>('2012-2022'!L219-'2012-2022'!Y$2)/'2012-2022'!Y$3</f>
        <v>-0.14362592148006595</v>
      </c>
      <c r="M219" s="22">
        <f>('2012-2022'!M219-'2012-2022'!Z$2)/'2012-2022'!Z$3</f>
        <v>-2.335243630395992</v>
      </c>
      <c r="N219" s="22">
        <f>('2012-2022'!N219-'2012-2022'!AA$2)/'2012-2022'!AA$3</f>
        <v>-1.0003597610409557E-2</v>
      </c>
      <c r="O219" s="22">
        <f>('2012-2022'!P219-'2012-2022'!AC$2)/'2012-2022'!AC$3</f>
        <v>0.10203622919405998</v>
      </c>
    </row>
    <row r="220" spans="1:15">
      <c r="A220" s="10" t="s">
        <v>26</v>
      </c>
      <c r="B220" s="11">
        <v>2021</v>
      </c>
      <c r="C220" s="14" t="s">
        <v>59</v>
      </c>
      <c r="D220" s="14" t="s">
        <v>54</v>
      </c>
      <c r="E220" s="22">
        <f>('2012-2022'!E220-'2012-2022'!R$2)/'2012-2022'!R$3</f>
        <v>-0.40013674912453712</v>
      </c>
      <c r="F220" s="22">
        <f>('2012-2022'!F220-'2012-2022'!S$2)/'2012-2022'!S$3</f>
        <v>-1.1416508234731495</v>
      </c>
      <c r="G220" s="22">
        <f>('2012-2022'!G220-'2012-2022'!T$2)/'2012-2022'!T$3</f>
        <v>-1.9102908730566261</v>
      </c>
      <c r="H220" s="22">
        <f>('2012-2022'!H220-'2012-2022'!U$2)/'2012-2022'!U$3</f>
        <v>-0.42838829489578167</v>
      </c>
      <c r="I220" s="22">
        <f>('2012-2022'!I220-'2012-2022'!V$2)/'2012-2022'!V$3</f>
        <v>-0.36442704448000135</v>
      </c>
      <c r="J220" s="22">
        <f>('2012-2022'!J220-'2012-2022'!W$2)/'2012-2022'!W$3</f>
        <v>0.22156824276265502</v>
      </c>
      <c r="K220" s="22">
        <f>('2012-2022'!K220-'2012-2022'!X$2)/'2012-2022'!X$3</f>
        <v>0.98232836648566857</v>
      </c>
      <c r="L220" s="22">
        <f>('2012-2022'!L220-'2012-2022'!Y$2)/'2012-2022'!Y$3</f>
        <v>-0.10099269834217445</v>
      </c>
      <c r="M220" s="22">
        <f>('2012-2022'!M220-'2012-2022'!Z$2)/'2012-2022'!Z$3</f>
        <v>-2.1862792220135567</v>
      </c>
      <c r="N220" s="22">
        <f>('2012-2022'!N220-'2012-2022'!AA$2)/'2012-2022'!AA$3</f>
        <v>-5.011322675792345E-2</v>
      </c>
      <c r="O220" s="22">
        <f>('2012-2022'!P220-'2012-2022'!AC$2)/'2012-2022'!AC$3</f>
        <v>0.20221046902647236</v>
      </c>
    </row>
    <row r="221" spans="1:15">
      <c r="A221" s="10" t="s">
        <v>26</v>
      </c>
      <c r="B221" s="11">
        <v>2022</v>
      </c>
      <c r="C221" s="14" t="s">
        <v>59</v>
      </c>
      <c r="D221" s="14" t="s">
        <v>54</v>
      </c>
      <c r="E221" s="22">
        <f>('2012-2022'!E221-'2012-2022'!R$2)/'2012-2022'!R$3</f>
        <v>-0.41780040546048614</v>
      </c>
      <c r="F221" s="22">
        <f>('2012-2022'!F221-'2012-2022'!S$2)/'2012-2022'!S$3</f>
        <v>-0.85146844266674471</v>
      </c>
      <c r="G221" s="22">
        <f>('2012-2022'!G221-'2012-2022'!T$2)/'2012-2022'!T$3</f>
        <v>-1.7713403328300583</v>
      </c>
      <c r="H221" s="22">
        <f>('2012-2022'!H221-'2012-2022'!U$2)/'2012-2022'!U$3</f>
        <v>-0.27139335308865831</v>
      </c>
      <c r="I221" s="22">
        <f>('2012-2022'!I221-'2012-2022'!V$2)/'2012-2022'!V$3</f>
        <v>-0.49267898582851916</v>
      </c>
      <c r="J221" s="22">
        <f>('2012-2022'!J221-'2012-2022'!W$2)/'2012-2022'!W$3</f>
        <v>0.29627667859057061</v>
      </c>
      <c r="K221" s="22">
        <f>('2012-2022'!K221-'2012-2022'!X$2)/'2012-2022'!X$3</f>
        <v>0.90651227034487014</v>
      </c>
      <c r="L221" s="22">
        <f>('2012-2022'!L221-'2012-2022'!Y$2)/'2012-2022'!Y$3</f>
        <v>-0.1816655942091803</v>
      </c>
      <c r="M221" s="22">
        <f>('2012-2022'!M221-'2012-2022'!Z$2)/'2012-2022'!Z$3</f>
        <v>-2.1642315373414354</v>
      </c>
      <c r="N221" s="22">
        <f>('2012-2022'!N221-'2012-2022'!AA$2)/'2012-2022'!AA$3</f>
        <v>-0.23404901157696315</v>
      </c>
      <c r="O221" s="22">
        <f>('2012-2022'!P221-'2012-2022'!AC$2)/'2012-2022'!AC$3</f>
        <v>0.23902229827025565</v>
      </c>
    </row>
    <row r="222" spans="1:15">
      <c r="A222" s="10" t="s">
        <v>27</v>
      </c>
      <c r="B222" s="11">
        <v>2012</v>
      </c>
      <c r="C222" s="14" t="s">
        <v>55</v>
      </c>
      <c r="D222" s="14" t="s">
        <v>54</v>
      </c>
      <c r="E222" s="22">
        <f>('2012-2022'!E222-'2012-2022'!R$2)/'2012-2022'!R$3</f>
        <v>-1.0096104455749366</v>
      </c>
      <c r="F222" s="22">
        <f>('2012-2022'!F222-'2012-2022'!S$2)/'2012-2022'!S$3</f>
        <v>-1.2335948941044064</v>
      </c>
      <c r="G222" s="22">
        <f>('2012-2022'!G222-'2012-2022'!T$2)/'2012-2022'!T$3</f>
        <v>0.41053950720198573</v>
      </c>
      <c r="H222" s="22">
        <f>('2012-2022'!H222-'2012-2022'!U$2)/'2012-2022'!U$3</f>
        <v>-1.0949674842287964</v>
      </c>
      <c r="I222" s="22">
        <f>('2012-2022'!I222-'2012-2022'!V$2)/'2012-2022'!V$3</f>
        <v>-0.96508200600841043</v>
      </c>
      <c r="J222" s="22">
        <f>('2012-2022'!J222-'2012-2022'!W$2)/'2012-2022'!W$3</f>
        <v>-8.8816601952207988E-2</v>
      </c>
      <c r="K222" s="22">
        <f>('2012-2022'!K222-'2012-2022'!X$2)/'2012-2022'!X$3</f>
        <v>-0.77924298679114135</v>
      </c>
      <c r="L222" s="22">
        <f>('2012-2022'!L222-'2012-2022'!Y$2)/'2012-2022'!Y$3</f>
        <v>-0.84745711250157185</v>
      </c>
      <c r="M222" s="22">
        <f>('2012-2022'!M222-'2012-2022'!Z$2)/'2012-2022'!Z$3</f>
        <v>0.88832937891084163</v>
      </c>
      <c r="N222" s="22">
        <f>('2012-2022'!N222-'2012-2022'!AA$2)/'2012-2022'!AA$3</f>
        <v>-1.9204890263522072</v>
      </c>
      <c r="O222" s="22">
        <f>('2012-2022'!P222-'2012-2022'!AC$2)/'2012-2022'!AC$3</f>
        <v>5.7394979421304011E-2</v>
      </c>
    </row>
    <row r="223" spans="1:15">
      <c r="A223" s="10" t="s">
        <v>27</v>
      </c>
      <c r="B223" s="11">
        <v>2013</v>
      </c>
      <c r="C223" s="14" t="s">
        <v>55</v>
      </c>
      <c r="D223" s="14" t="s">
        <v>54</v>
      </c>
      <c r="E223" s="22">
        <f>('2012-2022'!E223-'2012-2022'!R$2)/'2012-2022'!R$3</f>
        <v>-1.1897520599557352</v>
      </c>
      <c r="F223" s="22">
        <f>('2012-2022'!F223-'2012-2022'!S$2)/'2012-2022'!S$3</f>
        <v>-1.1870734071627593</v>
      </c>
      <c r="G223" s="22">
        <f>('2012-2022'!G223-'2012-2022'!T$2)/'2012-2022'!T$3</f>
        <v>-0.3780275520473127</v>
      </c>
      <c r="H223" s="22">
        <f>('2012-2022'!H223-'2012-2022'!U$2)/'2012-2022'!U$3</f>
        <v>-1.1179683727651821</v>
      </c>
      <c r="I223" s="22">
        <f>('2012-2022'!I223-'2012-2022'!V$2)/'2012-2022'!V$3</f>
        <v>-1.2048381707302065</v>
      </c>
      <c r="J223" s="22">
        <f>('2012-2022'!J223-'2012-2022'!W$2)/'2012-2022'!W$3</f>
        <v>-0.26078503722955865</v>
      </c>
      <c r="K223" s="22">
        <f>('2012-2022'!K223-'2012-2022'!X$2)/'2012-2022'!X$3</f>
        <v>-0.98474607451282581</v>
      </c>
      <c r="L223" s="22">
        <f>('2012-2022'!L223-'2012-2022'!Y$2)/'2012-2022'!Y$3</f>
        <v>-0.87069110985765108</v>
      </c>
      <c r="M223" s="22">
        <f>('2012-2022'!M223-'2012-2022'!Z$2)/'2012-2022'!Z$3</f>
        <v>0.48777994891970972</v>
      </c>
      <c r="N223" s="22">
        <f>('2012-2022'!N223-'2012-2022'!AA$2)/'2012-2022'!AA$3</f>
        <v>-1.7898698872234087</v>
      </c>
      <c r="O223" s="22">
        <f>('2012-2022'!P223-'2012-2022'!AC$2)/'2012-2022'!AC$3</f>
        <v>5.9101143368871102E-2</v>
      </c>
    </row>
    <row r="224" spans="1:15">
      <c r="A224" s="10" t="s">
        <v>27</v>
      </c>
      <c r="B224" s="11">
        <v>2014</v>
      </c>
      <c r="C224" s="14" t="s">
        <v>55</v>
      </c>
      <c r="D224" s="14" t="s">
        <v>54</v>
      </c>
      <c r="E224" s="22">
        <f>('2012-2022'!E224-'2012-2022'!R$2)/'2012-2022'!R$3</f>
        <v>-1.1363889071588267</v>
      </c>
      <c r="F224" s="22">
        <f>('2012-2022'!F224-'2012-2022'!S$2)/'2012-2022'!S$3</f>
        <v>-1.2568144699392632</v>
      </c>
      <c r="G224" s="22">
        <f>('2012-2022'!G224-'2012-2022'!T$2)/'2012-2022'!T$3</f>
        <v>-0.68884999636139432</v>
      </c>
      <c r="H224" s="22">
        <f>('2012-2022'!H224-'2012-2022'!U$2)/'2012-2022'!U$3</f>
        <v>-1.0435391907786244</v>
      </c>
      <c r="I224" s="22">
        <f>('2012-2022'!I224-'2012-2022'!V$2)/'2012-2022'!V$3</f>
        <v>-1.1746224547997999</v>
      </c>
      <c r="J224" s="22">
        <f>('2012-2022'!J224-'2012-2022'!W$2)/'2012-2022'!W$3</f>
        <v>-0.28349748961610766</v>
      </c>
      <c r="K224" s="22">
        <f>('2012-2022'!K224-'2012-2022'!X$2)/'2012-2022'!X$3</f>
        <v>-1.0846632485396241</v>
      </c>
      <c r="L224" s="22">
        <f>('2012-2022'!L224-'2012-2022'!Y$2)/'2012-2022'!Y$3</f>
        <v>-0.47951008217287111</v>
      </c>
      <c r="M224" s="22">
        <f>('2012-2022'!M224-'2012-2022'!Z$2)/'2012-2022'!Z$3</f>
        <v>0.36612153256481167</v>
      </c>
      <c r="N224" s="22">
        <f>('2012-2022'!N224-'2012-2022'!AA$2)/'2012-2022'!AA$3</f>
        <v>-1.3791887489498382</v>
      </c>
      <c r="O224" s="22">
        <f>('2012-2022'!P224-'2012-2022'!AC$2)/'2012-2022'!AC$3</f>
        <v>-0.16378363609590105</v>
      </c>
    </row>
    <row r="225" spans="1:15">
      <c r="A225" s="10" t="s">
        <v>27</v>
      </c>
      <c r="B225" s="11">
        <v>2015</v>
      </c>
      <c r="C225" s="14" t="s">
        <v>55</v>
      </c>
      <c r="D225" s="14" t="s">
        <v>54</v>
      </c>
      <c r="E225" s="22">
        <f>('2012-2022'!E225-'2012-2022'!R$2)/'2012-2022'!R$3</f>
        <v>-1.0796022334195492</v>
      </c>
      <c r="F225" s="22">
        <f>('2012-2022'!F225-'2012-2022'!S$2)/'2012-2022'!S$3</f>
        <v>-1.4338715759255254</v>
      </c>
      <c r="G225" s="22">
        <f>('2012-2022'!G225-'2012-2022'!T$2)/'2012-2022'!T$3</f>
        <v>-0.5407281615634516</v>
      </c>
      <c r="H225" s="22">
        <f>('2012-2022'!H225-'2012-2022'!U$2)/'2012-2022'!U$3</f>
        <v>-1.1041262525276705</v>
      </c>
      <c r="I225" s="22">
        <f>('2012-2022'!I225-'2012-2022'!V$2)/'2012-2022'!V$3</f>
        <v>-1.0686361769581705</v>
      </c>
      <c r="J225" s="22">
        <f>('2012-2022'!J225-'2012-2022'!W$2)/'2012-2022'!W$3</f>
        <v>-0.53321526043759337</v>
      </c>
      <c r="K225" s="22">
        <f>('2012-2022'!K225-'2012-2022'!X$2)/'2012-2022'!X$3</f>
        <v>-1.2354500656630327</v>
      </c>
      <c r="L225" s="22">
        <f>('2012-2022'!L225-'2012-2022'!Y$2)/'2012-2022'!Y$3</f>
        <v>-0.64291978226467328</v>
      </c>
      <c r="M225" s="22">
        <f>('2012-2022'!M225-'2012-2022'!Z$2)/'2012-2022'!Z$3</f>
        <v>1.3381645918450563E-2</v>
      </c>
      <c r="N225" s="22">
        <f>('2012-2022'!N225-'2012-2022'!AA$2)/'2012-2022'!AA$3</f>
        <v>-1.1706398642826774</v>
      </c>
      <c r="O225" s="22">
        <f>('2012-2022'!P225-'2012-2022'!AC$2)/'2012-2022'!AC$3</f>
        <v>-2.8587084198223634E-2</v>
      </c>
    </row>
    <row r="226" spans="1:15">
      <c r="A226" s="10" t="s">
        <v>27</v>
      </c>
      <c r="B226" s="11">
        <v>2016</v>
      </c>
      <c r="C226" s="14" t="s">
        <v>55</v>
      </c>
      <c r="D226" s="14" t="s">
        <v>54</v>
      </c>
      <c r="E226" s="22">
        <f>('2012-2022'!E226-'2012-2022'!R$2)/'2012-2022'!R$3</f>
        <v>-1.0524304571249243</v>
      </c>
      <c r="F226" s="22">
        <f>('2012-2022'!F226-'2012-2022'!S$2)/'2012-2022'!S$3</f>
        <v>-1.5809871275735161</v>
      </c>
      <c r="G226" s="22">
        <f>('2012-2022'!G226-'2012-2022'!T$2)/'2012-2022'!T$3</f>
        <v>2.4946556722124074E-2</v>
      </c>
      <c r="H226" s="22">
        <f>('2012-2022'!H226-'2012-2022'!U$2)/'2012-2022'!U$3</f>
        <v>-1.2059327517889697</v>
      </c>
      <c r="I226" s="22">
        <f>('2012-2022'!I226-'2012-2022'!V$2)/'2012-2022'!V$3</f>
        <v>-0.98221473224354428</v>
      </c>
      <c r="J226" s="22">
        <f>('2012-2022'!J226-'2012-2022'!W$2)/'2012-2022'!W$3</f>
        <v>-0.40840183475624592</v>
      </c>
      <c r="K226" s="22">
        <f>('2012-2022'!K226-'2012-2022'!X$2)/'2012-2022'!X$3</f>
        <v>-1.2339743263472336</v>
      </c>
      <c r="L226" s="22">
        <f>('2012-2022'!L226-'2012-2022'!Y$2)/'2012-2022'!Y$3</f>
        <v>-0.48889060188035649</v>
      </c>
      <c r="M226" s="22">
        <f>('2012-2022'!M226-'2012-2022'!Z$2)/'2012-2022'!Z$3</f>
        <v>0.21227396567714957</v>
      </c>
      <c r="N226" s="22">
        <f>('2012-2022'!N226-'2012-2022'!AA$2)/'2012-2022'!AA$3</f>
        <v>-1.1957321970932624</v>
      </c>
      <c r="O226" s="22">
        <f>('2012-2022'!P226-'2012-2022'!AC$2)/'2012-2022'!AC$3</f>
        <v>0.1702395389648475</v>
      </c>
    </row>
    <row r="227" spans="1:15">
      <c r="A227" s="10" t="s">
        <v>27</v>
      </c>
      <c r="B227" s="11">
        <v>2017</v>
      </c>
      <c r="C227" s="14" t="s">
        <v>55</v>
      </c>
      <c r="D227" s="14" t="s">
        <v>54</v>
      </c>
      <c r="E227" s="22">
        <f>('2012-2022'!E227-'2012-2022'!R$2)/'2012-2022'!R$3</f>
        <v>-0.92889368423876817</v>
      </c>
      <c r="F227" s="22">
        <f>('2012-2022'!F227-'2012-2022'!S$2)/'2012-2022'!S$3</f>
        <v>-0.98922253638688395</v>
      </c>
      <c r="G227" s="22">
        <f>('2012-2022'!G227-'2012-2022'!T$2)/'2012-2022'!T$3</f>
        <v>-0.75883918635642245</v>
      </c>
      <c r="H227" s="22">
        <f>('2012-2022'!H227-'2012-2022'!U$2)/'2012-2022'!U$3</f>
        <v>-0.89664742933595887</v>
      </c>
      <c r="I227" s="22">
        <f>('2012-2022'!I227-'2012-2022'!V$2)/'2012-2022'!V$3</f>
        <v>-0.91893497385691159</v>
      </c>
      <c r="J227" s="22">
        <f>('2012-2022'!J227-'2012-2022'!W$2)/'2012-2022'!W$3</f>
        <v>-0.57252464092424959</v>
      </c>
      <c r="K227" s="22">
        <f>('2012-2022'!K227-'2012-2022'!X$2)/'2012-2022'!X$3</f>
        <v>-1.176122251259941</v>
      </c>
      <c r="L227" s="22">
        <f>('2012-2022'!L227-'2012-2022'!Y$2)/'2012-2022'!Y$3</f>
        <v>-0.69888669412918769</v>
      </c>
      <c r="M227" s="22">
        <f>('2012-2022'!M227-'2012-2022'!Z$2)/'2012-2022'!Z$3</f>
        <v>6.0809074468540142E-2</v>
      </c>
      <c r="N227" s="22">
        <f>('2012-2022'!N227-'2012-2022'!AA$2)/'2012-2022'!AA$3</f>
        <v>-0.80441439355169342</v>
      </c>
      <c r="O227" s="22">
        <f>('2012-2022'!P227-'2012-2022'!AC$2)/'2012-2022'!AC$3</f>
        <v>7.4919399052526925E-2</v>
      </c>
    </row>
    <row r="228" spans="1:15">
      <c r="A228" s="10" t="s">
        <v>27</v>
      </c>
      <c r="B228" s="11">
        <v>2018</v>
      </c>
      <c r="C228" s="14" t="s">
        <v>55</v>
      </c>
      <c r="D228" s="14" t="s">
        <v>54</v>
      </c>
      <c r="E228" s="22">
        <f>('2012-2022'!E228-'2012-2022'!R$2)/'2012-2022'!R$3</f>
        <v>-1.0788862564004797</v>
      </c>
      <c r="F228" s="22">
        <f>('2012-2022'!F228-'2012-2022'!S$2)/'2012-2022'!S$3</f>
        <v>-1.4711174930937665</v>
      </c>
      <c r="G228" s="22">
        <f>('2012-2022'!G228-'2012-2022'!T$2)/'2012-2022'!T$3</f>
        <v>-1.2191352024014355</v>
      </c>
      <c r="H228" s="22">
        <f>('2012-2022'!H228-'2012-2022'!U$2)/'2012-2022'!U$3</f>
        <v>-1.1203880875599799</v>
      </c>
      <c r="I228" s="22">
        <f>('2012-2022'!I228-'2012-2022'!V$2)/'2012-2022'!V$3</f>
        <v>-1.0189440478899543</v>
      </c>
      <c r="J228" s="22">
        <f>('2012-2022'!J228-'2012-2022'!W$2)/'2012-2022'!W$3</f>
        <v>-0.25490952395540628</v>
      </c>
      <c r="K228" s="22">
        <f>('2012-2022'!K228-'2012-2022'!X$2)/'2012-2022'!X$3</f>
        <v>-1.1779302308167918</v>
      </c>
      <c r="L228" s="22">
        <f>('2012-2022'!L228-'2012-2022'!Y$2)/'2012-2022'!Y$3</f>
        <v>-0.66704157110126427</v>
      </c>
      <c r="M228" s="22">
        <f>('2012-2022'!M228-'2012-2022'!Z$2)/'2012-2022'!Z$3</f>
        <v>1.1397651241422049E-2</v>
      </c>
      <c r="N228" s="22">
        <f>('2012-2022'!N228-'2012-2022'!AA$2)/'2012-2022'!AA$3</f>
        <v>-0.97678116006561644</v>
      </c>
      <c r="O228" s="22">
        <f>('2012-2022'!P228-'2012-2022'!AC$2)/'2012-2022'!AC$3</f>
        <v>7.1078361477840427E-2</v>
      </c>
    </row>
    <row r="229" spans="1:15">
      <c r="A229" s="10" t="s">
        <v>27</v>
      </c>
      <c r="B229" s="11">
        <v>2019</v>
      </c>
      <c r="C229" s="14" t="s">
        <v>55</v>
      </c>
      <c r="D229" s="14" t="s">
        <v>54</v>
      </c>
      <c r="E229" s="22">
        <f>('2012-2022'!E229-'2012-2022'!R$2)/'2012-2022'!R$3</f>
        <v>-0.90932731226190888</v>
      </c>
      <c r="F229" s="22">
        <f>('2012-2022'!F229-'2012-2022'!S$2)/'2012-2022'!S$3</f>
        <v>-0.95419523474916179</v>
      </c>
      <c r="G229" s="22">
        <f>('2012-2022'!G229-'2012-2022'!T$2)/'2012-2022'!T$3</f>
        <v>-0.76060006560302895</v>
      </c>
      <c r="H229" s="22">
        <f>('2012-2022'!H229-'2012-2022'!U$2)/'2012-2022'!U$3</f>
        <v>-0.88361459386549357</v>
      </c>
      <c r="I229" s="22">
        <f>('2012-2022'!I229-'2012-2022'!V$2)/'2012-2022'!V$3</f>
        <v>-0.89198541774683759</v>
      </c>
      <c r="J229" s="22">
        <f>('2012-2022'!J229-'2012-2022'!W$2)/'2012-2022'!W$3</f>
        <v>-5.0430879593229186E-2</v>
      </c>
      <c r="K229" s="22">
        <f>('2012-2022'!K229-'2012-2022'!X$2)/'2012-2022'!X$3</f>
        <v>-1.0821630678323069</v>
      </c>
      <c r="L229" s="22">
        <f>('2012-2022'!L229-'2012-2022'!Y$2)/'2012-2022'!Y$3</f>
        <v>2.9363926164850809E-2</v>
      </c>
      <c r="M229" s="22">
        <f>('2012-2022'!M229-'2012-2022'!Z$2)/'2012-2022'!Z$3</f>
        <v>1.2536270209271236</v>
      </c>
      <c r="N229" s="22">
        <f>('2012-2022'!N229-'2012-2022'!AA$2)/'2012-2022'!AA$3</f>
        <v>-0.53872409873316274</v>
      </c>
      <c r="O229" s="22">
        <f>('2012-2022'!P229-'2012-2022'!AC$2)/'2012-2022'!AC$3</f>
        <v>0.14772008582092933</v>
      </c>
    </row>
    <row r="230" spans="1:15">
      <c r="A230" s="10" t="s">
        <v>27</v>
      </c>
      <c r="B230" s="11">
        <v>2020</v>
      </c>
      <c r="C230" s="14" t="s">
        <v>55</v>
      </c>
      <c r="D230" s="14" t="s">
        <v>54</v>
      </c>
      <c r="E230" s="22">
        <f>('2012-2022'!E230-'2012-2022'!R$2)/'2012-2022'!R$3</f>
        <v>-1.2399048092528027</v>
      </c>
      <c r="F230" s="22">
        <f>('2012-2022'!F230-'2012-2022'!S$2)/'2012-2022'!S$3</f>
        <v>-0.81212415142613681</v>
      </c>
      <c r="G230" s="22">
        <f>('2012-2022'!G230-'2012-2022'!T$2)/'2012-2022'!T$3</f>
        <v>-1.9136312460949247</v>
      </c>
      <c r="H230" s="22">
        <f>('2012-2022'!H230-'2012-2022'!U$2)/'2012-2022'!U$3</f>
        <v>-0.94478661330729674</v>
      </c>
      <c r="I230" s="22">
        <f>('2012-2022'!I230-'2012-2022'!V$2)/'2012-2022'!V$3</f>
        <v>-1.3486107469086832</v>
      </c>
      <c r="J230" s="22">
        <f>('2012-2022'!J230-'2012-2022'!W$2)/'2012-2022'!W$3</f>
        <v>4.0990663779069972E-2</v>
      </c>
      <c r="K230" s="22">
        <f>('2012-2022'!K230-'2012-2022'!X$2)/'2012-2022'!X$3</f>
        <v>-1.1639044104828118</v>
      </c>
      <c r="L230" s="22">
        <f>('2012-2022'!L230-'2012-2022'!Y$2)/'2012-2022'!Y$3</f>
        <v>-0.34938021957767679</v>
      </c>
      <c r="M230" s="22">
        <f>('2012-2022'!M230-'2012-2022'!Z$2)/'2012-2022'!Z$3</f>
        <v>2.1650808060799238</v>
      </c>
      <c r="N230" s="22">
        <f>('2012-2022'!N230-'2012-2022'!AA$2)/'2012-2022'!AA$3</f>
        <v>-1.7603925107073162</v>
      </c>
      <c r="O230" s="22">
        <f>('2012-2022'!P230-'2012-2022'!AC$2)/'2012-2022'!AC$3</f>
        <v>1.2488583398056736E-2</v>
      </c>
    </row>
    <row r="231" spans="1:15">
      <c r="A231" s="10" t="s">
        <v>27</v>
      </c>
      <c r="B231" s="11">
        <v>2021</v>
      </c>
      <c r="C231" s="14" t="s">
        <v>55</v>
      </c>
      <c r="D231" s="14" t="s">
        <v>54</v>
      </c>
      <c r="E231" s="22">
        <f>('2012-2022'!E231-'2012-2022'!R$2)/'2012-2022'!R$3</f>
        <v>-1.1649703086285665</v>
      </c>
      <c r="F231" s="22">
        <f>('2012-2022'!F231-'2012-2022'!S$2)/'2012-2022'!S$3</f>
        <v>-1.4054685307252321</v>
      </c>
      <c r="G231" s="22">
        <f>('2012-2022'!G231-'2012-2022'!T$2)/'2012-2022'!T$3</f>
        <v>-1.1950516797503214</v>
      </c>
      <c r="H231" s="22">
        <f>('2012-2022'!H231-'2012-2022'!U$2)/'2012-2022'!U$3</f>
        <v>-1.1652742171086652</v>
      </c>
      <c r="I231" s="22">
        <f>('2012-2022'!I231-'2012-2022'!V$2)/'2012-2022'!V$3</f>
        <v>-1.1078364864377366</v>
      </c>
      <c r="J231" s="22">
        <f>('2012-2022'!J231-'2012-2022'!W$2)/'2012-2022'!W$3</f>
        <v>-0.14307104287576017</v>
      </c>
      <c r="K231" s="22">
        <f>('2012-2022'!K231-'2012-2022'!X$2)/'2012-2022'!X$3</f>
        <v>-1.0112697498605443</v>
      </c>
      <c r="L231" s="22">
        <f>('2012-2022'!L231-'2012-2022'!Y$2)/'2012-2022'!Y$3</f>
        <v>-0.28913226078402776</v>
      </c>
      <c r="M231" s="22">
        <f>('2012-2022'!M231-'2012-2022'!Z$2)/'2012-2022'!Z$3</f>
        <v>1.5934001075404889</v>
      </c>
      <c r="N231" s="22">
        <f>('2012-2022'!N231-'2012-2022'!AA$2)/'2012-2022'!AA$3</f>
        <v>-0.9185465087889193</v>
      </c>
      <c r="O231" s="22">
        <f>('2012-2022'!P231-'2012-2022'!AC$2)/'2012-2022'!AC$3</f>
        <v>0.11819091511304763</v>
      </c>
    </row>
    <row r="232" spans="1:15">
      <c r="A232" s="10" t="s">
        <v>27</v>
      </c>
      <c r="B232" s="11">
        <v>2022</v>
      </c>
      <c r="C232" s="14" t="s">
        <v>55</v>
      </c>
      <c r="D232" s="14" t="s">
        <v>54</v>
      </c>
      <c r="E232" s="22">
        <f>('2012-2022'!E232-'2012-2022'!R$2)/'2012-2022'!R$3</f>
        <v>-1.0802145217321166</v>
      </c>
      <c r="F232" s="22">
        <f>('2012-2022'!F232-'2012-2022'!S$2)/'2012-2022'!S$3</f>
        <v>-1.341602538463212</v>
      </c>
      <c r="G232" s="22">
        <f>('2012-2022'!G232-'2012-2022'!T$2)/'2012-2022'!T$3</f>
        <v>-1.1460022745654428</v>
      </c>
      <c r="H232" s="22">
        <f>('2012-2022'!H232-'2012-2022'!U$2)/'2012-2022'!U$3</f>
        <v>-1.1074950255099507</v>
      </c>
      <c r="I232" s="22">
        <f>('2012-2022'!I232-'2012-2022'!V$2)/'2012-2022'!V$3</f>
        <v>-1.0083084785223118</v>
      </c>
      <c r="J232" s="22">
        <f>('2012-2022'!J232-'2012-2022'!W$2)/'2012-2022'!W$3</f>
        <v>-0.42374143790195218</v>
      </c>
      <c r="K232" s="22">
        <f>('2012-2022'!K232-'2012-2022'!X$2)/'2012-2022'!X$3</f>
        <v>-0.98292626771819136</v>
      </c>
      <c r="L232" s="22">
        <f>('2012-2022'!L232-'2012-2022'!Y$2)/'2012-2022'!Y$3</f>
        <v>-3.5287736796292241E-2</v>
      </c>
      <c r="M232" s="22">
        <f>('2012-2022'!M232-'2012-2022'!Z$2)/'2012-2022'!Z$3</f>
        <v>1.5956924765453802</v>
      </c>
      <c r="N232" s="22">
        <f>('2012-2022'!N232-'2012-2022'!AA$2)/'2012-2022'!AA$3</f>
        <v>-1.1668993291337348</v>
      </c>
      <c r="O232" s="22">
        <f>('2012-2022'!P232-'2012-2022'!AC$2)/'2012-2022'!AC$3</f>
        <v>1.3513337825631614E-2</v>
      </c>
    </row>
    <row r="233" spans="1:15">
      <c r="A233" s="10" t="s">
        <v>28</v>
      </c>
      <c r="B233" s="11">
        <v>2012</v>
      </c>
      <c r="C233" s="14" t="s">
        <v>55</v>
      </c>
      <c r="D233" s="14" t="s">
        <v>54</v>
      </c>
      <c r="E233" s="22">
        <f>('2012-2022'!E233-'2012-2022'!R$2)/'2012-2022'!R$3</f>
        <v>-0.95941475850606883</v>
      </c>
      <c r="F233" s="22">
        <f>('2012-2022'!F233-'2012-2022'!S$2)/'2012-2022'!S$3</f>
        <v>-0.30891378904120814</v>
      </c>
      <c r="G233" s="22">
        <f>('2012-2022'!G233-'2012-2022'!T$2)/'2012-2022'!T$3</f>
        <v>-0.68948542870975615</v>
      </c>
      <c r="H233" s="22">
        <f>('2012-2022'!H233-'2012-2022'!U$2)/'2012-2022'!U$3</f>
        <v>-0.85900724698207243</v>
      </c>
      <c r="I233" s="22">
        <f>('2012-2022'!I233-'2012-2022'!V$2)/'2012-2022'!V$3</f>
        <v>-0.93862210009171965</v>
      </c>
      <c r="J233" s="22">
        <f>('2012-2022'!J233-'2012-2022'!W$2)/'2012-2022'!W$3</f>
        <v>-1.2513163000977567</v>
      </c>
      <c r="K233" s="22">
        <f>('2012-2022'!K233-'2012-2022'!X$2)/'2012-2022'!X$3</f>
        <v>-0.80390857359262557</v>
      </c>
      <c r="L233" s="22">
        <f>('2012-2022'!L233-'2012-2022'!Y$2)/'2012-2022'!Y$3</f>
        <v>-5.4726800854947882E-2</v>
      </c>
      <c r="M233" s="22">
        <f>('2012-2022'!M233-'2012-2022'!Z$2)/'2012-2022'!Z$3</f>
        <v>-0.41532374249766546</v>
      </c>
      <c r="N233" s="22">
        <f>('2012-2022'!N233-'2012-2022'!AA$2)/'2012-2022'!AA$3</f>
        <v>1.3475284494385771</v>
      </c>
      <c r="O233" s="22">
        <f>('2012-2022'!P233-'2012-2022'!AC$2)/'2012-2022'!AC$3</f>
        <v>1.5014517378118828</v>
      </c>
    </row>
    <row r="234" spans="1:15">
      <c r="A234" s="10" t="s">
        <v>28</v>
      </c>
      <c r="B234" s="11">
        <v>2013</v>
      </c>
      <c r="C234" s="14" t="s">
        <v>55</v>
      </c>
      <c r="D234" s="14" t="s">
        <v>54</v>
      </c>
      <c r="E234" s="22">
        <f>('2012-2022'!E234-'2012-2022'!R$2)/'2012-2022'!R$3</f>
        <v>-0.85142683529102481</v>
      </c>
      <c r="F234" s="22">
        <f>('2012-2022'!F234-'2012-2022'!S$2)/'2012-2022'!S$3</f>
        <v>-0.35777513965390839</v>
      </c>
      <c r="G234" s="22">
        <f>('2012-2022'!G234-'2012-2022'!T$2)/'2012-2022'!T$3</f>
        <v>-1.3406667696347183</v>
      </c>
      <c r="H234" s="22">
        <f>('2012-2022'!H234-'2012-2022'!U$2)/'2012-2022'!U$3</f>
        <v>-0.68477191727700926</v>
      </c>
      <c r="I234" s="22">
        <f>('2012-2022'!I234-'2012-2022'!V$2)/'2012-2022'!V$3</f>
        <v>-0.88687469109614658</v>
      </c>
      <c r="J234" s="22">
        <f>('2012-2022'!J234-'2012-2022'!W$2)/'2012-2022'!W$3</f>
        <v>-1.0939598383719389</v>
      </c>
      <c r="K234" s="22">
        <f>('2012-2022'!K234-'2012-2022'!X$2)/'2012-2022'!X$3</f>
        <v>-0.8575868188752841</v>
      </c>
      <c r="L234" s="22">
        <f>('2012-2022'!L234-'2012-2022'!Y$2)/'2012-2022'!Y$3</f>
        <v>-0.36607338249574273</v>
      </c>
      <c r="M234" s="22">
        <f>('2012-2022'!M234-'2012-2022'!Z$2)/'2012-2022'!Z$3</f>
        <v>-0.33251116803535785</v>
      </c>
      <c r="N234" s="22">
        <f>('2012-2022'!N234-'2012-2022'!AA$2)/'2012-2022'!AA$3</f>
        <v>1.2214068489664163</v>
      </c>
      <c r="O234" s="22">
        <f>('2012-2022'!P234-'2012-2022'!AC$2)/'2012-2022'!AC$3</f>
        <v>1.4383380039816569</v>
      </c>
    </row>
    <row r="235" spans="1:15">
      <c r="A235" s="10" t="s">
        <v>28</v>
      </c>
      <c r="B235" s="11">
        <v>2014</v>
      </c>
      <c r="C235" s="14" t="s">
        <v>55</v>
      </c>
      <c r="D235" s="14" t="s">
        <v>54</v>
      </c>
      <c r="E235" s="22">
        <f>('2012-2022'!E235-'2012-2022'!R$2)/'2012-2022'!R$3</f>
        <v>-1.0731104373544729</v>
      </c>
      <c r="F235" s="22">
        <f>('2012-2022'!F235-'2012-2022'!S$2)/'2012-2022'!S$3</f>
        <v>-0.9015179911681771</v>
      </c>
      <c r="G235" s="22">
        <f>('2012-2022'!G235-'2012-2022'!T$2)/'2012-2022'!T$3</f>
        <v>-0.99043465211370252</v>
      </c>
      <c r="H235" s="22">
        <f>('2012-2022'!H235-'2012-2022'!U$2)/'2012-2022'!U$3</f>
        <v>-1.0449815438419809</v>
      </c>
      <c r="I235" s="22">
        <f>('2012-2022'!I235-'2012-2022'!V$2)/'2012-2022'!V$3</f>
        <v>-0.99443679550197239</v>
      </c>
      <c r="J235" s="22">
        <f>('2012-2022'!J235-'2012-2022'!W$2)/'2012-2022'!W$3</f>
        <v>-1.2801204669090147</v>
      </c>
      <c r="K235" s="22">
        <f>('2012-2022'!K235-'2012-2022'!X$2)/'2012-2022'!X$3</f>
        <v>-0.92964661906784918</v>
      </c>
      <c r="L235" s="22">
        <f>('2012-2022'!L235-'2012-2022'!Y$2)/'2012-2022'!Y$3</f>
        <v>-0.33894577740891335</v>
      </c>
      <c r="M235" s="22">
        <f>('2012-2022'!M235-'2012-2022'!Z$2)/'2012-2022'!Z$3</f>
        <v>-0.23511094469169033</v>
      </c>
      <c r="N235" s="22">
        <f>('2012-2022'!N235-'2012-2022'!AA$2)/'2012-2022'!AA$3</f>
        <v>1.5709795207935482</v>
      </c>
      <c r="O235" s="22">
        <f>('2012-2022'!P235-'2012-2022'!AC$2)/'2012-2022'!AC$3</f>
        <v>1.129724615065679</v>
      </c>
    </row>
    <row r="236" spans="1:15">
      <c r="A236" s="10" t="s">
        <v>28</v>
      </c>
      <c r="B236" s="11">
        <v>2015</v>
      </c>
      <c r="C236" s="14" t="s">
        <v>55</v>
      </c>
      <c r="D236" s="14" t="s">
        <v>54</v>
      </c>
      <c r="E236" s="22">
        <f>('2012-2022'!E236-'2012-2022'!R$2)/'2012-2022'!R$3</f>
        <v>-0.8294706487804907</v>
      </c>
      <c r="F236" s="22">
        <f>('2012-2022'!F236-'2012-2022'!S$2)/'2012-2022'!S$3</f>
        <v>-0.43910067510351958</v>
      </c>
      <c r="G236" s="22">
        <f>('2012-2022'!G236-'2012-2022'!T$2)/'2012-2022'!T$3</f>
        <v>-0.33718673479115374</v>
      </c>
      <c r="H236" s="22">
        <f>('2012-2022'!H236-'2012-2022'!U$2)/'2012-2022'!U$3</f>
        <v>-0.79769745306661755</v>
      </c>
      <c r="I236" s="22">
        <f>('2012-2022'!I236-'2012-2022'!V$2)/'2012-2022'!V$3</f>
        <v>-0.78887089517332187</v>
      </c>
      <c r="J236" s="22">
        <f>('2012-2022'!J236-'2012-2022'!W$2)/'2012-2022'!W$3</f>
        <v>-1.2764520993871447</v>
      </c>
      <c r="K236" s="22">
        <f>('2012-2022'!K236-'2012-2022'!X$2)/'2012-2022'!X$3</f>
        <v>-0.93117805635208351</v>
      </c>
      <c r="L236" s="22">
        <f>('2012-2022'!L236-'2012-2022'!Y$2)/'2012-2022'!Y$3</f>
        <v>-0.24457728186724911</v>
      </c>
      <c r="M236" s="22">
        <f>('2012-2022'!M236-'2012-2022'!Z$2)/'2012-2022'!Z$3</f>
        <v>-0.13665107302374199</v>
      </c>
      <c r="N236" s="22">
        <f>('2012-2022'!N236-'2012-2022'!AA$2)/'2012-2022'!AA$3</f>
        <v>1.5802382855701684</v>
      </c>
      <c r="O236" s="22">
        <f>('2012-2022'!P236-'2012-2022'!AC$2)/'2012-2022'!AC$3</f>
        <v>1.2052410079302718</v>
      </c>
    </row>
    <row r="237" spans="1:15">
      <c r="A237" s="10" t="s">
        <v>28</v>
      </c>
      <c r="B237" s="11">
        <v>2016</v>
      </c>
      <c r="C237" s="14" t="s">
        <v>55</v>
      </c>
      <c r="D237" s="14" t="s">
        <v>54</v>
      </c>
      <c r="E237" s="22">
        <f>('2012-2022'!E237-'2012-2022'!R$2)/'2012-2022'!R$3</f>
        <v>-0.87648793445721829</v>
      </c>
      <c r="F237" s="22">
        <f>('2012-2022'!F237-'2012-2022'!S$2)/'2012-2022'!S$3</f>
        <v>-0.95414349434978762</v>
      </c>
      <c r="G237" s="22">
        <f>('2012-2022'!G237-'2012-2022'!T$2)/'2012-2022'!T$3</f>
        <v>-0.41920247490403667</v>
      </c>
      <c r="H237" s="22">
        <f>('2012-2022'!H237-'2012-2022'!U$2)/'2012-2022'!U$3</f>
        <v>-0.96090456579448547</v>
      </c>
      <c r="I237" s="22">
        <f>('2012-2022'!I237-'2012-2022'!V$2)/'2012-2022'!V$3</f>
        <v>-0.76638516292762304</v>
      </c>
      <c r="J237" s="22">
        <f>('2012-2022'!J237-'2012-2022'!W$2)/'2012-2022'!W$3</f>
        <v>-1.3798252909099751</v>
      </c>
      <c r="K237" s="22">
        <f>('2012-2022'!K237-'2012-2022'!X$2)/'2012-2022'!X$3</f>
        <v>-0.90745738853815272</v>
      </c>
      <c r="L237" s="22">
        <f>('2012-2022'!L237-'2012-2022'!Y$2)/'2012-2022'!Y$3</f>
        <v>-0.35228443215994548</v>
      </c>
      <c r="M237" s="22">
        <f>('2012-2022'!M237-'2012-2022'!Z$2)/'2012-2022'!Z$3</f>
        <v>0.25574674364072519</v>
      </c>
      <c r="N237" s="22">
        <f>('2012-2022'!N237-'2012-2022'!AA$2)/'2012-2022'!AA$3</f>
        <v>2.0947615054453537</v>
      </c>
      <c r="O237" s="22">
        <f>('2012-2022'!P237-'2012-2022'!AC$2)/'2012-2022'!AC$3</f>
        <v>1.2306016370414044</v>
      </c>
    </row>
    <row r="238" spans="1:15">
      <c r="A238" s="10" t="s">
        <v>28</v>
      </c>
      <c r="B238" s="11">
        <v>2017</v>
      </c>
      <c r="C238" s="14" t="s">
        <v>55</v>
      </c>
      <c r="D238" s="14" t="s">
        <v>54</v>
      </c>
      <c r="E238" s="22">
        <f>('2012-2022'!E238-'2012-2022'!R$2)/'2012-2022'!R$3</f>
        <v>-0.78366738713668416</v>
      </c>
      <c r="F238" s="22">
        <f>('2012-2022'!F238-'2012-2022'!S$2)/'2012-2022'!S$3</f>
        <v>0.20780422598437603</v>
      </c>
      <c r="G238" s="22">
        <f>('2012-2022'!G238-'2012-2022'!T$2)/'2012-2022'!T$3</f>
        <v>-0.73001997670856122</v>
      </c>
      <c r="H238" s="22">
        <f>('2012-2022'!H238-'2012-2022'!U$2)/'2012-2022'!U$3</f>
        <v>-0.47217180191375868</v>
      </c>
      <c r="I238" s="22">
        <f>('2012-2022'!I238-'2012-2022'!V$2)/'2012-2022'!V$3</f>
        <v>-0.93018913446982854</v>
      </c>
      <c r="J238" s="22">
        <f>('2012-2022'!J238-'2012-2022'!W$2)/'2012-2022'!W$3</f>
        <v>-1.466975767091043</v>
      </c>
      <c r="K238" s="22">
        <f>('2012-2022'!K238-'2012-2022'!X$2)/'2012-2022'!X$3</f>
        <v>-0.93520229919300235</v>
      </c>
      <c r="L238" s="22">
        <f>('2012-2022'!L238-'2012-2022'!Y$2)/'2012-2022'!Y$3</f>
        <v>-0.44789992147640195</v>
      </c>
      <c r="M238" s="22">
        <f>('2012-2022'!M238-'2012-2022'!Z$2)/'2012-2022'!Z$3</f>
        <v>1.0719942270267853E-2</v>
      </c>
      <c r="N238" s="22">
        <f>('2012-2022'!N238-'2012-2022'!AA$2)/'2012-2022'!AA$3</f>
        <v>2.1562840772954659</v>
      </c>
      <c r="O238" s="22">
        <f>('2012-2022'!P238-'2012-2022'!AC$2)/'2012-2022'!AC$3</f>
        <v>1.1545697867908395</v>
      </c>
    </row>
    <row r="239" spans="1:15">
      <c r="A239" s="10" t="s">
        <v>28</v>
      </c>
      <c r="B239" s="11">
        <v>2018</v>
      </c>
      <c r="C239" s="14" t="s">
        <v>55</v>
      </c>
      <c r="D239" s="14" t="s">
        <v>54</v>
      </c>
      <c r="E239" s="22">
        <f>('2012-2022'!E239-'2012-2022'!R$2)/'2012-2022'!R$3</f>
        <v>-0.67652892065204939</v>
      </c>
      <c r="F239" s="22">
        <f>('2012-2022'!F239-'2012-2022'!S$2)/'2012-2022'!S$3</f>
        <v>1.0607960322143588</v>
      </c>
      <c r="G239" s="22">
        <f>('2012-2022'!G239-'2012-2022'!T$2)/'2012-2022'!T$3</f>
        <v>-0.442847432313905</v>
      </c>
      <c r="H239" s="22">
        <f>('2012-2022'!H239-'2012-2022'!U$2)/'2012-2022'!U$3</f>
        <v>-0.15306355697299559</v>
      </c>
      <c r="I239" s="22">
        <f>('2012-2022'!I239-'2012-2022'!V$2)/'2012-2022'!V$3</f>
        <v>-0.95022040962398857</v>
      </c>
      <c r="J239" s="22">
        <f>('2012-2022'!J239-'2012-2022'!W$2)/'2012-2022'!W$3</f>
        <v>-1.1270928113474876</v>
      </c>
      <c r="K239" s="22">
        <f>('2012-2022'!K239-'2012-2022'!X$2)/'2012-2022'!X$3</f>
        <v>-0.83214918692481143</v>
      </c>
      <c r="L239" s="22">
        <f>('2012-2022'!L239-'2012-2022'!Y$2)/'2012-2022'!Y$3</f>
        <v>-0.19831959477515823</v>
      </c>
      <c r="M239" s="22">
        <f>('2012-2022'!M239-'2012-2022'!Z$2)/'2012-2022'!Z$3</f>
        <v>-8.3770200289972188E-2</v>
      </c>
      <c r="N239" s="22">
        <f>('2012-2022'!N239-'2012-2022'!AA$2)/'2012-2022'!AA$3</f>
        <v>2.2848048259973068</v>
      </c>
      <c r="O239" s="22">
        <f>('2012-2022'!P239-'2012-2022'!AC$2)/'2012-2022'!AC$3</f>
        <v>1.1720046928467422</v>
      </c>
    </row>
    <row r="240" spans="1:15">
      <c r="A240" s="10" t="s">
        <v>28</v>
      </c>
      <c r="B240" s="11">
        <v>2019</v>
      </c>
      <c r="C240" s="14" t="s">
        <v>55</v>
      </c>
      <c r="D240" s="14" t="s">
        <v>54</v>
      </c>
      <c r="E240" s="22">
        <f>('2012-2022'!E240-'2012-2022'!R$2)/'2012-2022'!R$3</f>
        <v>-0.29218923513926337</v>
      </c>
      <c r="F240" s="22">
        <f>('2012-2022'!F240-'2012-2022'!S$2)/'2012-2022'!S$3</f>
        <v>1.1752379192814841</v>
      </c>
      <c r="G240" s="22">
        <f>('2012-2022'!G240-'2012-2022'!T$2)/'2012-2022'!T$3</f>
        <v>6.8721360425454708E-2</v>
      </c>
      <c r="H240" s="22">
        <f>('2012-2022'!H240-'2012-2022'!U$2)/'2012-2022'!U$3</f>
        <v>0.25001855333329759</v>
      </c>
      <c r="I240" s="22">
        <f>('2012-2022'!I240-'2012-2022'!V$2)/'2012-2022'!V$3</f>
        <v>-0.59600595176580218</v>
      </c>
      <c r="J240" s="22">
        <f>('2012-2022'!J240-'2012-2022'!W$2)/'2012-2022'!W$3</f>
        <v>-6.1644760473248753E-2</v>
      </c>
      <c r="K240" s="22">
        <f>('2012-2022'!K240-'2012-2022'!X$2)/'2012-2022'!X$3</f>
        <v>-0.53009469022790234</v>
      </c>
      <c r="L240" s="22">
        <f>('2012-2022'!L240-'2012-2022'!Y$2)/'2012-2022'!Y$3</f>
        <v>1.0283716433775936</v>
      </c>
      <c r="M240" s="22">
        <f>('2012-2022'!M240-'2012-2022'!Z$2)/'2012-2022'!Z$3</f>
        <v>0.15864953947639596</v>
      </c>
      <c r="N240" s="22">
        <f>('2012-2022'!N240-'2012-2022'!AA$2)/'2012-2022'!AA$3</f>
        <v>2.1751110984528017</v>
      </c>
      <c r="O240" s="22">
        <f>('2012-2022'!P240-'2012-2022'!AC$2)/'2012-2022'!AC$3</f>
        <v>1.1951662047394798</v>
      </c>
    </row>
    <row r="241" spans="1:15">
      <c r="A241" s="10" t="s">
        <v>28</v>
      </c>
      <c r="B241" s="11">
        <v>2020</v>
      </c>
      <c r="C241" s="14" t="s">
        <v>55</v>
      </c>
      <c r="D241" s="14" t="s">
        <v>54</v>
      </c>
      <c r="E241" s="22">
        <f>('2012-2022'!E241-'2012-2022'!R$2)/'2012-2022'!R$3</f>
        <v>-0.53136772059561466</v>
      </c>
      <c r="F241" s="22">
        <f>('2012-2022'!F241-'2012-2022'!S$2)/'2012-2022'!S$3</f>
        <v>0.63503592014701093</v>
      </c>
      <c r="G241" s="22">
        <f>('2012-2022'!G241-'2012-2022'!T$2)/'2012-2022'!T$3</f>
        <v>0.27610529041427645</v>
      </c>
      <c r="H241" s="22">
        <f>('2012-2022'!H241-'2012-2022'!U$2)/'2012-2022'!U$3</f>
        <v>-0.18370255125013554</v>
      </c>
      <c r="I241" s="22">
        <f>('2012-2022'!I241-'2012-2022'!V$2)/'2012-2022'!V$3</f>
        <v>-0.71461227046247455</v>
      </c>
      <c r="J241" s="22">
        <f>('2012-2022'!J241-'2012-2022'!W$2)/'2012-2022'!W$3</f>
        <v>6.0140984742700312E-2</v>
      </c>
      <c r="K241" s="22">
        <f>('2012-2022'!K241-'2012-2022'!X$2)/'2012-2022'!X$3</f>
        <v>-0.88949314405653057</v>
      </c>
      <c r="L241" s="22">
        <f>('2012-2022'!L241-'2012-2022'!Y$2)/'2012-2022'!Y$3</f>
        <v>0.53950281352894647</v>
      </c>
      <c r="M241" s="22">
        <f>('2012-2022'!M241-'2012-2022'!Z$2)/'2012-2022'!Z$3</f>
        <v>0.35677555107455122</v>
      </c>
      <c r="N241" s="22">
        <f>('2012-2022'!N241-'2012-2022'!AA$2)/'2012-2022'!AA$3</f>
        <v>1.0993550332575777</v>
      </c>
      <c r="O241" s="22">
        <f>('2012-2022'!P241-'2012-2022'!AC$2)/'2012-2022'!AC$3</f>
        <v>1.1165734113298302</v>
      </c>
    </row>
    <row r="242" spans="1:15">
      <c r="A242" s="10" t="s">
        <v>28</v>
      </c>
      <c r="B242" s="11">
        <v>2021</v>
      </c>
      <c r="C242" s="14" t="s">
        <v>55</v>
      </c>
      <c r="D242" s="14" t="s">
        <v>54</v>
      </c>
      <c r="E242" s="22">
        <f>('2012-2022'!E242-'2012-2022'!R$2)/'2012-2022'!R$3</f>
        <v>-0.62571445709350093</v>
      </c>
      <c r="F242" s="22">
        <f>('2012-2022'!F242-'2012-2022'!S$2)/'2012-2022'!S$3</f>
        <v>-1.051561253501924E-2</v>
      </c>
      <c r="G242" s="22">
        <f>('2012-2022'!G242-'2012-2022'!T$2)/'2012-2022'!T$3</f>
        <v>-0.98886100982090264</v>
      </c>
      <c r="H242" s="22">
        <f>('2012-2022'!H242-'2012-2022'!U$2)/'2012-2022'!U$3</f>
        <v>-0.21706234399901889</v>
      </c>
      <c r="I242" s="22">
        <f>('2012-2022'!I242-'2012-2022'!V$2)/'2012-2022'!V$3</f>
        <v>-0.83455397771327755</v>
      </c>
      <c r="J242" s="22">
        <f>('2012-2022'!J242-'2012-2022'!W$2)/'2012-2022'!W$3</f>
        <v>-0.13003914556749119</v>
      </c>
      <c r="K242" s="22">
        <f>('2012-2022'!K242-'2012-2022'!X$2)/'2012-2022'!X$3</f>
        <v>-0.55399662963260821</v>
      </c>
      <c r="L242" s="22">
        <f>('2012-2022'!L242-'2012-2022'!Y$2)/'2012-2022'!Y$3</f>
        <v>1.0627904385931093</v>
      </c>
      <c r="M242" s="22">
        <f>('2012-2022'!M242-'2012-2022'!Z$2)/'2012-2022'!Z$3</f>
        <v>0.11200547521609362</v>
      </c>
      <c r="N242" s="22">
        <f>('2012-2022'!N242-'2012-2022'!AA$2)/'2012-2022'!AA$3</f>
        <v>2.1636401479964302</v>
      </c>
      <c r="O242" s="22">
        <f>('2012-2022'!P242-'2012-2022'!AC$2)/'2012-2022'!AC$3</f>
        <v>1.0731603330701378</v>
      </c>
    </row>
    <row r="243" spans="1:15">
      <c r="A243" s="10" t="s">
        <v>28</v>
      </c>
      <c r="B243" s="11">
        <v>2022</v>
      </c>
      <c r="C243" s="14" t="s">
        <v>55</v>
      </c>
      <c r="D243" s="14" t="s">
        <v>54</v>
      </c>
      <c r="E243" s="22">
        <f>('2012-2022'!E243-'2012-2022'!R$2)/'2012-2022'!R$3</f>
        <v>-0.2134539266070142</v>
      </c>
      <c r="F243" s="22">
        <f>('2012-2022'!F243-'2012-2022'!S$2)/'2012-2022'!S$3</f>
        <v>1.3305585507301709</v>
      </c>
      <c r="G243" s="22">
        <f>('2012-2022'!G243-'2012-2022'!T$2)/'2012-2022'!T$3</f>
        <v>-0.51178042737517715</v>
      </c>
      <c r="H243" s="22">
        <f>('2012-2022'!H243-'2012-2022'!U$2)/'2012-2022'!U$3</f>
        <v>0.57712194258265137</v>
      </c>
      <c r="I243" s="22">
        <f>('2012-2022'!I243-'2012-2022'!V$2)/'2012-2022'!V$3</f>
        <v>-0.64988565448414148</v>
      </c>
      <c r="J243" s="22">
        <f>('2012-2022'!J243-'2012-2022'!W$2)/'2012-2022'!W$3</f>
        <v>-0.17214099853737599</v>
      </c>
      <c r="K243" s="22">
        <f>('2012-2022'!K243-'2012-2022'!X$2)/'2012-2022'!X$3</f>
        <v>-0.47992994575130427</v>
      </c>
      <c r="L243" s="22">
        <f>('2012-2022'!L243-'2012-2022'!Y$2)/'2012-2022'!Y$3</f>
        <v>0.96245925502581187</v>
      </c>
      <c r="M243" s="22">
        <f>('2012-2022'!M243-'2012-2022'!Z$2)/'2012-2022'!Z$3</f>
        <v>0.25970241005703426</v>
      </c>
      <c r="N243" s="22">
        <f>('2012-2022'!N243-'2012-2022'!AA$2)/'2012-2022'!AA$3</f>
        <v>1.9843733671104691</v>
      </c>
      <c r="O243" s="22">
        <f>('2012-2022'!P243-'2012-2022'!AC$2)/'2012-2022'!AC$3</f>
        <v>1.0018997323939685</v>
      </c>
    </row>
    <row r="244" spans="1:15">
      <c r="A244" s="10" t="s">
        <v>29</v>
      </c>
      <c r="B244" s="11">
        <v>2012</v>
      </c>
      <c r="C244" s="14" t="s">
        <v>55</v>
      </c>
      <c r="D244" s="14" t="s">
        <v>54</v>
      </c>
      <c r="E244" s="22">
        <f>('2012-2022'!E244-'2012-2022'!R$2)/'2012-2022'!R$3</f>
        <v>-1.3403190892798664</v>
      </c>
      <c r="F244" s="22">
        <f>('2012-2022'!F244-'2012-2022'!S$2)/'2012-2022'!S$3</f>
        <v>-1.3179461463880273</v>
      </c>
      <c r="G244" s="22">
        <f>('2012-2022'!G244-'2012-2022'!T$2)/'2012-2022'!T$3</f>
        <v>-1.988358399527242</v>
      </c>
      <c r="H244" s="22">
        <f>('2012-2022'!H244-'2012-2022'!U$2)/'2012-2022'!U$3</f>
        <v>-1.1741339992694182</v>
      </c>
      <c r="I244" s="22">
        <f>('2012-2022'!I244-'2012-2022'!V$2)/'2012-2022'!V$3</f>
        <v>-1.363410074819297</v>
      </c>
      <c r="J244" s="22">
        <f>('2012-2022'!J244-'2012-2022'!W$2)/'2012-2022'!W$3</f>
        <v>-1.2207595627372521</v>
      </c>
      <c r="K244" s="22">
        <f>('2012-2022'!K244-'2012-2022'!X$2)/'2012-2022'!X$3</f>
        <v>-1.0633842636078286</v>
      </c>
      <c r="L244" s="22">
        <f>('2012-2022'!L244-'2012-2022'!Y$2)/'2012-2022'!Y$3</f>
        <v>-0.74828757094135323</v>
      </c>
      <c r="M244" s="22">
        <f>('2012-2022'!M244-'2012-2022'!Z$2)/'2012-2022'!Z$3</f>
        <v>-1.1093623056052604</v>
      </c>
      <c r="N244" s="22">
        <f>('2012-2022'!N244-'2012-2022'!AA$2)/'2012-2022'!AA$3</f>
        <v>-0.56751024601100675</v>
      </c>
      <c r="O244" s="22">
        <f>('2012-2022'!P244-'2012-2022'!AC$2)/'2012-2022'!AC$3</f>
        <v>1.285008038409428</v>
      </c>
    </row>
    <row r="245" spans="1:15">
      <c r="A245" s="10" t="s">
        <v>29</v>
      </c>
      <c r="B245" s="11">
        <v>2013</v>
      </c>
      <c r="C245" s="14" t="s">
        <v>55</v>
      </c>
      <c r="D245" s="14" t="s">
        <v>54</v>
      </c>
      <c r="E245" s="22">
        <f>('2012-2022'!E245-'2012-2022'!R$2)/'2012-2022'!R$3</f>
        <v>-0.99928761335357363</v>
      </c>
      <c r="F245" s="22">
        <f>('2012-2022'!F245-'2012-2022'!S$2)/'2012-2022'!S$3</f>
        <v>-1.6697234728580153</v>
      </c>
      <c r="G245" s="22">
        <f>('2012-2022'!G245-'2012-2022'!T$2)/'2012-2022'!T$3</f>
        <v>-1.1108464173713002</v>
      </c>
      <c r="H245" s="22">
        <f>('2012-2022'!H245-'2012-2022'!U$2)/'2012-2022'!U$3</f>
        <v>-1.2078022813583715</v>
      </c>
      <c r="I245" s="22">
        <f>('2012-2022'!I245-'2012-2022'!V$2)/'2012-2022'!V$3</f>
        <v>-0.81867758889533537</v>
      </c>
      <c r="J245" s="22">
        <f>('2012-2022'!J245-'2012-2022'!W$2)/'2012-2022'!W$3</f>
        <v>-0.57965799201584978</v>
      </c>
      <c r="K245" s="22">
        <f>('2012-2022'!K245-'2012-2022'!X$2)/'2012-2022'!X$3</f>
        <v>-0.83501398305460584</v>
      </c>
      <c r="L245" s="22">
        <f>('2012-2022'!L245-'2012-2022'!Y$2)/'2012-2022'!Y$3</f>
        <v>-0.93402504531204422</v>
      </c>
      <c r="M245" s="22">
        <f>('2012-2022'!M245-'2012-2022'!Z$2)/'2012-2022'!Z$3</f>
        <v>-0.77214021428743551</v>
      </c>
      <c r="N245" s="22">
        <f>('2012-2022'!N245-'2012-2022'!AA$2)/'2012-2022'!AA$3</f>
        <v>-0.20419175651758759</v>
      </c>
      <c r="O245" s="22">
        <f>('2012-2022'!P245-'2012-2022'!AC$2)/'2012-2022'!AC$3</f>
        <v>1.2194025081426252</v>
      </c>
    </row>
    <row r="246" spans="1:15">
      <c r="A246" s="10" t="s">
        <v>29</v>
      </c>
      <c r="B246" s="11">
        <v>2014</v>
      </c>
      <c r="C246" s="14" t="s">
        <v>55</v>
      </c>
      <c r="D246" s="14" t="s">
        <v>54</v>
      </c>
      <c r="E246" s="22">
        <f>('2012-2022'!E246-'2012-2022'!R$2)/'2012-2022'!R$3</f>
        <v>-1.178946414939398</v>
      </c>
      <c r="F246" s="22">
        <f>('2012-2022'!F246-'2012-2022'!S$2)/'2012-2022'!S$3</f>
        <v>-1.3503982416058549</v>
      </c>
      <c r="G246" s="22">
        <f>('2012-2022'!G246-'2012-2022'!T$2)/'2012-2022'!T$3</f>
        <v>-1.7073707889326546</v>
      </c>
      <c r="H246" s="22">
        <f>('2012-2022'!H246-'2012-2022'!U$2)/'2012-2022'!U$3</f>
        <v>-1.1053226132832266</v>
      </c>
      <c r="I246" s="22">
        <f>('2012-2022'!I246-'2012-2022'!V$2)/'2012-2022'!V$3</f>
        <v>-1.1596739133069183</v>
      </c>
      <c r="J246" s="22">
        <f>('2012-2022'!J246-'2012-2022'!W$2)/'2012-2022'!W$3</f>
        <v>-0.85198455101040627</v>
      </c>
      <c r="K246" s="22">
        <f>('2012-2022'!K246-'2012-2022'!X$2)/'2012-2022'!X$3</f>
        <v>-1.0244644288136198</v>
      </c>
      <c r="L246" s="22">
        <f>('2012-2022'!L246-'2012-2022'!Y$2)/'2012-2022'!Y$3</f>
        <v>-1.0436308386638071</v>
      </c>
      <c r="M246" s="22">
        <f>('2012-2022'!M246-'2012-2022'!Z$2)/'2012-2022'!Z$3</f>
        <v>-0.92486683198987574</v>
      </c>
      <c r="N246" s="22">
        <f>('2012-2022'!N246-'2012-2022'!AA$2)/'2012-2022'!AA$3</f>
        <v>-7.0180047534026513E-2</v>
      </c>
      <c r="O246" s="22">
        <f>('2012-2022'!P246-'2012-2022'!AC$2)/'2012-2022'!AC$3</f>
        <v>1.3665516367717963</v>
      </c>
    </row>
    <row r="247" spans="1:15">
      <c r="A247" s="10" t="s">
        <v>29</v>
      </c>
      <c r="B247" s="11">
        <v>2015</v>
      </c>
      <c r="C247" s="14" t="s">
        <v>55</v>
      </c>
      <c r="D247" s="14" t="s">
        <v>54</v>
      </c>
      <c r="E247" s="22">
        <f>('2012-2022'!E247-'2012-2022'!R$2)/'2012-2022'!R$3</f>
        <v>-0.98210126775783679</v>
      </c>
      <c r="F247" s="22">
        <f>('2012-2022'!F247-'2012-2022'!S$2)/'2012-2022'!S$3</f>
        <v>-1.4580104360461859</v>
      </c>
      <c r="G247" s="22">
        <f>('2012-2022'!G247-'2012-2022'!T$2)/'2012-2022'!T$3</f>
        <v>-0.70792660808037133</v>
      </c>
      <c r="H247" s="22">
        <f>('2012-2022'!H247-'2012-2022'!U$2)/'2012-2022'!U$3</f>
        <v>-1.1364076802359631</v>
      </c>
      <c r="I247" s="22">
        <f>('2012-2022'!I247-'2012-2022'!V$2)/'2012-2022'!V$3</f>
        <v>-0.85029868068698489</v>
      </c>
      <c r="J247" s="22">
        <f>('2012-2022'!J247-'2012-2022'!W$2)/'2012-2022'!W$3</f>
        <v>-0.64275444663840886</v>
      </c>
      <c r="K247" s="22">
        <f>('2012-2022'!K247-'2012-2022'!X$2)/'2012-2022'!X$3</f>
        <v>-0.97065354466788889</v>
      </c>
      <c r="L247" s="22">
        <f>('2012-2022'!L247-'2012-2022'!Y$2)/'2012-2022'!Y$3</f>
        <v>-1.0151916997704749</v>
      </c>
      <c r="M247" s="22">
        <f>('2012-2022'!M247-'2012-2022'!Z$2)/'2012-2022'!Z$3</f>
        <v>-0.61068608350462861</v>
      </c>
      <c r="N247" s="22">
        <f>('2012-2022'!N247-'2012-2022'!AA$2)/'2012-2022'!AA$3</f>
        <v>-0.18705874427255992</v>
      </c>
      <c r="O247" s="22">
        <f>('2012-2022'!P247-'2012-2022'!AC$2)/'2012-2022'!AC$3</f>
        <v>1.218386554207006</v>
      </c>
    </row>
    <row r="248" spans="1:15">
      <c r="A248" s="10" t="s">
        <v>29</v>
      </c>
      <c r="B248" s="11">
        <v>2016</v>
      </c>
      <c r="C248" s="14" t="s">
        <v>55</v>
      </c>
      <c r="D248" s="14" t="s">
        <v>54</v>
      </c>
      <c r="E248" s="22">
        <f>('2012-2022'!E248-'2012-2022'!R$2)/'2012-2022'!R$3</f>
        <v>-1.0231578507915957</v>
      </c>
      <c r="F248" s="22">
        <f>('2012-2022'!F248-'2012-2022'!S$2)/'2012-2022'!S$3</f>
        <v>-1.5098068975550947</v>
      </c>
      <c r="G248" s="22">
        <f>('2012-2022'!G248-'2012-2022'!T$2)/'2012-2022'!T$3</f>
        <v>-1.3613926155421667</v>
      </c>
      <c r="H248" s="22">
        <f>('2012-2022'!H248-'2012-2022'!U$2)/'2012-2022'!U$3</f>
        <v>-1.1053043454532807</v>
      </c>
      <c r="I248" s="22">
        <f>('2012-2022'!I248-'2012-2022'!V$2)/'2012-2022'!V$3</f>
        <v>-0.93357605353021567</v>
      </c>
      <c r="J248" s="22">
        <f>('2012-2022'!J248-'2012-2022'!W$2)/'2012-2022'!W$3</f>
        <v>-0.70701928448691453</v>
      </c>
      <c r="K248" s="22">
        <f>('2012-2022'!K248-'2012-2022'!X$2)/'2012-2022'!X$3</f>
        <v>-0.86779266090662655</v>
      </c>
      <c r="L248" s="22">
        <f>('2012-2022'!L248-'2012-2022'!Y$2)/'2012-2022'!Y$3</f>
        <v>-0.83226787674677105</v>
      </c>
      <c r="M248" s="22">
        <f>('2012-2022'!M248-'2012-2022'!Z$2)/'2012-2022'!Z$3</f>
        <v>-0.70759321907507577</v>
      </c>
      <c r="N248" s="22">
        <f>('2012-2022'!N248-'2012-2022'!AA$2)/'2012-2022'!AA$3</f>
        <v>-0.21025381279024544</v>
      </c>
      <c r="O248" s="22">
        <f>('2012-2022'!P248-'2012-2022'!AC$2)/'2012-2022'!AC$3</f>
        <v>1.373006169014674</v>
      </c>
    </row>
    <row r="249" spans="1:15">
      <c r="A249" s="10" t="s">
        <v>29</v>
      </c>
      <c r="B249" s="11">
        <v>2017</v>
      </c>
      <c r="C249" s="14" t="s">
        <v>55</v>
      </c>
      <c r="D249" s="14" t="s">
        <v>54</v>
      </c>
      <c r="E249" s="22">
        <f>('2012-2022'!E249-'2012-2022'!R$2)/'2012-2022'!R$3</f>
        <v>-0.84738367270210391</v>
      </c>
      <c r="F249" s="22">
        <f>('2012-2022'!F249-'2012-2022'!S$2)/'2012-2022'!S$3</f>
        <v>-1.6198650288583076</v>
      </c>
      <c r="G249" s="22">
        <f>('2012-2022'!G249-'2012-2022'!T$2)/'2012-2022'!T$3</f>
        <v>-0.60286509813658251</v>
      </c>
      <c r="H249" s="22">
        <f>('2012-2022'!H249-'2012-2022'!U$2)/'2012-2022'!U$3</f>
        <v>-1.155897845706829</v>
      </c>
      <c r="I249" s="22">
        <f>('2012-2022'!I249-'2012-2022'!V$2)/'2012-2022'!V$3</f>
        <v>-0.639678678595334</v>
      </c>
      <c r="J249" s="22">
        <f>('2012-2022'!J249-'2012-2022'!W$2)/'2012-2022'!W$3</f>
        <v>-0.80783077126445835</v>
      </c>
      <c r="K249" s="22">
        <f>('2012-2022'!K249-'2012-2022'!X$2)/'2012-2022'!X$3</f>
        <v>-0.76311165629339572</v>
      </c>
      <c r="L249" s="22">
        <f>('2012-2022'!L249-'2012-2022'!Y$2)/'2012-2022'!Y$3</f>
        <v>-0.62757626031076297</v>
      </c>
      <c r="M249" s="22">
        <f>('2012-2022'!M249-'2012-2022'!Z$2)/'2012-2022'!Z$3</f>
        <v>-0.79665240147854766</v>
      </c>
      <c r="N249" s="22">
        <f>('2012-2022'!N249-'2012-2022'!AA$2)/'2012-2022'!AA$3</f>
        <v>0.14681782620043124</v>
      </c>
      <c r="O249" s="22">
        <f>('2012-2022'!P249-'2012-2022'!AC$2)/'2012-2022'!AC$3</f>
        <v>1.3582179480537668</v>
      </c>
    </row>
    <row r="250" spans="1:15">
      <c r="A250" s="10" t="s">
        <v>29</v>
      </c>
      <c r="B250" s="11">
        <v>2018</v>
      </c>
      <c r="C250" s="14" t="s">
        <v>55</v>
      </c>
      <c r="D250" s="14" t="s">
        <v>54</v>
      </c>
      <c r="E250" s="22">
        <f>('2012-2022'!E250-'2012-2022'!R$2)/'2012-2022'!R$3</f>
        <v>-0.88183053150735369</v>
      </c>
      <c r="F250" s="22">
        <f>('2012-2022'!F250-'2012-2022'!S$2)/'2012-2022'!S$3</f>
        <v>-1.7429228589500698</v>
      </c>
      <c r="G250" s="22">
        <f>('2012-2022'!G250-'2012-2022'!T$2)/'2012-2022'!T$3</f>
        <v>2.2404462646855257E-2</v>
      </c>
      <c r="H250" s="22">
        <f>('2012-2022'!H250-'2012-2022'!U$2)/'2012-2022'!U$3</f>
        <v>-1.269197435456098</v>
      </c>
      <c r="I250" s="22">
        <f>('2012-2022'!I250-'2012-2022'!V$2)/'2012-2022'!V$3</f>
        <v>-0.62729029276560366</v>
      </c>
      <c r="J250" s="22">
        <f>('2012-2022'!J250-'2012-2022'!W$2)/'2012-2022'!W$3</f>
        <v>-1.3142831467615168</v>
      </c>
      <c r="K250" s="22">
        <f>('2012-2022'!K250-'2012-2022'!X$2)/'2012-2022'!X$3</f>
        <v>-0.94989969019673903</v>
      </c>
      <c r="L250" s="22">
        <f>('2012-2022'!L250-'2012-2022'!Y$2)/'2012-2022'!Y$3</f>
        <v>-1.0611856845111731</v>
      </c>
      <c r="M250" s="22">
        <f>('2012-2022'!M250-'2012-2022'!Z$2)/'2012-2022'!Z$3</f>
        <v>-0.19068669011345515</v>
      </c>
      <c r="N250" s="22">
        <f>('2012-2022'!N250-'2012-2022'!AA$2)/'2012-2022'!AA$3</f>
        <v>4.2433079116924552E-2</v>
      </c>
      <c r="O250" s="22">
        <f>('2012-2022'!P250-'2012-2022'!AC$2)/'2012-2022'!AC$3</f>
        <v>1.2291765859511623</v>
      </c>
    </row>
    <row r="251" spans="1:15">
      <c r="A251" s="10" t="s">
        <v>29</v>
      </c>
      <c r="B251" s="11">
        <v>2019</v>
      </c>
      <c r="C251" s="14" t="s">
        <v>55</v>
      </c>
      <c r="D251" s="14" t="s">
        <v>54</v>
      </c>
      <c r="E251" s="22">
        <f>('2012-2022'!E251-'2012-2022'!R$2)/'2012-2022'!R$3</f>
        <v>-0.33894192642158988</v>
      </c>
      <c r="F251" s="22">
        <f>('2012-2022'!F251-'2012-2022'!S$2)/'2012-2022'!S$3</f>
        <v>0.13915644592560397</v>
      </c>
      <c r="G251" s="22">
        <f>('2012-2022'!G251-'2012-2022'!T$2)/'2012-2022'!T$3</f>
        <v>-0.95404992036646341</v>
      </c>
      <c r="H251" s="22">
        <f>('2012-2022'!H251-'2012-2022'!U$2)/'2012-2022'!U$3</f>
        <v>0.1034215488471882</v>
      </c>
      <c r="I251" s="22">
        <f>('2012-2022'!I251-'2012-2022'!V$2)/'2012-2022'!V$3</f>
        <v>-0.58572046480037854</v>
      </c>
      <c r="J251" s="22">
        <f>('2012-2022'!J251-'2012-2022'!W$2)/'2012-2022'!W$3</f>
        <v>-0.19561659367704867</v>
      </c>
      <c r="K251" s="22">
        <f>('2012-2022'!K251-'2012-2022'!X$2)/'2012-2022'!X$3</f>
        <v>-0.54964458157248697</v>
      </c>
      <c r="L251" s="22">
        <f>('2012-2022'!L251-'2012-2022'!Y$2)/'2012-2022'!Y$3</f>
        <v>1.0350578887628941</v>
      </c>
      <c r="M251" s="22">
        <f>('2012-2022'!M251-'2012-2022'!Z$2)/'2012-2022'!Z$3</f>
        <v>-1.6274049595787383</v>
      </c>
      <c r="N251" s="22">
        <f>('2012-2022'!N251-'2012-2022'!AA$2)/'2012-2022'!AA$3</f>
        <v>-0.25717704400938052</v>
      </c>
      <c r="O251" s="22">
        <f>('2012-2022'!P251-'2012-2022'!AC$2)/'2012-2022'!AC$3</f>
        <v>1.1817322537692283</v>
      </c>
    </row>
    <row r="252" spans="1:15">
      <c r="A252" s="10" t="s">
        <v>29</v>
      </c>
      <c r="B252" s="11">
        <v>2020</v>
      </c>
      <c r="C252" s="14" t="s">
        <v>55</v>
      </c>
      <c r="D252" s="14" t="s">
        <v>54</v>
      </c>
      <c r="E252" s="22">
        <f>('2012-2022'!E252-'2012-2022'!R$2)/'2012-2022'!R$3</f>
        <v>-0.90543269423182093</v>
      </c>
      <c r="F252" s="22">
        <f>('2012-2022'!F252-'2012-2022'!S$2)/'2012-2022'!S$3</f>
        <v>-1.0499878831423115</v>
      </c>
      <c r="G252" s="22">
        <f>('2012-2022'!G252-'2012-2022'!T$2)/'2012-2022'!T$3</f>
        <v>-1.7672736487655518</v>
      </c>
      <c r="H252" s="22">
        <f>('2012-2022'!H252-'2012-2022'!U$2)/'2012-2022'!U$3</f>
        <v>-0.73938598455944271</v>
      </c>
      <c r="I252" s="22">
        <f>('2012-2022'!I252-'2012-2022'!V$2)/'2012-2022'!V$3</f>
        <v>-0.96712308715213224</v>
      </c>
      <c r="J252" s="22">
        <f>('2012-2022'!J252-'2012-2022'!W$2)/'2012-2022'!W$3</f>
        <v>-0.59698058565747536</v>
      </c>
      <c r="K252" s="22">
        <f>('2012-2022'!K252-'2012-2022'!X$2)/'2012-2022'!X$3</f>
        <v>-0.92667330626099431</v>
      </c>
      <c r="L252" s="22">
        <f>('2012-2022'!L252-'2012-2022'!Y$2)/'2012-2022'!Y$3</f>
        <v>0.22755814522824663</v>
      </c>
      <c r="M252" s="22">
        <f>('2012-2022'!M252-'2012-2022'!Z$2)/'2012-2022'!Z$3</f>
        <v>0.25756224140150047</v>
      </c>
      <c r="N252" s="22">
        <f>('2012-2022'!N252-'2012-2022'!AA$2)/'2012-2022'!AA$3</f>
        <v>-1.1237667718302391</v>
      </c>
      <c r="O252" s="22">
        <f>('2012-2022'!P252-'2012-2022'!AC$2)/'2012-2022'!AC$3</f>
        <v>1.0259141376785188</v>
      </c>
    </row>
    <row r="253" spans="1:15">
      <c r="A253" s="10" t="s">
        <v>29</v>
      </c>
      <c r="B253" s="11">
        <v>2021</v>
      </c>
      <c r="C253" s="14" t="s">
        <v>55</v>
      </c>
      <c r="D253" s="14" t="s">
        <v>54</v>
      </c>
      <c r="E253" s="22">
        <f>('2012-2022'!E253-'2012-2022'!R$2)/'2012-2022'!R$3</f>
        <v>-0.67849188535879823</v>
      </c>
      <c r="F253" s="22">
        <f>('2012-2022'!F253-'2012-2022'!S$2)/'2012-2022'!S$3</f>
        <v>-0.73250791946902039</v>
      </c>
      <c r="G253" s="22">
        <f>('2012-2022'!G253-'2012-2022'!T$2)/'2012-2022'!T$3</f>
        <v>-1.4936654210846521</v>
      </c>
      <c r="H253" s="22">
        <f>('2012-2022'!H253-'2012-2022'!U$2)/'2012-2022'!U$3</f>
        <v>-0.44415142471724778</v>
      </c>
      <c r="I253" s="22">
        <f>('2012-2022'!I253-'2012-2022'!V$2)/'2012-2022'!V$3</f>
        <v>-0.79287203244462157</v>
      </c>
      <c r="J253" s="22">
        <f>('2012-2022'!J253-'2012-2022'!W$2)/'2012-2022'!W$3</f>
        <v>-0.15890043768303241</v>
      </c>
      <c r="K253" s="22">
        <f>('2012-2022'!K253-'2012-2022'!X$2)/'2012-2022'!X$3</f>
        <v>-0.29728805160592287</v>
      </c>
      <c r="L253" s="22">
        <f>('2012-2022'!L253-'2012-2022'!Y$2)/'2012-2022'!Y$3</f>
        <v>1.0360351098742044</v>
      </c>
      <c r="M253" s="22">
        <f>('2012-2022'!M253-'2012-2022'!Z$2)/'2012-2022'!Z$3</f>
        <v>-0.49311253429139945</v>
      </c>
      <c r="N253" s="22">
        <f>('2012-2022'!N253-'2012-2022'!AA$2)/'2012-2022'!AA$3</f>
        <v>0.61585540880378331</v>
      </c>
      <c r="O253" s="22">
        <f>('2012-2022'!P253-'2012-2022'!AC$2)/'2012-2022'!AC$3</f>
        <v>1.1726481345300119</v>
      </c>
    </row>
    <row r="254" spans="1:15">
      <c r="A254" s="10" t="s">
        <v>29</v>
      </c>
      <c r="B254" s="11">
        <v>2022</v>
      </c>
      <c r="C254" s="14" t="s">
        <v>55</v>
      </c>
      <c r="D254" s="14" t="s">
        <v>54</v>
      </c>
      <c r="E254" s="22">
        <f>('2012-2022'!E254-'2012-2022'!R$2)/'2012-2022'!R$3</f>
        <v>-0.99576408286779428</v>
      </c>
      <c r="F254" s="22">
        <f>('2012-2022'!F254-'2012-2022'!S$2)/'2012-2022'!S$3</f>
        <v>-0.66248043124721379</v>
      </c>
      <c r="G254" s="22">
        <f>('2012-2022'!G254-'2012-2022'!T$2)/'2012-2022'!T$3</f>
        <v>-1.6195101218525871</v>
      </c>
      <c r="H254" s="22">
        <f>('2012-2022'!H254-'2012-2022'!U$2)/'2012-2022'!U$3</f>
        <v>-0.68665841219348622</v>
      </c>
      <c r="I254" s="22">
        <f>('2012-2022'!I254-'2012-2022'!V$2)/'2012-2022'!V$3</f>
        <v>-1.128947868472393</v>
      </c>
      <c r="J254" s="22">
        <f>('2012-2022'!J254-'2012-2022'!W$2)/'2012-2022'!W$3</f>
        <v>-0.33327609920666379</v>
      </c>
      <c r="K254" s="22">
        <f>('2012-2022'!K254-'2012-2022'!X$2)/'2012-2022'!X$3</f>
        <v>-0.61285689760178219</v>
      </c>
      <c r="L254" s="22">
        <f>('2012-2022'!L254-'2012-2022'!Y$2)/'2012-2022'!Y$3</f>
        <v>0.82511204478134237</v>
      </c>
      <c r="M254" s="22">
        <f>('2012-2022'!M254-'2012-2022'!Z$2)/'2012-2022'!Z$3</f>
        <v>-0.11193857854278536</v>
      </c>
      <c r="N254" s="22">
        <f>('2012-2022'!N254-'2012-2022'!AA$2)/'2012-2022'!AA$3</f>
        <v>0.13347494448826888</v>
      </c>
      <c r="O254" s="22">
        <f>('2012-2022'!P254-'2012-2022'!AC$2)/'2012-2022'!AC$3</f>
        <v>1.1752958253955164</v>
      </c>
    </row>
    <row r="255" spans="1:15">
      <c r="A255" s="10" t="s">
        <v>30</v>
      </c>
      <c r="B255" s="11">
        <v>2012</v>
      </c>
      <c r="C255" s="14" t="s">
        <v>59</v>
      </c>
      <c r="D255" s="14" t="s">
        <v>54</v>
      </c>
      <c r="E255" s="22">
        <f>('2012-2022'!E255-'2012-2022'!R$2)/'2012-2022'!R$3</f>
        <v>-0.59580652518776867</v>
      </c>
      <c r="F255" s="22">
        <f>('2012-2022'!F255-'2012-2022'!S$2)/'2012-2022'!S$3</f>
        <v>-0.62946737998277369</v>
      </c>
      <c r="G255" s="22">
        <f>('2012-2022'!G255-'2012-2022'!T$2)/'2012-2022'!T$3</f>
        <v>0.81824503743015697</v>
      </c>
      <c r="H255" s="22">
        <f>('2012-2022'!H255-'2012-2022'!U$2)/'2012-2022'!U$3</f>
        <v>-0.7721799175082803</v>
      </c>
      <c r="I255" s="22">
        <f>('2012-2022'!I255-'2012-2022'!V$2)/'2012-2022'!V$3</f>
        <v>-0.48163231308123361</v>
      </c>
      <c r="J255" s="22">
        <f>('2012-2022'!J255-'2012-2022'!W$2)/'2012-2022'!W$3</f>
        <v>-2.1724903389234078</v>
      </c>
      <c r="K255" s="22">
        <f>('2012-2022'!K255-'2012-2022'!X$2)/'2012-2022'!X$3</f>
        <v>0.34691217779327427</v>
      </c>
      <c r="L255" s="22">
        <f>('2012-2022'!L255-'2012-2022'!Y$2)/'2012-2022'!Y$3</f>
        <v>-0.83053182587103613</v>
      </c>
      <c r="M255" s="22">
        <f>('2012-2022'!M255-'2012-2022'!Z$2)/'2012-2022'!Z$3</f>
        <v>-0.22452452235336443</v>
      </c>
      <c r="N255" s="22">
        <f>('2012-2022'!N255-'2012-2022'!AA$2)/'2012-2022'!AA$3</f>
        <v>-0.388724614224225</v>
      </c>
      <c r="O255" s="22">
        <f>('2012-2022'!P255-'2012-2022'!AC$2)/'2012-2022'!AC$3</f>
        <v>0.50888875548272361</v>
      </c>
    </row>
    <row r="256" spans="1:15">
      <c r="A256" s="10" t="s">
        <v>30</v>
      </c>
      <c r="B256" s="11">
        <v>2013</v>
      </c>
      <c r="C256" s="14" t="s">
        <v>59</v>
      </c>
      <c r="D256" s="14" t="s">
        <v>54</v>
      </c>
      <c r="E256" s="22">
        <f>('2012-2022'!E256-'2012-2022'!R$2)/'2012-2022'!R$3</f>
        <v>-0.42830579522257939</v>
      </c>
      <c r="F256" s="22">
        <f>('2012-2022'!F256-'2012-2022'!S$2)/'2012-2022'!S$3</f>
        <v>-0.45792238552460696</v>
      </c>
      <c r="G256" s="22">
        <f>('2012-2022'!G256-'2012-2022'!T$2)/'2012-2022'!T$3</f>
        <v>0.82912002718589728</v>
      </c>
      <c r="H256" s="22">
        <f>('2012-2022'!H256-'2012-2022'!U$2)/'2012-2022'!U$3</f>
        <v>-0.61927933178336148</v>
      </c>
      <c r="I256" s="22">
        <f>('2012-2022'!I256-'2012-2022'!V$2)/'2012-2022'!V$3</f>
        <v>-0.30949396582446959</v>
      </c>
      <c r="J256" s="22">
        <f>('2012-2022'!J256-'2012-2022'!W$2)/'2012-2022'!W$3</f>
        <v>-2.0992005102580888</v>
      </c>
      <c r="K256" s="22">
        <f>('2012-2022'!K256-'2012-2022'!X$2)/'2012-2022'!X$3</f>
        <v>0.52093122420752114</v>
      </c>
      <c r="L256" s="22">
        <f>('2012-2022'!L256-'2012-2022'!Y$2)/'2012-2022'!Y$3</f>
        <v>-0.5158048368005278</v>
      </c>
      <c r="M256" s="22">
        <f>('2012-2022'!M256-'2012-2022'!Z$2)/'2012-2022'!Z$3</f>
        <v>-0.17842274653153553</v>
      </c>
      <c r="N256" s="22">
        <f>('2012-2022'!N256-'2012-2022'!AA$2)/'2012-2022'!AA$3</f>
        <v>-0.17208092038685188</v>
      </c>
      <c r="O256" s="22">
        <f>('2012-2022'!P256-'2012-2022'!AC$2)/'2012-2022'!AC$3</f>
        <v>0.45380371046360807</v>
      </c>
    </row>
    <row r="257" spans="1:15">
      <c r="A257" s="10" t="s">
        <v>30</v>
      </c>
      <c r="B257" s="11">
        <v>2014</v>
      </c>
      <c r="C257" s="14" t="s">
        <v>59</v>
      </c>
      <c r="D257" s="14" t="s">
        <v>54</v>
      </c>
      <c r="E257" s="22">
        <f>('2012-2022'!E257-'2012-2022'!R$2)/'2012-2022'!R$3</f>
        <v>-0.40150699247055188</v>
      </c>
      <c r="F257" s="22">
        <f>('2012-2022'!F257-'2012-2022'!S$2)/'2012-2022'!S$3</f>
        <v>-0.40370536928966383</v>
      </c>
      <c r="G257" s="22">
        <f>('2012-2022'!G257-'2012-2022'!T$2)/'2012-2022'!T$3</f>
        <v>0.49896929729501638</v>
      </c>
      <c r="H257" s="22">
        <f>('2012-2022'!H257-'2012-2022'!U$2)/'2012-2022'!U$3</f>
        <v>-0.53322166017905903</v>
      </c>
      <c r="I257" s="22">
        <f>('2012-2022'!I257-'2012-2022'!V$2)/'2012-2022'!V$3</f>
        <v>-0.31854814190357916</v>
      </c>
      <c r="J257" s="22">
        <f>('2012-2022'!J257-'2012-2022'!W$2)/'2012-2022'!W$3</f>
        <v>-1.9450350647211343</v>
      </c>
      <c r="K257" s="22">
        <f>('2012-2022'!K257-'2012-2022'!X$2)/'2012-2022'!X$3</f>
        <v>0.44195215020562045</v>
      </c>
      <c r="L257" s="22">
        <f>('2012-2022'!L257-'2012-2022'!Y$2)/'2012-2022'!Y$3</f>
        <v>-0.45932611201638252</v>
      </c>
      <c r="M257" s="22">
        <f>('2012-2022'!M257-'2012-2022'!Z$2)/'2012-2022'!Z$3</f>
        <v>-0.30392794737193152</v>
      </c>
      <c r="N257" s="22">
        <f>('2012-2022'!N257-'2012-2022'!AA$2)/'2012-2022'!AA$3</f>
        <v>-0.70439724347804378</v>
      </c>
      <c r="O257" s="22">
        <f>('2012-2022'!P257-'2012-2022'!AC$2)/'2012-2022'!AC$3</f>
        <v>0.53684452395025462</v>
      </c>
    </row>
    <row r="258" spans="1:15">
      <c r="A258" s="10" t="s">
        <v>30</v>
      </c>
      <c r="B258" s="11">
        <v>2015</v>
      </c>
      <c r="C258" s="14" t="s">
        <v>59</v>
      </c>
      <c r="D258" s="14" t="s">
        <v>54</v>
      </c>
      <c r="E258" s="22">
        <f>('2012-2022'!E258-'2012-2022'!R$2)/'2012-2022'!R$3</f>
        <v>-0.34601131712228145</v>
      </c>
      <c r="F258" s="22">
        <f>('2012-2022'!F258-'2012-2022'!S$2)/'2012-2022'!S$3</f>
        <v>0.69415593279944188</v>
      </c>
      <c r="G258" s="22">
        <f>('2012-2022'!G258-'2012-2022'!T$2)/'2012-2022'!T$3</f>
        <v>0.7328744665402438</v>
      </c>
      <c r="H258" s="22">
        <f>('2012-2022'!H258-'2012-2022'!U$2)/'2012-2022'!U$3</f>
        <v>-0.17974043508201806</v>
      </c>
      <c r="I258" s="22">
        <f>('2012-2022'!I258-'2012-2022'!V$2)/'2012-2022'!V$3</f>
        <v>-0.43456462679453689</v>
      </c>
      <c r="J258" s="22">
        <f>('2012-2022'!J258-'2012-2022'!W$2)/'2012-2022'!W$3</f>
        <v>-2.2546916535425692</v>
      </c>
      <c r="K258" s="22">
        <f>('2012-2022'!K258-'2012-2022'!X$2)/'2012-2022'!X$3</f>
        <v>0.39575304032244291</v>
      </c>
      <c r="L258" s="22">
        <f>('2012-2022'!L258-'2012-2022'!Y$2)/'2012-2022'!Y$3</f>
        <v>-0.50948833516012826</v>
      </c>
      <c r="M258" s="22">
        <f>('2012-2022'!M258-'2012-2022'!Z$2)/'2012-2022'!Z$3</f>
        <v>-0.20901610297468581</v>
      </c>
      <c r="N258" s="22">
        <f>('2012-2022'!N258-'2012-2022'!AA$2)/'2012-2022'!AA$3</f>
        <v>-0.90649841489556171</v>
      </c>
      <c r="O258" s="22">
        <f>('2012-2022'!P258-'2012-2022'!AC$2)/'2012-2022'!AC$3</f>
        <v>0.62292729034201733</v>
      </c>
    </row>
    <row r="259" spans="1:15">
      <c r="A259" s="10" t="s">
        <v>30</v>
      </c>
      <c r="B259" s="11">
        <v>2016</v>
      </c>
      <c r="C259" s="14" t="s">
        <v>59</v>
      </c>
      <c r="D259" s="14" t="s">
        <v>54</v>
      </c>
      <c r="E259" s="22">
        <f>('2012-2022'!E259-'2012-2022'!R$2)/'2012-2022'!R$3</f>
        <v>-0.5733229519012959</v>
      </c>
      <c r="F259" s="22">
        <f>('2012-2022'!F259-'2012-2022'!S$2)/'2012-2022'!S$3</f>
        <v>-1.190788018081141</v>
      </c>
      <c r="G259" s="22">
        <f>('2012-2022'!G259-'2012-2022'!T$2)/'2012-2022'!T$3</f>
        <v>0.41487400353572884</v>
      </c>
      <c r="H259" s="22">
        <f>('2012-2022'!H259-'2012-2022'!U$2)/'2012-2022'!U$3</f>
        <v>-0.95892980315306031</v>
      </c>
      <c r="I259" s="22">
        <f>('2012-2022'!I259-'2012-2022'!V$2)/'2012-2022'!V$3</f>
        <v>-0.32040961514365007</v>
      </c>
      <c r="J259" s="22">
        <f>('2012-2022'!J259-'2012-2022'!W$2)/'2012-2022'!W$3</f>
        <v>-2.2710538635760935</v>
      </c>
      <c r="K259" s="22">
        <f>('2012-2022'!K259-'2012-2022'!X$2)/'2012-2022'!X$3</f>
        <v>0.45942618393519707</v>
      </c>
      <c r="L259" s="22">
        <f>('2012-2022'!L259-'2012-2022'!Y$2)/'2012-2022'!Y$3</f>
        <v>-0.41578127365335477</v>
      </c>
      <c r="M259" s="22">
        <f>('2012-2022'!M259-'2012-2022'!Z$2)/'2012-2022'!Z$3</f>
        <v>-0.12174391866154827</v>
      </c>
      <c r="N259" s="22">
        <f>('2012-2022'!N259-'2012-2022'!AA$2)/'2012-2022'!AA$3</f>
        <v>-1.1402168007832407</v>
      </c>
      <c r="O259" s="22">
        <f>('2012-2022'!P259-'2012-2022'!AC$2)/'2012-2022'!AC$3</f>
        <v>0.57522698956548823</v>
      </c>
    </row>
    <row r="260" spans="1:15">
      <c r="A260" s="10" t="s">
        <v>30</v>
      </c>
      <c r="B260" s="11">
        <v>2017</v>
      </c>
      <c r="C260" s="14" t="s">
        <v>59</v>
      </c>
      <c r="D260" s="14" t="s">
        <v>54</v>
      </c>
      <c r="E260" s="22">
        <f>('2012-2022'!E260-'2012-2022'!R$2)/'2012-2022'!R$3</f>
        <v>-0.26313740012415227</v>
      </c>
      <c r="F260" s="22">
        <f>('2012-2022'!F260-'2012-2022'!S$2)/'2012-2022'!S$3</f>
        <v>-0.15426326589877623</v>
      </c>
      <c r="G260" s="22">
        <f>('2012-2022'!G260-'2012-2022'!T$2)/'2012-2022'!T$3</f>
        <v>0.41561676356813287</v>
      </c>
      <c r="H260" s="22">
        <f>('2012-2022'!H260-'2012-2022'!U$2)/'2012-2022'!U$3</f>
        <v>-0.36637119711026289</v>
      </c>
      <c r="I260" s="22">
        <f>('2012-2022'!I260-'2012-2022'!V$2)/'2012-2022'!V$3</f>
        <v>-0.18977533084474979</v>
      </c>
      <c r="J260" s="22">
        <f>('2012-2022'!J260-'2012-2022'!W$2)/'2012-2022'!W$3</f>
        <v>-2.2147941063623624</v>
      </c>
      <c r="K260" s="22">
        <f>('2012-2022'!K260-'2012-2022'!X$2)/'2012-2022'!X$3</f>
        <v>0.55178146322666932</v>
      </c>
      <c r="L260" s="22">
        <f>('2012-2022'!L260-'2012-2022'!Y$2)/'2012-2022'!Y$3</f>
        <v>-5.621048198302462E-2</v>
      </c>
      <c r="M260" s="22">
        <f>('2012-2022'!M260-'2012-2022'!Z$2)/'2012-2022'!Z$3</f>
        <v>-7.4189721632791666E-2</v>
      </c>
      <c r="N260" s="22">
        <f>('2012-2022'!N260-'2012-2022'!AA$2)/'2012-2022'!AA$3</f>
        <v>-1.132905175785744</v>
      </c>
      <c r="O260" s="22">
        <f>('2012-2022'!P260-'2012-2022'!AC$2)/'2012-2022'!AC$3</f>
        <v>0.56359286492147465</v>
      </c>
    </row>
    <row r="261" spans="1:15">
      <c r="A261" s="10" t="s">
        <v>30</v>
      </c>
      <c r="B261" s="11">
        <v>2018</v>
      </c>
      <c r="C261" s="14" t="s">
        <v>59</v>
      </c>
      <c r="D261" s="14" t="s">
        <v>54</v>
      </c>
      <c r="E261" s="22">
        <f>('2012-2022'!E261-'2012-2022'!R$2)/'2012-2022'!R$3</f>
        <v>0.10619517005192897</v>
      </c>
      <c r="F261" s="22">
        <f>('2012-2022'!F261-'2012-2022'!S$2)/'2012-2022'!S$3</f>
        <v>6.4982815759718565E-2</v>
      </c>
      <c r="G261" s="22">
        <f>('2012-2022'!G261-'2012-2022'!T$2)/'2012-2022'!T$3</f>
        <v>0.80784343386037072</v>
      </c>
      <c r="H261" s="22">
        <f>('2012-2022'!H261-'2012-2022'!U$2)/'2012-2022'!U$3</f>
        <v>-7.967994932598671E-2</v>
      </c>
      <c r="I261" s="22">
        <f>('2012-2022'!I261-'2012-2022'!V$2)/'2012-2022'!V$3</f>
        <v>0.20705430642872519</v>
      </c>
      <c r="J261" s="22">
        <f>('2012-2022'!J261-'2012-2022'!W$2)/'2012-2022'!W$3</f>
        <v>-2.0159469878679772</v>
      </c>
      <c r="K261" s="22">
        <f>('2012-2022'!K261-'2012-2022'!X$2)/'2012-2022'!X$3</f>
        <v>0.38712438448982189</v>
      </c>
      <c r="L261" s="22">
        <f>('2012-2022'!L261-'2012-2022'!Y$2)/'2012-2022'!Y$3</f>
        <v>-5.576685090160631E-2</v>
      </c>
      <c r="M261" s="22">
        <f>('2012-2022'!M261-'2012-2022'!Z$2)/'2012-2022'!Z$3</f>
        <v>0.13952378948324709</v>
      </c>
      <c r="N261" s="22">
        <f>('2012-2022'!N261-'2012-2022'!AA$2)/'2012-2022'!AA$3</f>
        <v>-1.122808882560081</v>
      </c>
      <c r="O261" s="22">
        <f>('2012-2022'!P261-'2012-2022'!AC$2)/'2012-2022'!AC$3</f>
        <v>0.53773337363777207</v>
      </c>
    </row>
    <row r="262" spans="1:15">
      <c r="A262" s="10" t="s">
        <v>30</v>
      </c>
      <c r="B262" s="11">
        <v>2019</v>
      </c>
      <c r="C262" s="14" t="s">
        <v>59</v>
      </c>
      <c r="D262" s="14" t="s">
        <v>54</v>
      </c>
      <c r="E262" s="22">
        <f>('2012-2022'!E262-'2012-2022'!R$2)/'2012-2022'!R$3</f>
        <v>-0.58477095765448672</v>
      </c>
      <c r="F262" s="22">
        <f>('2012-2022'!F262-'2012-2022'!S$2)/'2012-2022'!S$3</f>
        <v>-0.76938529228182484</v>
      </c>
      <c r="G262" s="22">
        <f>('2012-2022'!G262-'2012-2022'!T$2)/'2012-2022'!T$3</f>
        <v>-0.41003778188747658</v>
      </c>
      <c r="H262" s="22">
        <f>('2012-2022'!H262-'2012-2022'!U$2)/'2012-2022'!U$3</f>
        <v>-0.70603660501559462</v>
      </c>
      <c r="I262" s="22">
        <f>('2012-2022'!I262-'2012-2022'!V$2)/'2012-2022'!V$3</f>
        <v>-0.47490606453131901</v>
      </c>
      <c r="J262" s="22">
        <f>('2012-2022'!J262-'2012-2022'!W$2)/'2012-2022'!W$3</f>
        <v>-0.81834908703838161</v>
      </c>
      <c r="K262" s="22">
        <f>('2012-2022'!K262-'2012-2022'!X$2)/'2012-2022'!X$3</f>
        <v>-0.41606370094897521</v>
      </c>
      <c r="L262" s="22">
        <f>('2012-2022'!L262-'2012-2022'!Y$2)/'2012-2022'!Y$3</f>
        <v>-0.49120050105071261</v>
      </c>
      <c r="M262" s="22">
        <f>('2012-2022'!M262-'2012-2022'!Z$2)/'2012-2022'!Z$3</f>
        <v>-0.70614613067871246</v>
      </c>
      <c r="N262" s="22">
        <f>('2012-2022'!N262-'2012-2022'!AA$2)/'2012-2022'!AA$3</f>
        <v>-0.22615174400031829</v>
      </c>
      <c r="O262" s="22">
        <f>('2012-2022'!P262-'2012-2022'!AC$2)/'2012-2022'!AC$3</f>
        <v>0.59716850183054959</v>
      </c>
    </row>
    <row r="263" spans="1:15">
      <c r="A263" s="10" t="s">
        <v>30</v>
      </c>
      <c r="B263" s="11">
        <v>2020</v>
      </c>
      <c r="C263" s="14" t="s">
        <v>59</v>
      </c>
      <c r="D263" s="14" t="s">
        <v>54</v>
      </c>
      <c r="E263" s="22">
        <f>('2012-2022'!E263-'2012-2022'!R$2)/'2012-2022'!R$3</f>
        <v>-0.6507510362348079</v>
      </c>
      <c r="F263" s="22">
        <f>('2012-2022'!F263-'2012-2022'!S$2)/'2012-2022'!S$3</f>
        <v>-0.77476642288742259</v>
      </c>
      <c r="G263" s="22">
        <f>('2012-2022'!G263-'2012-2022'!T$2)/'2012-2022'!T$3</f>
        <v>-0.80138559018649824</v>
      </c>
      <c r="H263" s="22">
        <f>('2012-2022'!H263-'2012-2022'!U$2)/'2012-2022'!U$3</f>
        <v>-0.6804639088298865</v>
      </c>
      <c r="I263" s="22">
        <f>('2012-2022'!I263-'2012-2022'!V$2)/'2012-2022'!V$3</f>
        <v>-0.59705874233770539</v>
      </c>
      <c r="J263" s="22">
        <f>('2012-2022'!J263-'2012-2022'!W$2)/'2012-2022'!W$3</f>
        <v>-0.57233573234389701</v>
      </c>
      <c r="K263" s="22">
        <f>('2012-2022'!K263-'2012-2022'!X$2)/'2012-2022'!X$3</f>
        <v>-0.37429634628323749</v>
      </c>
      <c r="L263" s="22">
        <f>('2012-2022'!L263-'2012-2022'!Y$2)/'2012-2022'!Y$3</f>
        <v>-0.74936183421479829</v>
      </c>
      <c r="M263" s="22">
        <f>('2012-2022'!M263-'2012-2022'!Z$2)/'2012-2022'!Z$3</f>
        <v>-9.4910473228833905E-2</v>
      </c>
      <c r="N263" s="22">
        <f>('2012-2022'!N263-'2012-2022'!AA$2)/'2012-2022'!AA$3</f>
        <v>-0.34481692910197559</v>
      </c>
      <c r="O263" s="22">
        <f>('2012-2022'!P263-'2012-2022'!AC$2)/'2012-2022'!AC$3</f>
        <v>0.5570865354973723</v>
      </c>
    </row>
    <row r="264" spans="1:15">
      <c r="A264" s="10" t="s">
        <v>30</v>
      </c>
      <c r="B264" s="11">
        <v>2021</v>
      </c>
      <c r="C264" s="14" t="s">
        <v>59</v>
      </c>
      <c r="D264" s="14" t="s">
        <v>54</v>
      </c>
      <c r="E264" s="22">
        <f>('2012-2022'!E264-'2012-2022'!R$2)/'2012-2022'!R$3</f>
        <v>-0.7515080992837434</v>
      </c>
      <c r="F264" s="22">
        <f>('2012-2022'!F264-'2012-2022'!S$2)/'2012-2022'!S$3</f>
        <v>-0.81148016156809977</v>
      </c>
      <c r="G264" s="22">
        <f>('2012-2022'!G264-'2012-2022'!T$2)/'2012-2022'!T$3</f>
        <v>-0.13672164909592599</v>
      </c>
      <c r="H264" s="22">
        <f>('2012-2022'!H264-'2012-2022'!U$2)/'2012-2022'!U$3</f>
        <v>-0.82491407803701156</v>
      </c>
      <c r="I264" s="22">
        <f>('2012-2022'!I264-'2012-2022'!V$2)/'2012-2022'!V$3</f>
        <v>-0.68210797718002203</v>
      </c>
      <c r="J264" s="22">
        <f>('2012-2022'!J264-'2012-2022'!W$2)/'2012-2022'!W$3</f>
        <v>-0.78372100409664014</v>
      </c>
      <c r="K264" s="22">
        <f>('2012-2022'!K264-'2012-2022'!X$2)/'2012-2022'!X$3</f>
        <v>-0.39507204386277817</v>
      </c>
      <c r="L264" s="22">
        <f>('2012-2022'!L264-'2012-2022'!Y$2)/'2012-2022'!Y$3</f>
        <v>-0.88348425390160501</v>
      </c>
      <c r="M264" s="22">
        <f>('2012-2022'!M264-'2012-2022'!Z$2)/'2012-2022'!Z$3</f>
        <v>3.3753421802285577E-2</v>
      </c>
      <c r="N264" s="22">
        <f>('2012-2022'!N264-'2012-2022'!AA$2)/'2012-2022'!AA$3</f>
        <v>-0.10987447830859529</v>
      </c>
      <c r="O264" s="22">
        <f>('2012-2022'!P264-'2012-2022'!AC$2)/'2012-2022'!AC$3</f>
        <v>0.64613758210445127</v>
      </c>
    </row>
    <row r="265" spans="1:15">
      <c r="A265" s="10" t="s">
        <v>30</v>
      </c>
      <c r="B265" s="11">
        <v>2022</v>
      </c>
      <c r="C265" s="14" t="s">
        <v>59</v>
      </c>
      <c r="D265" s="14" t="s">
        <v>54</v>
      </c>
      <c r="E265" s="22">
        <f>('2012-2022'!E265-'2012-2022'!R$2)/'2012-2022'!R$3</f>
        <v>-0.85992672456324182</v>
      </c>
      <c r="F265" s="22">
        <f>('2012-2022'!F265-'2012-2022'!S$2)/'2012-2022'!S$3</f>
        <v>-0.84819390024877661</v>
      </c>
      <c r="G265" s="22">
        <f>('2012-2022'!G265-'2012-2022'!T$2)/'2012-2022'!T$3</f>
        <v>0.52794229199464626</v>
      </c>
      <c r="H265" s="22">
        <f>('2012-2022'!H265-'2012-2022'!U$2)/'2012-2022'!U$3</f>
        <v>-0.9693642472441365</v>
      </c>
      <c r="I265" s="22">
        <f>('2012-2022'!I265-'2012-2022'!V$2)/'2012-2022'!V$3</f>
        <v>-0.76715721202233844</v>
      </c>
      <c r="J265" s="22">
        <f>('2012-2022'!J265-'2012-2022'!W$2)/'2012-2022'!W$3</f>
        <v>-0.99510627584938272</v>
      </c>
      <c r="K265" s="22">
        <f>('2012-2022'!K265-'2012-2022'!X$2)/'2012-2022'!X$3</f>
        <v>-0.41584774144231906</v>
      </c>
      <c r="L265" s="22">
        <f>('2012-2022'!L265-'2012-2022'!Y$2)/'2012-2022'!Y$3</f>
        <v>-1.0176066735884119</v>
      </c>
      <c r="M265" s="22">
        <f>('2012-2022'!M265-'2012-2022'!Z$2)/'2012-2022'!Z$3</f>
        <v>0.16241731683340507</v>
      </c>
      <c r="N265" s="22">
        <f>('2012-2022'!N265-'2012-2022'!AA$2)/'2012-2022'!AA$3</f>
        <v>0.12506797248478504</v>
      </c>
      <c r="O265" s="22">
        <f>('2012-2022'!P265-'2012-2022'!AC$2)/'2012-2022'!AC$3</f>
        <v>0.59245370112598394</v>
      </c>
    </row>
    <row r="266" spans="1:15">
      <c r="A266" s="10" t="s">
        <v>32</v>
      </c>
      <c r="B266" s="11">
        <v>2012</v>
      </c>
      <c r="C266" s="14" t="s">
        <v>55</v>
      </c>
      <c r="D266" s="14" t="s">
        <v>54</v>
      </c>
      <c r="E266" s="22">
        <f>('2012-2022'!E266-'2012-2022'!R$2)/'2012-2022'!R$3</f>
        <v>-0.66483682277476386</v>
      </c>
      <c r="F266" s="22">
        <f>('2012-2022'!F266-'2012-2022'!S$2)/'2012-2022'!S$3</f>
        <v>-0.15848844890302435</v>
      </c>
      <c r="G266" s="22">
        <f>('2012-2022'!G266-'2012-2022'!T$2)/'2012-2022'!T$3</f>
        <v>-0.95159282546922175</v>
      </c>
      <c r="H266" s="22">
        <f>('2012-2022'!H266-'2012-2022'!U$2)/'2012-2022'!U$3</f>
        <v>-0.58919541159638034</v>
      </c>
      <c r="I266" s="22">
        <f>('2012-2022'!I266-'2012-2022'!V$2)/'2012-2022'!V$3</f>
        <v>-0.63083622900842762</v>
      </c>
      <c r="J266" s="22">
        <f>('2012-2022'!J266-'2012-2022'!W$2)/'2012-2022'!W$3</f>
        <v>-0.37072267757995631</v>
      </c>
      <c r="K266" s="22">
        <f>('2012-2022'!K266-'2012-2022'!X$2)/'2012-2022'!X$3</f>
        <v>-0.82395597152274602</v>
      </c>
      <c r="L266" s="22">
        <f>('2012-2022'!L266-'2012-2022'!Y$2)/'2012-2022'!Y$3</f>
        <v>-0.92945828814836629</v>
      </c>
      <c r="M266" s="22">
        <f>('2012-2022'!M266-'2012-2022'!Z$2)/'2012-2022'!Z$3</f>
        <v>-0.2087453756447627</v>
      </c>
      <c r="N266" s="22">
        <f>('2012-2022'!N266-'2012-2022'!AA$2)/'2012-2022'!AA$3</f>
        <v>-0.74481390574277084</v>
      </c>
      <c r="O266" s="22">
        <f>('2012-2022'!P266-'2012-2022'!AC$2)/'2012-2022'!AC$3</f>
        <v>1.0284671603948436</v>
      </c>
    </row>
    <row r="267" spans="1:15">
      <c r="A267" s="10" t="s">
        <v>32</v>
      </c>
      <c r="B267" s="11">
        <v>2013</v>
      </c>
      <c r="C267" s="14" t="s">
        <v>55</v>
      </c>
      <c r="D267" s="14" t="s">
        <v>54</v>
      </c>
      <c r="E267" s="22">
        <f>('2012-2022'!E267-'2012-2022'!R$2)/'2012-2022'!R$3</f>
        <v>-0.93475785656899169</v>
      </c>
      <c r="F267" s="22">
        <f>('2012-2022'!F267-'2012-2022'!S$2)/'2012-2022'!S$3</f>
        <v>-0.36492327061822272</v>
      </c>
      <c r="G267" s="22">
        <f>('2012-2022'!G267-'2012-2022'!T$2)/'2012-2022'!T$3</f>
        <v>-0.99166581164892642</v>
      </c>
      <c r="H267" s="22">
        <f>('2012-2022'!H267-'2012-2022'!U$2)/'2012-2022'!U$3</f>
        <v>-0.77192981476744449</v>
      </c>
      <c r="I267" s="22">
        <f>('2012-2022'!I267-'2012-2022'!V$2)/'2012-2022'!V$3</f>
        <v>-0.97183661173480551</v>
      </c>
      <c r="J267" s="22">
        <f>('2012-2022'!J267-'2012-2022'!W$2)/'2012-2022'!W$3</f>
        <v>-0.65569404390854136</v>
      </c>
      <c r="K267" s="22">
        <f>('2012-2022'!K267-'2012-2022'!X$2)/'2012-2022'!X$3</f>
        <v>-1.1173725652944408</v>
      </c>
      <c r="L267" s="22">
        <f>('2012-2022'!L267-'2012-2022'!Y$2)/'2012-2022'!Y$3</f>
        <v>-0.99469407285873845</v>
      </c>
      <c r="M267" s="22">
        <f>('2012-2022'!M267-'2012-2022'!Z$2)/'2012-2022'!Z$3</f>
        <v>-0.32181624420079874</v>
      </c>
      <c r="N267" s="22">
        <f>('2012-2022'!N267-'2012-2022'!AA$2)/'2012-2022'!AA$3</f>
        <v>-0.57567244098147152</v>
      </c>
      <c r="O267" s="22">
        <f>('2012-2022'!P267-'2012-2022'!AC$2)/'2012-2022'!AC$3</f>
        <v>1.1321671287473041</v>
      </c>
    </row>
    <row r="268" spans="1:15">
      <c r="A268" s="10" t="s">
        <v>32</v>
      </c>
      <c r="B268" s="11">
        <v>2014</v>
      </c>
      <c r="C268" s="14" t="s">
        <v>55</v>
      </c>
      <c r="D268" s="14" t="s">
        <v>54</v>
      </c>
      <c r="E268" s="22">
        <f>('2012-2022'!E268-'2012-2022'!R$2)/'2012-2022'!R$3</f>
        <v>-0.26739049501881224</v>
      </c>
      <c r="F268" s="22">
        <f>('2012-2022'!F268-'2012-2022'!S$2)/'2012-2022'!S$3</f>
        <v>-0.76507700592775107</v>
      </c>
      <c r="G268" s="22">
        <f>('2012-2022'!G268-'2012-2022'!T$2)/'2012-2022'!T$3</f>
        <v>6.4066070832666369E-2</v>
      </c>
      <c r="H268" s="22">
        <f>('2012-2022'!H268-'2012-2022'!U$2)/'2012-2022'!U$3</f>
        <v>-0.61745129933425436</v>
      </c>
      <c r="I268" s="22">
        <f>('2012-2022'!I268-'2012-2022'!V$2)/'2012-2022'!V$3</f>
        <v>-8.478877953512421E-3</v>
      </c>
      <c r="J268" s="22">
        <f>('2012-2022'!J268-'2012-2022'!W$2)/'2012-2022'!W$3</f>
        <v>-0.43083310406112596</v>
      </c>
      <c r="K268" s="22">
        <f>('2012-2022'!K268-'2012-2022'!X$2)/'2012-2022'!X$3</f>
        <v>-1.0168619659498108</v>
      </c>
      <c r="L268" s="22">
        <f>('2012-2022'!L268-'2012-2022'!Y$2)/'2012-2022'!Y$3</f>
        <v>-0.85911690756238013</v>
      </c>
      <c r="M268" s="22">
        <f>('2012-2022'!M268-'2012-2022'!Z$2)/'2012-2022'!Z$3</f>
        <v>-0.54525641686487691</v>
      </c>
      <c r="N268" s="22">
        <f>('2012-2022'!N268-'2012-2022'!AA$2)/'2012-2022'!AA$3</f>
        <v>-0.23713447769302481</v>
      </c>
      <c r="O268" s="22">
        <f>('2012-2022'!P268-'2012-2022'!AC$2)/'2012-2022'!AC$3</f>
        <v>1.1393556220192804</v>
      </c>
    </row>
    <row r="269" spans="1:15">
      <c r="A269" s="10" t="s">
        <v>32</v>
      </c>
      <c r="B269" s="11">
        <v>2015</v>
      </c>
      <c r="C269" s="14" t="s">
        <v>55</v>
      </c>
      <c r="D269" s="14" t="s">
        <v>54</v>
      </c>
      <c r="E269" s="22">
        <f>('2012-2022'!E269-'2012-2022'!R$2)/'2012-2022'!R$3</f>
        <v>-1.083411389360156</v>
      </c>
      <c r="F269" s="22">
        <f>('2012-2022'!F269-'2012-2022'!S$2)/'2012-2022'!S$3</f>
        <v>-0.95737146046528554</v>
      </c>
      <c r="G269" s="22">
        <f>('2012-2022'!G269-'2012-2022'!T$2)/'2012-2022'!T$3</f>
        <v>-1.1496734424754107</v>
      </c>
      <c r="H269" s="22">
        <f>('2012-2022'!H269-'2012-2022'!U$2)/'2012-2022'!U$3</f>
        <v>-1.0248937371598417</v>
      </c>
      <c r="I269" s="22">
        <f>('2012-2022'!I269-'2012-2022'!V$2)/'2012-2022'!V$3</f>
        <v>-1.0406981741617267</v>
      </c>
      <c r="J269" s="22">
        <f>('2012-2022'!J269-'2012-2022'!W$2)/'2012-2022'!W$3</f>
        <v>-0.68004582096771471</v>
      </c>
      <c r="K269" s="22">
        <f>('2012-2022'!K269-'2012-2022'!X$2)/'2012-2022'!X$3</f>
        <v>-0.97904378816839299</v>
      </c>
      <c r="L269" s="22">
        <f>('2012-2022'!L269-'2012-2022'!Y$2)/'2012-2022'!Y$3</f>
        <v>-0.9556748703906609</v>
      </c>
      <c r="M269" s="22">
        <f>('2012-2022'!M269-'2012-2022'!Z$2)/'2012-2022'!Z$3</f>
        <v>-0.5975099581659904</v>
      </c>
      <c r="N269" s="22">
        <f>('2012-2022'!N269-'2012-2022'!AA$2)/'2012-2022'!AA$3</f>
        <v>-0.20175377134197781</v>
      </c>
      <c r="O269" s="22">
        <f>('2012-2022'!P269-'2012-2022'!AC$2)/'2012-2022'!AC$3</f>
        <v>1.2403269349802444</v>
      </c>
    </row>
    <row r="270" spans="1:15">
      <c r="A270" s="10" t="s">
        <v>32</v>
      </c>
      <c r="B270" s="11">
        <v>2016</v>
      </c>
      <c r="C270" s="14" t="s">
        <v>55</v>
      </c>
      <c r="D270" s="14" t="s">
        <v>54</v>
      </c>
      <c r="E270" s="22">
        <f>('2012-2022'!E270-'2012-2022'!R$2)/'2012-2022'!R$3</f>
        <v>-0.63282282107303378</v>
      </c>
      <c r="F270" s="22">
        <f>('2012-2022'!F270-'2012-2022'!S$2)/'2012-2022'!S$3</f>
        <v>-9.2648727543355847E-2</v>
      </c>
      <c r="G270" s="22">
        <f>('2012-2022'!G270-'2012-2022'!T$2)/'2012-2022'!T$3</f>
        <v>-0.84212533561396608</v>
      </c>
      <c r="H270" s="22">
        <f>('2012-2022'!H270-'2012-2022'!U$2)/'2012-2022'!U$3</f>
        <v>-0.43628539283386469</v>
      </c>
      <c r="I270" s="22">
        <f>('2012-2022'!I270-'2012-2022'!V$2)/'2012-2022'!V$3</f>
        <v>-0.71546149011946847</v>
      </c>
      <c r="J270" s="22">
        <f>('2012-2022'!J270-'2012-2022'!W$2)/'2012-2022'!W$3</f>
        <v>-0.29866044097111688</v>
      </c>
      <c r="K270" s="22">
        <f>('2012-2022'!K270-'2012-2022'!X$2)/'2012-2022'!X$3</f>
        <v>-0.83791043732681403</v>
      </c>
      <c r="L270" s="22">
        <f>('2012-2022'!L270-'2012-2022'!Y$2)/'2012-2022'!Y$3</f>
        <v>-0.68248502428089708</v>
      </c>
      <c r="M270" s="22">
        <f>('2012-2022'!M270-'2012-2022'!Z$2)/'2012-2022'!Z$3</f>
        <v>-0.69827173223183125</v>
      </c>
      <c r="N270" s="22">
        <f>('2012-2022'!N270-'2012-2022'!AA$2)/'2012-2022'!AA$3</f>
        <v>-0.15518819460092362</v>
      </c>
      <c r="O270" s="22">
        <f>('2012-2022'!P270-'2012-2022'!AC$2)/'2012-2022'!AC$3</f>
        <v>1.0734956318136466</v>
      </c>
    </row>
    <row r="271" spans="1:15">
      <c r="A271" s="10" t="s">
        <v>32</v>
      </c>
      <c r="B271" s="11">
        <v>2017</v>
      </c>
      <c r="C271" s="14" t="s">
        <v>55</v>
      </c>
      <c r="D271" s="14" t="s">
        <v>54</v>
      </c>
      <c r="E271" s="22">
        <f>('2012-2022'!E271-'2012-2022'!R$2)/'2012-2022'!R$3</f>
        <v>-0.56685372896887531</v>
      </c>
      <c r="F271" s="22">
        <f>('2012-2022'!F271-'2012-2022'!S$2)/'2012-2022'!S$3</f>
        <v>-0.41341502948299208</v>
      </c>
      <c r="G271" s="22">
        <f>('2012-2022'!G271-'2012-2022'!T$2)/'2012-2022'!T$3</f>
        <v>2.7696590177493662E-2</v>
      </c>
      <c r="H271" s="22">
        <f>('2012-2022'!H271-'2012-2022'!U$2)/'2012-2022'!U$3</f>
        <v>-0.63456914578907042</v>
      </c>
      <c r="I271" s="22">
        <f>('2012-2022'!I271-'2012-2022'!V$2)/'2012-2022'!V$3</f>
        <v>-0.4884594396478345</v>
      </c>
      <c r="J271" s="22">
        <f>('2012-2022'!J271-'2012-2022'!W$2)/'2012-2022'!W$3</f>
        <v>-0.27649451544083886</v>
      </c>
      <c r="K271" s="22">
        <f>('2012-2022'!K271-'2012-2022'!X$2)/'2012-2022'!X$3</f>
        <v>-0.99501851001417163</v>
      </c>
      <c r="L271" s="22">
        <f>('2012-2022'!L271-'2012-2022'!Y$2)/'2012-2022'!Y$3</f>
        <v>-0.68383176084698682</v>
      </c>
      <c r="M271" s="22">
        <f>('2012-2022'!M271-'2012-2022'!Z$2)/'2012-2022'!Z$3</f>
        <v>-0.58671020022781073</v>
      </c>
      <c r="N271" s="22">
        <f>('2012-2022'!N271-'2012-2022'!AA$2)/'2012-2022'!AA$3</f>
        <v>-0.11307327602630617</v>
      </c>
      <c r="O271" s="22">
        <f>('2012-2022'!P271-'2012-2022'!AC$2)/'2012-2022'!AC$3</f>
        <v>1.0589054219217406</v>
      </c>
    </row>
    <row r="272" spans="1:15">
      <c r="A272" s="10" t="s">
        <v>32</v>
      </c>
      <c r="B272" s="11">
        <v>2018</v>
      </c>
      <c r="C272" s="14" t="s">
        <v>55</v>
      </c>
      <c r="D272" s="14" t="s">
        <v>54</v>
      </c>
      <c r="E272" s="22">
        <f>('2012-2022'!E272-'2012-2022'!R$2)/'2012-2022'!R$3</f>
        <v>-0.52463352452336864</v>
      </c>
      <c r="F272" s="22">
        <f>('2012-2022'!F272-'2012-2022'!S$2)/'2012-2022'!S$3</f>
        <v>-0.11025472084441862</v>
      </c>
      <c r="G272" s="22">
        <f>('2012-2022'!G272-'2012-2022'!T$2)/'2012-2022'!T$3</f>
        <v>6.6975603745318593E-2</v>
      </c>
      <c r="H272" s="22">
        <f>('2012-2022'!H272-'2012-2022'!U$2)/'2012-2022'!U$3</f>
        <v>-0.49564116385495915</v>
      </c>
      <c r="I272" s="22">
        <f>('2012-2022'!I272-'2012-2022'!V$2)/'2012-2022'!V$3</f>
        <v>-0.51338176434029026</v>
      </c>
      <c r="J272" s="22">
        <f>('2012-2022'!J272-'2012-2022'!W$2)/'2012-2022'!W$3</f>
        <v>-0.41408535567758104</v>
      </c>
      <c r="K272" s="22">
        <f>('2012-2022'!K272-'2012-2022'!X$2)/'2012-2022'!X$3</f>
        <v>-1.0632309846343015</v>
      </c>
      <c r="L272" s="22">
        <f>('2012-2022'!L272-'2012-2022'!Y$2)/'2012-2022'!Y$3</f>
        <v>-0.67411424392667374</v>
      </c>
      <c r="M272" s="22">
        <f>('2012-2022'!M272-'2012-2022'!Z$2)/'2012-2022'!Z$3</f>
        <v>-0.32676946391900513</v>
      </c>
      <c r="N272" s="22">
        <f>('2012-2022'!N272-'2012-2022'!AA$2)/'2012-2022'!AA$3</f>
        <v>-4.8319415527300943E-2</v>
      </c>
      <c r="O272" s="22">
        <f>('2012-2022'!P272-'2012-2022'!AC$2)/'2012-2022'!AC$3</f>
        <v>1.0657685484339865</v>
      </c>
    </row>
    <row r="273" spans="1:15">
      <c r="A273" s="10" t="s">
        <v>32</v>
      </c>
      <c r="B273" s="11">
        <v>2019</v>
      </c>
      <c r="C273" s="14" t="s">
        <v>55</v>
      </c>
      <c r="D273" s="14" t="s">
        <v>54</v>
      </c>
      <c r="E273" s="22">
        <f>('2012-2022'!E273-'2012-2022'!R$2)/'2012-2022'!R$3</f>
        <v>-0.39979562358878379</v>
      </c>
      <c r="F273" s="22">
        <f>('2012-2022'!F273-'2012-2022'!S$2)/'2012-2022'!S$3</f>
        <v>0.65663202909247587</v>
      </c>
      <c r="G273" s="22">
        <f>('2012-2022'!G273-'2012-2022'!T$2)/'2012-2022'!T$3</f>
        <v>-0.93847474289191879</v>
      </c>
      <c r="H273" s="22">
        <f>('2012-2022'!H273-'2012-2022'!U$2)/'2012-2022'!U$3</f>
        <v>0.10955572600049618</v>
      </c>
      <c r="I273" s="22">
        <f>('2012-2022'!I273-'2012-2022'!V$2)/'2012-2022'!V$3</f>
        <v>-0.68925821461745995</v>
      </c>
      <c r="J273" s="22">
        <f>('2012-2022'!J273-'2012-2022'!W$2)/'2012-2022'!W$3</f>
        <v>0.32830331425788889</v>
      </c>
      <c r="K273" s="22">
        <f>('2012-2022'!K273-'2012-2022'!X$2)/'2012-2022'!X$3</f>
        <v>-0.94300088085943956</v>
      </c>
      <c r="L273" s="22">
        <f>('2012-2022'!L273-'2012-2022'!Y$2)/'2012-2022'!Y$3</f>
        <v>0.58686094884790019</v>
      </c>
      <c r="M273" s="22">
        <f>('2012-2022'!M273-'2012-2022'!Z$2)/'2012-2022'!Z$3</f>
        <v>0.5873913945420739</v>
      </c>
      <c r="N273" s="22">
        <f>('2012-2022'!N273-'2012-2022'!AA$2)/'2012-2022'!AA$3</f>
        <v>-5.9751361627027239E-2</v>
      </c>
      <c r="O273" s="22">
        <f>('2012-2022'!P273-'2012-2022'!AC$2)/'2012-2022'!AC$3</f>
        <v>1.1143087933070221</v>
      </c>
    </row>
    <row r="274" spans="1:15">
      <c r="A274" s="10" t="s">
        <v>32</v>
      </c>
      <c r="B274" s="11">
        <v>2020</v>
      </c>
      <c r="C274" s="14" t="s">
        <v>55</v>
      </c>
      <c r="D274" s="14" t="s">
        <v>54</v>
      </c>
      <c r="E274" s="22">
        <f>('2012-2022'!E274-'2012-2022'!R$2)/'2012-2022'!R$3</f>
        <v>-0.3138793050966926</v>
      </c>
      <c r="F274" s="22">
        <f>('2012-2022'!F274-'2012-2022'!S$2)/'2012-2022'!S$3</f>
        <v>0.48250447451044626</v>
      </c>
      <c r="G274" s="22">
        <f>('2012-2022'!G274-'2012-2022'!T$2)/'2012-2022'!T$3</f>
        <v>0.81016123157491016</v>
      </c>
      <c r="H274" s="22">
        <f>('2012-2022'!H274-'2012-2022'!U$2)/'2012-2022'!U$3</f>
        <v>-0.22563674158511474</v>
      </c>
      <c r="I274" s="22">
        <f>('2012-2022'!I274-'2012-2022'!V$2)/'2012-2022'!V$3</f>
        <v>-0.35890485424948515</v>
      </c>
      <c r="J274" s="22">
        <f>('2012-2022'!J274-'2012-2022'!W$2)/'2012-2022'!W$3</f>
        <v>0.26980120603798385</v>
      </c>
      <c r="K274" s="22">
        <f>('2012-2022'!K274-'2012-2022'!X$2)/'2012-2022'!X$3</f>
        <v>-0.9042937775809361</v>
      </c>
      <c r="L274" s="22">
        <f>('2012-2022'!L274-'2012-2022'!Y$2)/'2012-2022'!Y$3</f>
        <v>0.64416861631252098</v>
      </c>
      <c r="M274" s="22">
        <f>('2012-2022'!M274-'2012-2022'!Z$2)/'2012-2022'!Z$3</f>
        <v>1.3623051018088872</v>
      </c>
      <c r="N274" s="22">
        <f>('2012-2022'!N274-'2012-2022'!AA$2)/'2012-2022'!AA$3</f>
        <v>-1.0852292232804277</v>
      </c>
      <c r="O274" s="22">
        <f>('2012-2022'!P274-'2012-2022'!AC$2)/'2012-2022'!AC$3</f>
        <v>0.97334025017828207</v>
      </c>
    </row>
    <row r="275" spans="1:15">
      <c r="A275" s="10" t="s">
        <v>32</v>
      </c>
      <c r="B275" s="11">
        <v>2021</v>
      </c>
      <c r="C275" s="14" t="s">
        <v>55</v>
      </c>
      <c r="D275" s="14" t="s">
        <v>54</v>
      </c>
      <c r="E275" s="22">
        <f>('2012-2022'!E275-'2012-2022'!R$2)/'2012-2022'!R$3</f>
        <v>0.31621040812949353</v>
      </c>
      <c r="F275" s="22">
        <f>('2012-2022'!F275-'2012-2022'!S$2)/'2012-2022'!S$3</f>
        <v>0.72999776687300544</v>
      </c>
      <c r="G275" s="22">
        <f>('2012-2022'!G275-'2012-2022'!T$2)/'2012-2022'!T$3</f>
        <v>-0.44443349530599702</v>
      </c>
      <c r="H275" s="22">
        <f>('2012-2022'!H275-'2012-2022'!U$2)/'2012-2022'!U$3</f>
        <v>0.77402690015098485</v>
      </c>
      <c r="I275" s="22">
        <f>('2012-2022'!I275-'2012-2022'!V$2)/'2012-2022'!V$3</f>
        <v>1.198476209077873E-2</v>
      </c>
      <c r="J275" s="22">
        <f>('2012-2022'!J275-'2012-2022'!W$2)/'2012-2022'!W$3</f>
        <v>-3.0043385938917047E-2</v>
      </c>
      <c r="K275" s="22">
        <f>('2012-2022'!K275-'2012-2022'!X$2)/'2012-2022'!X$3</f>
        <v>-0.77288280942315202</v>
      </c>
      <c r="L275" s="22">
        <f>('2012-2022'!L275-'2012-2022'!Y$2)/'2012-2022'!Y$3</f>
        <v>0.64275270614433444</v>
      </c>
      <c r="M275" s="22">
        <f>('2012-2022'!M275-'2012-2022'!Z$2)/'2012-2022'!Z$3</f>
        <v>1.5857477600638075</v>
      </c>
      <c r="N275" s="22">
        <f>('2012-2022'!N275-'2012-2022'!AA$2)/'2012-2022'!AA$3</f>
        <v>1.0207652810761414</v>
      </c>
      <c r="O275" s="22">
        <f>('2012-2022'!P275-'2012-2022'!AC$2)/'2012-2022'!AC$3</f>
        <v>0.97257850473886642</v>
      </c>
    </row>
    <row r="276" spans="1:15">
      <c r="A276" s="10" t="s">
        <v>32</v>
      </c>
      <c r="B276" s="11">
        <v>2022</v>
      </c>
      <c r="C276" s="14" t="s">
        <v>55</v>
      </c>
      <c r="D276" s="14" t="s">
        <v>54</v>
      </c>
      <c r="E276" s="22">
        <f>('2012-2022'!E276-'2012-2022'!R$2)/'2012-2022'!R$3</f>
        <v>0.29602488246760195</v>
      </c>
      <c r="F276" s="22">
        <f>('2012-2022'!F276-'2012-2022'!S$2)/'2012-2022'!S$3</f>
        <v>0.24157156738605912</v>
      </c>
      <c r="G276" s="22">
        <f>('2012-2022'!G276-'2012-2022'!T$2)/'2012-2022'!T$3</f>
        <v>-0.27203489750113169</v>
      </c>
      <c r="H276" s="22">
        <f>('2012-2022'!H276-'2012-2022'!U$2)/'2012-2022'!U$3</f>
        <v>0.47497653961652614</v>
      </c>
      <c r="I276" s="22">
        <f>('2012-2022'!I276-'2012-2022'!V$2)/'2012-2022'!V$3</f>
        <v>0.1573774290179247</v>
      </c>
      <c r="J276" s="22">
        <f>('2012-2022'!J276-'2012-2022'!W$2)/'2012-2022'!W$3</f>
        <v>0.18125377309568627</v>
      </c>
      <c r="K276" s="22">
        <f>('2012-2022'!K276-'2012-2022'!X$2)/'2012-2022'!X$3</f>
        <v>-0.70512976108894054</v>
      </c>
      <c r="L276" s="22">
        <f>('2012-2022'!L276-'2012-2022'!Y$2)/'2012-2022'!Y$3</f>
        <v>0.4669341206622632</v>
      </c>
      <c r="M276" s="22">
        <f>('2012-2022'!M276-'2012-2022'!Z$2)/'2012-2022'!Z$3</f>
        <v>1.714547677548123</v>
      </c>
      <c r="N276" s="22">
        <f>('2012-2022'!N276-'2012-2022'!AA$2)/'2012-2022'!AA$3</f>
        <v>-2.7749794544629655E-2</v>
      </c>
      <c r="O276" s="22">
        <f>('2012-2022'!P276-'2012-2022'!AC$2)/'2012-2022'!AC$3</f>
        <v>1.0334717487273766</v>
      </c>
    </row>
    <row r="277" spans="1:15">
      <c r="A277" s="10" t="s">
        <v>33</v>
      </c>
      <c r="B277" s="11">
        <v>2012</v>
      </c>
      <c r="C277" s="14" t="s">
        <v>53</v>
      </c>
      <c r="D277" s="14" t="s">
        <v>54</v>
      </c>
      <c r="E277" s="22">
        <f>('2012-2022'!E277-'2012-2022'!R$2)/'2012-2022'!R$3</f>
        <v>-0.18150351574337836</v>
      </c>
      <c r="F277" s="22">
        <f>('2012-2022'!F277-'2012-2022'!S$2)/'2012-2022'!S$3</f>
        <v>-0.44075508995548562</v>
      </c>
      <c r="G277" s="22">
        <f>('2012-2022'!G277-'2012-2022'!T$2)/'2012-2022'!T$3</f>
        <v>-1.036730058306276</v>
      </c>
      <c r="H277" s="22">
        <f>('2012-2022'!H277-'2012-2022'!U$2)/'2012-2022'!U$3</f>
        <v>-0.17392962920008842</v>
      </c>
      <c r="I277" s="22">
        <f>('2012-2022'!I277-'2012-2022'!V$2)/'2012-2022'!V$3</f>
        <v>-0.16589287552069792</v>
      </c>
      <c r="J277" s="22">
        <f>('2012-2022'!J277-'2012-2022'!W$2)/'2012-2022'!W$3</f>
        <v>0.38880861766213065</v>
      </c>
      <c r="K277" s="22">
        <f>('2012-2022'!K277-'2012-2022'!X$2)/'2012-2022'!X$3</f>
        <v>-0.43763681475362071</v>
      </c>
      <c r="L277" s="22">
        <f>('2012-2022'!L277-'2012-2022'!Y$2)/'2012-2022'!Y$3</f>
        <v>-1.0189918874661255</v>
      </c>
      <c r="M277" s="22">
        <f>('2012-2022'!M277-'2012-2022'!Z$2)/'2012-2022'!Z$3</f>
        <v>-0.52852133349331276</v>
      </c>
      <c r="N277" s="22">
        <f>('2012-2022'!N277-'2012-2022'!AA$2)/'2012-2022'!AA$3</f>
        <v>-8.1696990739252281E-2</v>
      </c>
      <c r="O277" s="22">
        <f>('2012-2022'!P277-'2012-2022'!AC$2)/'2012-2022'!AC$3</f>
        <v>0.77333071517506236</v>
      </c>
    </row>
    <row r="278" spans="1:15">
      <c r="A278" s="10" t="s">
        <v>33</v>
      </c>
      <c r="B278" s="11">
        <v>2013</v>
      </c>
      <c r="C278" s="14" t="s">
        <v>53</v>
      </c>
      <c r="D278" s="14" t="s">
        <v>54</v>
      </c>
      <c r="E278" s="22">
        <f>('2012-2022'!E278-'2012-2022'!R$2)/'2012-2022'!R$3</f>
        <v>1.3432278401109811E-2</v>
      </c>
      <c r="F278" s="22">
        <f>('2012-2022'!F278-'2012-2022'!S$2)/'2012-2022'!S$3</f>
        <v>-2.9946347471193006E-4</v>
      </c>
      <c r="G278" s="22">
        <f>('2012-2022'!G278-'2012-2022'!T$2)/'2012-2022'!T$3</f>
        <v>-0.79615418525614845</v>
      </c>
      <c r="H278" s="22">
        <f>('2012-2022'!H278-'2012-2022'!U$2)/'2012-2022'!U$3</f>
        <v>0.1298245692061015</v>
      </c>
      <c r="I278" s="22">
        <f>('2012-2022'!I278-'2012-2022'!V$2)/'2012-2022'!V$3</f>
        <v>-5.5050334743847879E-2</v>
      </c>
      <c r="J278" s="22">
        <f>('2012-2022'!J278-'2012-2022'!W$2)/'2012-2022'!W$3</f>
        <v>0.37721927307630815</v>
      </c>
      <c r="K278" s="22">
        <f>('2012-2022'!K278-'2012-2022'!X$2)/'2012-2022'!X$3</f>
        <v>-0.4299159254482442</v>
      </c>
      <c r="L278" s="22">
        <f>('2012-2022'!L278-'2012-2022'!Y$2)/'2012-2022'!Y$3</f>
        <v>-1.1578615358867546</v>
      </c>
      <c r="M278" s="22">
        <f>('2012-2022'!M278-'2012-2022'!Z$2)/'2012-2022'!Z$3</f>
        <v>-0.81770126950550293</v>
      </c>
      <c r="N278" s="22">
        <f>('2012-2022'!N278-'2012-2022'!AA$2)/'2012-2022'!AA$3</f>
        <v>0.14682983042811784</v>
      </c>
      <c r="O278" s="22">
        <f>('2012-2022'!P278-'2012-2022'!AC$2)/'2012-2022'!AC$3</f>
        <v>0.70870040513825572</v>
      </c>
    </row>
    <row r="279" spans="1:15">
      <c r="A279" s="10" t="s">
        <v>33</v>
      </c>
      <c r="B279" s="11">
        <v>2014</v>
      </c>
      <c r="C279" s="14" t="s">
        <v>53</v>
      </c>
      <c r="D279" s="14" t="s">
        <v>54</v>
      </c>
      <c r="E279" s="22">
        <f>('2012-2022'!E279-'2012-2022'!R$2)/'2012-2022'!R$3</f>
        <v>0.34010172459119059</v>
      </c>
      <c r="F279" s="22">
        <f>('2012-2022'!F279-'2012-2022'!S$2)/'2012-2022'!S$3</f>
        <v>6.6383222062062264E-2</v>
      </c>
      <c r="G279" s="22">
        <f>('2012-2022'!G279-'2012-2022'!T$2)/'2012-2022'!T$3</f>
        <v>-0.3170369372814843</v>
      </c>
      <c r="H279" s="22">
        <f>('2012-2022'!H279-'2012-2022'!U$2)/'2012-2022'!U$3</f>
        <v>0.28911425960998677</v>
      </c>
      <c r="I279" s="22">
        <f>('2012-2022'!I279-'2012-2022'!V$2)/'2012-2022'!V$3</f>
        <v>0.36381303740320703</v>
      </c>
      <c r="J279" s="22">
        <f>('2012-2022'!J279-'2012-2022'!W$2)/'2012-2022'!W$3</f>
        <v>0.16817287843344972</v>
      </c>
      <c r="K279" s="22">
        <f>('2012-2022'!K279-'2012-2022'!X$2)/'2012-2022'!X$3</f>
        <v>-0.46075698221479833</v>
      </c>
      <c r="L279" s="22">
        <f>('2012-2022'!L279-'2012-2022'!Y$2)/'2012-2022'!Y$3</f>
        <v>-1.0298378695196571</v>
      </c>
      <c r="M279" s="22">
        <f>('2012-2022'!M279-'2012-2022'!Z$2)/'2012-2022'!Z$3</f>
        <v>-1.0454166905320563</v>
      </c>
      <c r="N279" s="22">
        <f>('2012-2022'!N279-'2012-2022'!AA$2)/'2012-2022'!AA$3</f>
        <v>0.37622115264543993</v>
      </c>
      <c r="O279" s="22">
        <f>('2012-2022'!P279-'2012-2022'!AC$2)/'2012-2022'!AC$3</f>
        <v>0.57642750238954821</v>
      </c>
    </row>
    <row r="280" spans="1:15">
      <c r="A280" s="10" t="s">
        <v>33</v>
      </c>
      <c r="B280" s="11">
        <v>2015</v>
      </c>
      <c r="C280" s="14" t="s">
        <v>53</v>
      </c>
      <c r="D280" s="14" t="s">
        <v>54</v>
      </c>
      <c r="E280" s="22">
        <f>('2012-2022'!E280-'2012-2022'!R$2)/'2012-2022'!R$3</f>
        <v>-0.20747629319542887</v>
      </c>
      <c r="F280" s="22">
        <f>('2012-2022'!F280-'2012-2022'!S$2)/'2012-2022'!S$3</f>
        <v>-0.17352645160067712</v>
      </c>
      <c r="G280" s="22">
        <f>('2012-2022'!G280-'2012-2022'!T$2)/'2012-2022'!T$3</f>
        <v>-0.8685377426278974</v>
      </c>
      <c r="H280" s="22">
        <f>('2012-2022'!H280-'2012-2022'!U$2)/'2012-2022'!U$3</f>
        <v>-0.16730315383457223</v>
      </c>
      <c r="I280" s="22">
        <f>('2012-2022'!I280-'2012-2022'!V$2)/'2012-2022'!V$3</f>
        <v>-0.1999973139103039</v>
      </c>
      <c r="J280" s="22">
        <f>('2012-2022'!J280-'2012-2022'!W$2)/'2012-2022'!W$3</f>
        <v>0.37450230707869947</v>
      </c>
      <c r="K280" s="22">
        <f>('2012-2022'!K280-'2012-2022'!X$2)/'2012-2022'!X$3</f>
        <v>-0.3917521172322046</v>
      </c>
      <c r="L280" s="22">
        <f>('2012-2022'!L280-'2012-2022'!Y$2)/'2012-2022'!Y$3</f>
        <v>-0.94776572076448795</v>
      </c>
      <c r="M280" s="22">
        <f>('2012-2022'!M280-'2012-2022'!Z$2)/'2012-2022'!Z$3</f>
        <v>-1.1756848234272765</v>
      </c>
      <c r="N280" s="22">
        <f>('2012-2022'!N280-'2012-2022'!AA$2)/'2012-2022'!AA$3</f>
        <v>0.11404752159294881</v>
      </c>
      <c r="O280" s="22">
        <f>('2012-2022'!P280-'2012-2022'!AC$2)/'2012-2022'!AC$3</f>
        <v>0.58433373864116211</v>
      </c>
    </row>
    <row r="281" spans="1:15">
      <c r="A281" s="10" t="s">
        <v>33</v>
      </c>
      <c r="B281" s="11">
        <v>2016</v>
      </c>
      <c r="C281" s="14" t="s">
        <v>53</v>
      </c>
      <c r="D281" s="14" t="s">
        <v>54</v>
      </c>
      <c r="E281" s="22">
        <f>('2012-2022'!E281-'2012-2022'!R$2)/'2012-2022'!R$3</f>
        <v>-2.936257513111927E-2</v>
      </c>
      <c r="F281" s="22">
        <f>('2012-2022'!F281-'2012-2022'!S$2)/'2012-2022'!S$3</f>
        <v>-0.19505556216493894</v>
      </c>
      <c r="G281" s="22">
        <f>('2012-2022'!G281-'2012-2022'!T$2)/'2012-2022'!T$3</f>
        <v>-0.62788429720448224</v>
      </c>
      <c r="H281" s="22">
        <f>('2012-2022'!H281-'2012-2022'!U$2)/'2012-2022'!U$3</f>
        <v>-9.3519980687946744E-2</v>
      </c>
      <c r="I281" s="22">
        <f>('2012-2022'!I281-'2012-2022'!V$2)/'2012-2022'!V$3</f>
        <v>3.9385382123821443E-2</v>
      </c>
      <c r="J281" s="22">
        <f>('2012-2022'!J281-'2012-2022'!W$2)/'2012-2022'!W$3</f>
        <v>0.31689969433448434</v>
      </c>
      <c r="K281" s="22">
        <f>('2012-2022'!K281-'2012-2022'!X$2)/'2012-2022'!X$3</f>
        <v>-0.44708300777504156</v>
      </c>
      <c r="L281" s="22">
        <f>('2012-2022'!L281-'2012-2022'!Y$2)/'2012-2022'!Y$3</f>
        <v>-0.88709867176621526</v>
      </c>
      <c r="M281" s="22">
        <f>('2012-2022'!M281-'2012-2022'!Z$2)/'2012-2022'!Z$3</f>
        <v>-0.83087512372345573</v>
      </c>
      <c r="N281" s="22">
        <f>('2012-2022'!N281-'2012-2022'!AA$2)/'2012-2022'!AA$3</f>
        <v>0.77520557357026076</v>
      </c>
      <c r="O281" s="22">
        <f>('2012-2022'!P281-'2012-2022'!AC$2)/'2012-2022'!AC$3</f>
        <v>0.72980260191337831</v>
      </c>
    </row>
    <row r="282" spans="1:15">
      <c r="A282" s="10" t="s">
        <v>33</v>
      </c>
      <c r="B282" s="11">
        <v>2017</v>
      </c>
      <c r="C282" s="14" t="s">
        <v>53</v>
      </c>
      <c r="D282" s="14" t="s">
        <v>54</v>
      </c>
      <c r="E282" s="22">
        <f>('2012-2022'!E282-'2012-2022'!R$2)/'2012-2022'!R$3</f>
        <v>0.14921596110495466</v>
      </c>
      <c r="F282" s="22">
        <f>('2012-2022'!F282-'2012-2022'!S$2)/'2012-2022'!S$3</f>
        <v>-0.22329752356304045</v>
      </c>
      <c r="G282" s="22">
        <f>('2012-2022'!G282-'2012-2022'!T$2)/'2012-2022'!T$3</f>
        <v>-0.518075321126795</v>
      </c>
      <c r="H282" s="22">
        <f>('2012-2022'!H282-'2012-2022'!U$2)/'2012-2022'!U$3</f>
        <v>3.1753486234285624E-3</v>
      </c>
      <c r="I282" s="22">
        <f>('2012-2022'!I282-'2012-2022'!V$2)/'2012-2022'!V$3</f>
        <v>0.26352416395528205</v>
      </c>
      <c r="J282" s="22">
        <f>('2012-2022'!J282-'2012-2022'!W$2)/'2012-2022'!W$3</f>
        <v>0.25241503955496752</v>
      </c>
      <c r="K282" s="22">
        <f>('2012-2022'!K282-'2012-2022'!X$2)/'2012-2022'!X$3</f>
        <v>-0.25246870085929507</v>
      </c>
      <c r="L282" s="22">
        <f>('2012-2022'!L282-'2012-2022'!Y$2)/'2012-2022'!Y$3</f>
        <v>-0.71379216812274504</v>
      </c>
      <c r="M282" s="22">
        <f>('2012-2022'!M282-'2012-2022'!Z$2)/'2012-2022'!Z$3</f>
        <v>-0.87703713684864903</v>
      </c>
      <c r="N282" s="22">
        <f>('2012-2022'!N282-'2012-2022'!AA$2)/'2012-2022'!AA$3</f>
        <v>1.1677834842692045</v>
      </c>
      <c r="O282" s="22">
        <f>('2012-2022'!P282-'2012-2022'!AC$2)/'2012-2022'!AC$3</f>
        <v>0.85725057208676103</v>
      </c>
    </row>
    <row r="283" spans="1:15">
      <c r="A283" s="10" t="s">
        <v>33</v>
      </c>
      <c r="B283" s="11">
        <v>2018</v>
      </c>
      <c r="C283" s="14" t="s">
        <v>53</v>
      </c>
      <c r="D283" s="14" t="s">
        <v>54</v>
      </c>
      <c r="E283" s="22">
        <f>('2012-2022'!E283-'2012-2022'!R$2)/'2012-2022'!R$3</f>
        <v>0.41142024549152567</v>
      </c>
      <c r="F283" s="22">
        <f>('2012-2022'!F283-'2012-2022'!S$2)/'2012-2022'!S$3</f>
        <v>2.9964846210217234E-3</v>
      </c>
      <c r="G283" s="22">
        <f>('2012-2022'!G283-'2012-2022'!T$2)/'2012-2022'!T$3</f>
        <v>-0.81977268372466039</v>
      </c>
      <c r="H283" s="22">
        <f>('2012-2022'!H283-'2012-2022'!U$2)/'2012-2022'!U$3</f>
        <v>0.46414458796036523</v>
      </c>
      <c r="I283" s="22">
        <f>('2012-2022'!I283-'2012-2022'!V$2)/'2012-2022'!V$3</f>
        <v>0.36328887954370725</v>
      </c>
      <c r="J283" s="22">
        <f>('2012-2022'!J283-'2012-2022'!W$2)/'2012-2022'!W$3</f>
        <v>0.36629220755099351</v>
      </c>
      <c r="K283" s="22">
        <f>('2012-2022'!K283-'2012-2022'!X$2)/'2012-2022'!X$3</f>
        <v>-0.28485122689922737</v>
      </c>
      <c r="L283" s="22">
        <f>('2012-2022'!L283-'2012-2022'!Y$2)/'2012-2022'!Y$3</f>
        <v>-0.25665826218818011</v>
      </c>
      <c r="M283" s="22">
        <f>('2012-2022'!M283-'2012-2022'!Z$2)/'2012-2022'!Z$3</f>
        <v>-0.36303069712097902</v>
      </c>
      <c r="N283" s="22">
        <f>('2012-2022'!N283-'2012-2022'!AA$2)/'2012-2022'!AA$3</f>
        <v>1.5556337554328425</v>
      </c>
      <c r="O283" s="22">
        <f>('2012-2022'!P283-'2012-2022'!AC$2)/'2012-2022'!AC$3</f>
        <v>0.82606162859604981</v>
      </c>
    </row>
    <row r="284" spans="1:15">
      <c r="A284" s="10" t="s">
        <v>33</v>
      </c>
      <c r="B284" s="11">
        <v>2019</v>
      </c>
      <c r="C284" s="14" t="s">
        <v>53</v>
      </c>
      <c r="D284" s="14" t="s">
        <v>54</v>
      </c>
      <c r="E284" s="22">
        <f>('2012-2022'!E284-'2012-2022'!R$2)/'2012-2022'!R$3</f>
        <v>0.7857836956895996</v>
      </c>
      <c r="F284" s="22">
        <f>('2012-2022'!F284-'2012-2022'!S$2)/'2012-2022'!S$3</f>
        <v>-5.1152626819316566E-2</v>
      </c>
      <c r="G284" s="22">
        <f>('2012-2022'!G284-'2012-2022'!T$2)/'2012-2022'!T$3</f>
        <v>-0.53810274298614302</v>
      </c>
      <c r="H284" s="22">
        <f>('2012-2022'!H284-'2012-2022'!U$2)/'2012-2022'!U$3</f>
        <v>0.61219199519483714</v>
      </c>
      <c r="I284" s="22">
        <f>('2012-2022'!I284-'2012-2022'!V$2)/'2012-2022'!V$3</f>
        <v>0.87609861396564426</v>
      </c>
      <c r="J284" s="22">
        <f>('2012-2022'!J284-'2012-2022'!W$2)/'2012-2022'!W$3</f>
        <v>1.2248540872462403</v>
      </c>
      <c r="K284" s="22">
        <f>('2012-2022'!K284-'2012-2022'!X$2)/'2012-2022'!X$3</f>
        <v>-0.14041623465933822</v>
      </c>
      <c r="L284" s="22">
        <f>('2012-2022'!L284-'2012-2022'!Y$2)/'2012-2022'!Y$3</f>
        <v>1.5241478294743653</v>
      </c>
      <c r="M284" s="22">
        <f>('2012-2022'!M284-'2012-2022'!Z$2)/'2012-2022'!Z$3</f>
        <v>5.4779627492963168E-2</v>
      </c>
      <c r="N284" s="22">
        <f>('2012-2022'!N284-'2012-2022'!AA$2)/'2012-2022'!AA$3</f>
        <v>1.3947728799538741</v>
      </c>
      <c r="O284" s="22">
        <f>('2012-2022'!P284-'2012-2022'!AC$2)/'2012-2022'!AC$3</f>
        <v>0.67939589841786974</v>
      </c>
    </row>
    <row r="285" spans="1:15">
      <c r="A285" s="10" t="s">
        <v>33</v>
      </c>
      <c r="B285" s="11">
        <v>2020</v>
      </c>
      <c r="C285" s="14" t="s">
        <v>53</v>
      </c>
      <c r="D285" s="14" t="s">
        <v>54</v>
      </c>
      <c r="E285" s="22">
        <f>('2012-2022'!E285-'2012-2022'!R$2)/'2012-2022'!R$3</f>
        <v>0.45869076915791612</v>
      </c>
      <c r="F285" s="22">
        <f>('2012-2022'!F285-'2012-2022'!S$2)/'2012-2022'!S$3</f>
        <v>0.13571023140072644</v>
      </c>
      <c r="G285" s="22">
        <f>('2012-2022'!G285-'2012-2022'!T$2)/'2012-2022'!T$3</f>
        <v>-0.74400419615534163</v>
      </c>
      <c r="H285" s="22">
        <f>('2012-2022'!H285-'2012-2022'!U$2)/'2012-2022'!U$3</f>
        <v>0.50844384471910364</v>
      </c>
      <c r="I285" s="22">
        <f>('2012-2022'!I285-'2012-2022'!V$2)/'2012-2022'!V$3</f>
        <v>0.41608861357428478</v>
      </c>
      <c r="J285" s="22">
        <f>('2012-2022'!J285-'2012-2022'!W$2)/'2012-2022'!W$3</f>
        <v>1.0939028170803839</v>
      </c>
      <c r="K285" s="22">
        <f>('2012-2022'!K285-'2012-2022'!X$2)/'2012-2022'!X$3</f>
        <v>-0.28430331926242891</v>
      </c>
      <c r="L285" s="22">
        <f>('2012-2022'!L285-'2012-2022'!Y$2)/'2012-2022'!Y$3</f>
        <v>1.5302286466171078</v>
      </c>
      <c r="M285" s="22">
        <f>('2012-2022'!M285-'2012-2022'!Z$2)/'2012-2022'!Z$3</f>
        <v>0.77909881733437214</v>
      </c>
      <c r="N285" s="22">
        <f>('2012-2022'!N285-'2012-2022'!AA$2)/'2012-2022'!AA$3</f>
        <v>0.23676756544221356</v>
      </c>
      <c r="O285" s="22">
        <f>('2012-2022'!P285-'2012-2022'!AC$2)/'2012-2022'!AC$3</f>
        <v>0.56663180051506334</v>
      </c>
    </row>
    <row r="286" spans="1:15">
      <c r="A286" s="10" t="s">
        <v>33</v>
      </c>
      <c r="B286" s="11">
        <v>2021</v>
      </c>
      <c r="C286" s="14" t="s">
        <v>53</v>
      </c>
      <c r="D286" s="14" t="s">
        <v>54</v>
      </c>
      <c r="E286" s="22">
        <f>('2012-2022'!E286-'2012-2022'!R$2)/'2012-2022'!R$3</f>
        <v>0.71787865058958</v>
      </c>
      <c r="F286" s="22">
        <f>('2012-2022'!F286-'2012-2022'!S$2)/'2012-2022'!S$3</f>
        <v>0.4404465372212007</v>
      </c>
      <c r="G286" s="22">
        <f>('2012-2022'!G286-'2012-2022'!T$2)/'2012-2022'!T$3</f>
        <v>-0.63371838541168579</v>
      </c>
      <c r="H286" s="22">
        <f>('2012-2022'!H286-'2012-2022'!U$2)/'2012-2022'!U$3</f>
        <v>1.0454592514184977</v>
      </c>
      <c r="I286" s="22">
        <f>('2012-2022'!I286-'2012-2022'!V$2)/'2012-2022'!V$3</f>
        <v>0.46462668115798883</v>
      </c>
      <c r="J286" s="22">
        <f>('2012-2022'!J286-'2012-2022'!W$2)/'2012-2022'!W$3</f>
        <v>1.1417671764032882</v>
      </c>
      <c r="K286" s="22">
        <f>('2012-2022'!K286-'2012-2022'!X$2)/'2012-2022'!X$3</f>
        <v>-0.13485544695103202</v>
      </c>
      <c r="L286" s="22">
        <f>('2012-2022'!L286-'2012-2022'!Y$2)/'2012-2022'!Y$3</f>
        <v>1.3626064360359116</v>
      </c>
      <c r="M286" s="22">
        <f>('2012-2022'!M286-'2012-2022'!Z$2)/'2012-2022'!Z$3</f>
        <v>0.55661780150165985</v>
      </c>
      <c r="N286" s="22">
        <f>('2012-2022'!N286-'2012-2022'!AA$2)/'2012-2022'!AA$3</f>
        <v>1.1407999277341625</v>
      </c>
      <c r="O286" s="22">
        <f>('2012-2022'!P286-'2012-2022'!AC$2)/'2012-2022'!AC$3</f>
        <v>0.80094867047281104</v>
      </c>
    </row>
    <row r="287" spans="1:15">
      <c r="A287" s="10" t="s">
        <v>33</v>
      </c>
      <c r="B287" s="11">
        <v>2022</v>
      </c>
      <c r="C287" s="14" t="s">
        <v>53</v>
      </c>
      <c r="D287" s="14" t="s">
        <v>54</v>
      </c>
      <c r="E287" s="22">
        <f>('2012-2022'!E287-'2012-2022'!R$2)/'2012-2022'!R$3</f>
        <v>1.8373359927334878</v>
      </c>
      <c r="F287" s="22">
        <f>('2012-2022'!F287-'2012-2022'!S$2)/'2012-2022'!S$3</f>
        <v>1.2161330966208113</v>
      </c>
      <c r="G287" s="22">
        <f>('2012-2022'!G287-'2012-2022'!T$2)/'2012-2022'!T$3</f>
        <v>0.12612848947161662</v>
      </c>
      <c r="H287" s="22">
        <f>('2012-2022'!H287-'2012-2022'!U$2)/'2012-2022'!U$3</f>
        <v>2.3091621570353866</v>
      </c>
      <c r="I287" s="22">
        <f>('2012-2022'!I287-'2012-2022'!V$2)/'2012-2022'!V$3</f>
        <v>1.4226163120159381</v>
      </c>
      <c r="J287" s="22">
        <f>('2012-2022'!J287-'2012-2022'!W$2)/'2012-2022'!W$3</f>
        <v>1.3371989137902975</v>
      </c>
      <c r="K287" s="22">
        <f>('2012-2022'!K287-'2012-2022'!X$2)/'2012-2022'!X$3</f>
        <v>1.6976523347733963E-2</v>
      </c>
      <c r="L287" s="22">
        <f>('2012-2022'!L287-'2012-2022'!Y$2)/'2012-2022'!Y$3</f>
        <v>1.1072666872916486</v>
      </c>
      <c r="M287" s="22">
        <f>('2012-2022'!M287-'2012-2022'!Z$2)/'2012-2022'!Z$3</f>
        <v>1.2537209202349133</v>
      </c>
      <c r="N287" s="22">
        <f>('2012-2022'!N287-'2012-2022'!AA$2)/'2012-2022'!AA$3</f>
        <v>7.5448803057335617E-2</v>
      </c>
      <c r="O287" s="22">
        <f>('2012-2022'!P287-'2012-2022'!AC$2)/'2012-2022'!AC$3</f>
        <v>0.794144130092727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5D036-41A8-4482-902C-071AB781ED15}">
  <sheetPr>
    <tabColor theme="3" tint="0.249977111117893"/>
  </sheetPr>
  <dimension ref="A1:P117"/>
  <sheetViews>
    <sheetView workbookViewId="0">
      <selection activeCell="E1" sqref="E1:P1"/>
    </sheetView>
  </sheetViews>
  <sheetFormatPr defaultRowHeight="14.4"/>
  <cols>
    <col min="1" max="1" width="18" bestFit="1" customWidth="1"/>
    <col min="2" max="2" width="5" bestFit="1" customWidth="1"/>
    <col min="3" max="3" width="23.33203125" bestFit="1" customWidth="1"/>
    <col min="4" max="4" width="18.44140625" bestFit="1" customWidth="1"/>
    <col min="5" max="14" width="12.6640625" bestFit="1" customWidth="1"/>
    <col min="15" max="15" width="12.6640625" customWidth="1"/>
    <col min="16" max="16" width="12.6640625" bestFit="1" customWidth="1"/>
  </cols>
  <sheetData>
    <row r="1" spans="1:16">
      <c r="A1" s="1" t="s">
        <v>50</v>
      </c>
      <c r="B1" s="1" t="s">
        <v>49</v>
      </c>
      <c r="C1" s="1" t="s">
        <v>47</v>
      </c>
      <c r="D1" s="1" t="s">
        <v>48</v>
      </c>
      <c r="E1" s="13" t="s">
        <v>77</v>
      </c>
      <c r="F1" s="1" t="s">
        <v>34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78</v>
      </c>
    </row>
    <row r="2" spans="1:16">
      <c r="A2" s="4" t="s">
        <v>1</v>
      </c>
      <c r="B2" s="5">
        <v>2019</v>
      </c>
      <c r="C2" s="14" t="s">
        <v>53</v>
      </c>
      <c r="D2" s="14" t="s">
        <v>54</v>
      </c>
      <c r="E2" s="22">
        <f>('2019-2022'!E2-'2019-2022'!R$2)/'2019-2022'!R$3</f>
        <v>1.7958544347749572</v>
      </c>
      <c r="F2" s="22">
        <f>('2019-2022'!F2-'2019-2022'!S$2)/'2019-2022'!S$3</f>
        <v>0.58609373556356692</v>
      </c>
      <c r="G2" s="22">
        <f>('2019-2022'!G2-'2019-2022'!T$2)/'2019-2022'!T$3</f>
        <v>0.22405915342628033</v>
      </c>
      <c r="H2" s="22">
        <f>('2019-2022'!H2-'2019-2022'!U$2)/'2019-2022'!U$3</f>
        <v>1.6773182004575942</v>
      </c>
      <c r="I2" s="22">
        <f>('2019-2022'!I2-'2019-2022'!V$2)/'2019-2022'!V$3</f>
        <v>1.806289507718932</v>
      </c>
      <c r="J2" s="22">
        <f>('2019-2022'!J2-'2019-2022'!W$2)/'2019-2022'!W$3</f>
        <v>-0.11045832654493597</v>
      </c>
      <c r="K2" s="22">
        <f>('2019-2022'!K2-'2019-2022'!X$2)/'2019-2022'!X$3</f>
        <v>-0.36791176998945629</v>
      </c>
      <c r="L2" s="22">
        <f>('2019-2022'!L2-'2019-2022'!Y$2)/'2019-2022'!Y$3</f>
        <v>0.23137475549736136</v>
      </c>
      <c r="M2" s="22">
        <f>('2019-2022'!M2-'2019-2022'!Z$2)/'2019-2022'!Z$3</f>
        <v>0.46218952402691854</v>
      </c>
      <c r="N2" s="22">
        <f>('2019-2022'!N2-'2019-2022'!AA$2)/'2019-2022'!AA$3</f>
        <v>0.79944608877473344</v>
      </c>
      <c r="O2" s="22">
        <f>('2019-2022'!O2-'2019-2022'!AB$2)/'2019-2022'!AB$3</f>
        <v>0.39708795161508847</v>
      </c>
      <c r="P2" s="22">
        <f>('2019-2022'!P2-'2019-2022'!AC$2)/'2019-2022'!AC$3</f>
        <v>1.3893187985192879</v>
      </c>
    </row>
    <row r="3" spans="1:16">
      <c r="A3" s="4" t="s">
        <v>1</v>
      </c>
      <c r="B3" s="5">
        <v>2020</v>
      </c>
      <c r="C3" s="14" t="s">
        <v>53</v>
      </c>
      <c r="D3" s="14" t="s">
        <v>54</v>
      </c>
      <c r="E3" s="22">
        <f>('2019-2022'!E3-'2019-2022'!R$2)/'2019-2022'!R$3</f>
        <v>1.0001681832621268</v>
      </c>
      <c r="F3" s="22">
        <f>('2019-2022'!F3-'2019-2022'!S$2)/'2019-2022'!S$3</f>
        <v>0.62270171937765484</v>
      </c>
      <c r="G3" s="22">
        <f>('2019-2022'!G3-'2019-2022'!T$2)/'2019-2022'!T$3</f>
        <v>-0.39959859032778233</v>
      </c>
      <c r="H3" s="22">
        <f>('2019-2022'!H3-'2019-2022'!U$2)/'2019-2022'!U$3</f>
        <v>1.2679238547043583</v>
      </c>
      <c r="I3" s="22">
        <f>('2019-2022'!I3-'2019-2022'!V$2)/'2019-2022'!V$3</f>
        <v>0.78911847814240943</v>
      </c>
      <c r="J3" s="22">
        <f>('2019-2022'!J3-'2019-2022'!W$2)/'2019-2022'!W$3</f>
        <v>-0.19137817442321284</v>
      </c>
      <c r="K3" s="22">
        <f>('2019-2022'!K3-'2019-2022'!X$2)/'2019-2022'!X$3</f>
        <v>-0.58880109854518903</v>
      </c>
      <c r="L3" s="22">
        <f>('2019-2022'!L3-'2019-2022'!Y$2)/'2019-2022'!Y$3</f>
        <v>-4.8201589333267923E-2</v>
      </c>
      <c r="M3" s="22">
        <f>('2019-2022'!M3-'2019-2022'!Z$2)/'2019-2022'!Z$3</f>
        <v>1.3478618435253344</v>
      </c>
      <c r="N3" s="22">
        <f>('2019-2022'!N3-'2019-2022'!AA$2)/'2019-2022'!AA$3</f>
        <v>-0.15236175145266395</v>
      </c>
      <c r="O3" s="22">
        <f>('2019-2022'!O3-'2019-2022'!AB$2)/'2019-2022'!AB$3</f>
        <v>0.52054186884214027</v>
      </c>
      <c r="P3" s="22">
        <f>('2019-2022'!P3-'2019-2022'!AC$2)/'2019-2022'!AC$3</f>
        <v>1.2672546093828327</v>
      </c>
    </row>
    <row r="4" spans="1:16">
      <c r="A4" s="4" t="s">
        <v>1</v>
      </c>
      <c r="B4" s="5">
        <v>2021</v>
      </c>
      <c r="C4" s="14" t="s">
        <v>53</v>
      </c>
      <c r="D4" s="14" t="s">
        <v>54</v>
      </c>
      <c r="E4" s="22">
        <f>('2019-2022'!E4-'2019-2022'!R$2)/'2019-2022'!R$3</f>
        <v>2.1987042432711617</v>
      </c>
      <c r="F4" s="22">
        <f>('2019-2022'!F4-'2019-2022'!S$2)/'2019-2022'!S$3</f>
        <v>0.84017536023230865</v>
      </c>
      <c r="G4" s="22">
        <f>('2019-2022'!G4-'2019-2022'!T$2)/'2019-2022'!T$3</f>
        <v>3.1103035622454232E-2</v>
      </c>
      <c r="H4" s="22">
        <f>('2019-2022'!H4-'2019-2022'!U$2)/'2019-2022'!U$3</f>
        <v>2.330864374989321</v>
      </c>
      <c r="I4" s="22">
        <f>('2019-2022'!I4-'2019-2022'!V$2)/'2019-2022'!V$3</f>
        <v>2.0247472765673313</v>
      </c>
      <c r="J4" s="22">
        <f>('2019-2022'!J4-'2019-2022'!W$2)/'2019-2022'!W$3</f>
        <v>3.4575735555609423E-2</v>
      </c>
      <c r="K4" s="22">
        <f>('2019-2022'!K4-'2019-2022'!X$2)/'2019-2022'!X$3</f>
        <v>-0.2909177535379936</v>
      </c>
      <c r="L4" s="22">
        <f>('2019-2022'!L4-'2019-2022'!Y$2)/'2019-2022'!Y$3</f>
        <v>1.6708999311920206E-3</v>
      </c>
      <c r="M4" s="22">
        <f>('2019-2022'!M4-'2019-2022'!Z$2)/'2019-2022'!Z$3</f>
        <v>0.83989714595900644</v>
      </c>
      <c r="N4" s="22">
        <f>('2019-2022'!N4-'2019-2022'!AA$2)/'2019-2022'!AA$3</f>
        <v>0.98041100529358705</v>
      </c>
      <c r="O4" s="22">
        <f>('2019-2022'!O4-'2019-2022'!AB$2)/'2019-2022'!AB$3</f>
        <v>0.44852891696434111</v>
      </c>
      <c r="P4" s="22">
        <f>('2019-2022'!P4-'2019-2022'!AC$2)/'2019-2022'!AC$3</f>
        <v>1.3200061588238878</v>
      </c>
    </row>
    <row r="5" spans="1:16">
      <c r="A5" s="4" t="s">
        <v>1</v>
      </c>
      <c r="B5" s="5">
        <v>2022</v>
      </c>
      <c r="C5" s="14" t="s">
        <v>53</v>
      </c>
      <c r="D5" s="14" t="s">
        <v>54</v>
      </c>
      <c r="E5" s="22">
        <f>('2019-2022'!E5-'2019-2022'!R$2)/'2019-2022'!R$3</f>
        <v>1.2982117287994348</v>
      </c>
      <c r="F5" s="22">
        <f>('2019-2022'!F5-'2019-2022'!S$2)/'2019-2022'!S$3</f>
        <v>0.16293787266101126</v>
      </c>
      <c r="G5" s="22">
        <f>('2019-2022'!G5-'2019-2022'!T$2)/'2019-2022'!T$3</f>
        <v>0.31846898590301503</v>
      </c>
      <c r="H5" s="22">
        <f>('2019-2022'!H5-'2019-2022'!U$2)/'2019-2022'!U$3</f>
        <v>1.058900106212016</v>
      </c>
      <c r="I5" s="22">
        <f>('2019-2022'!I5-'2019-2022'!V$2)/'2019-2022'!V$3</f>
        <v>1.3848751516498599</v>
      </c>
      <c r="J5" s="22">
        <f>('2019-2022'!J5-'2019-2022'!W$2)/'2019-2022'!W$3</f>
        <v>-0.20602746035881006</v>
      </c>
      <c r="K5" s="22">
        <f>('2019-2022'!K5-'2019-2022'!X$2)/'2019-2022'!X$3</f>
        <v>-0.44119963871893081</v>
      </c>
      <c r="L5" s="22">
        <f>('2019-2022'!L5-'2019-2022'!Y$2)/'2019-2022'!Y$3</f>
        <v>-0.29721701204018519</v>
      </c>
      <c r="M5" s="22">
        <f>('2019-2022'!M5-'2019-2022'!Z$2)/'2019-2022'!Z$3</f>
        <v>0.75601591574440385</v>
      </c>
      <c r="N5" s="22">
        <f>('2019-2022'!N5-'2019-2022'!AA$2)/'2019-2022'!AA$3</f>
        <v>0.36299559664436187</v>
      </c>
      <c r="O5" s="22">
        <f>('2019-2022'!O5-'2019-2022'!AB$2)/'2019-2022'!AB$3</f>
        <v>0.376515965086542</v>
      </c>
      <c r="P5" s="22">
        <f>('2019-2022'!P5-'2019-2022'!AC$2)/'2019-2022'!AC$3</f>
        <v>1.3207417842459166</v>
      </c>
    </row>
    <row r="6" spans="1:16">
      <c r="A6" s="4" t="s">
        <v>3</v>
      </c>
      <c r="B6" s="5">
        <v>2019</v>
      </c>
      <c r="C6" s="14" t="s">
        <v>51</v>
      </c>
      <c r="D6" s="14" t="s">
        <v>52</v>
      </c>
      <c r="E6" s="22">
        <f>('2019-2022'!E6-'2019-2022'!R$2)/'2019-2022'!R$3</f>
        <v>1.536899121244641</v>
      </c>
      <c r="F6" s="22">
        <f>('2019-2022'!F6-'2019-2022'!S$2)/'2019-2022'!S$3</f>
        <v>0.61103549262194989</v>
      </c>
      <c r="G6" s="22">
        <f>('2019-2022'!G6-'2019-2022'!T$2)/'2019-2022'!T$3</f>
        <v>-0.2608011900487624</v>
      </c>
      <c r="H6" s="22">
        <f>('2019-2022'!H6-'2019-2022'!U$2)/'2019-2022'!U$3</f>
        <v>1.5878681708306295</v>
      </c>
      <c r="I6" s="22">
        <f>('2019-2022'!I6-'2019-2022'!V$2)/'2019-2022'!V$3</f>
        <v>1.4524704654816245</v>
      </c>
      <c r="J6" s="22">
        <f>('2019-2022'!J6-'2019-2022'!W$2)/'2019-2022'!W$3</f>
        <v>0.95161128514573667</v>
      </c>
      <c r="K6" s="22">
        <f>('2019-2022'!K6-'2019-2022'!X$2)/'2019-2022'!X$3</f>
        <v>0.94284229253337259</v>
      </c>
      <c r="L6" s="22">
        <f>('2019-2022'!L6-'2019-2022'!Y$2)/'2019-2022'!Y$3</f>
        <v>1.000337166206567</v>
      </c>
      <c r="M6" s="22">
        <f>('2019-2022'!M6-'2019-2022'!Z$2)/'2019-2022'!Z$3</f>
        <v>-0.82456183681193262</v>
      </c>
      <c r="N6" s="22">
        <f>('2019-2022'!N6-'2019-2022'!AA$2)/'2019-2022'!AA$3</f>
        <v>-0.28051875865003412</v>
      </c>
      <c r="O6" s="22">
        <f>('2019-2022'!O6-'2019-2022'!AB$2)/'2019-2022'!AB$3</f>
        <v>-0.83861609257715419</v>
      </c>
      <c r="P6" s="22">
        <f>('2019-2022'!P6-'2019-2022'!AC$2)/'2019-2022'!AC$3</f>
        <v>-0.58274637675624663</v>
      </c>
    </row>
    <row r="7" spans="1:16">
      <c r="A7" s="4" t="s">
        <v>3</v>
      </c>
      <c r="B7" s="5">
        <v>2020</v>
      </c>
      <c r="C7" s="14" t="s">
        <v>51</v>
      </c>
      <c r="D7" s="14" t="s">
        <v>52</v>
      </c>
      <c r="E7" s="22">
        <f>('2019-2022'!E7-'2019-2022'!R$2)/'2019-2022'!R$3</f>
        <v>2.7601597536785079</v>
      </c>
      <c r="F7" s="22">
        <f>('2019-2022'!F7-'2019-2022'!S$2)/'2019-2022'!S$3</f>
        <v>0.58174736979273867</v>
      </c>
      <c r="G7" s="22">
        <f>('2019-2022'!G7-'2019-2022'!T$2)/'2019-2022'!T$3</f>
        <v>-0.10565463299333114</v>
      </c>
      <c r="H7" s="22">
        <f>('2019-2022'!H7-'2019-2022'!U$2)/'2019-2022'!U$3</f>
        <v>2.6218729715374316</v>
      </c>
      <c r="I7" s="22">
        <f>('2019-2022'!I7-'2019-2022'!V$2)/'2019-2022'!V$3</f>
        <v>2.7512573731667156</v>
      </c>
      <c r="J7" s="22">
        <f>('2019-2022'!J7-'2019-2022'!W$2)/'2019-2022'!W$3</f>
        <v>0.43516390733002025</v>
      </c>
      <c r="K7" s="22">
        <f>('2019-2022'!K7-'2019-2022'!X$2)/'2019-2022'!X$3</f>
        <v>1.0105369159528517</v>
      </c>
      <c r="L7" s="22">
        <f>('2019-2022'!L7-'2019-2022'!Y$2)/'2019-2022'!Y$3</f>
        <v>1.0253920795098259</v>
      </c>
      <c r="M7" s="22">
        <f>('2019-2022'!M7-'2019-2022'!Z$2)/'2019-2022'!Z$3</f>
        <v>-0.35355671071414924</v>
      </c>
      <c r="N7" s="22">
        <f>('2019-2022'!N7-'2019-2022'!AA$2)/'2019-2022'!AA$3</f>
        <v>-0.2168830606271219</v>
      </c>
      <c r="O7" s="22">
        <f>('2019-2022'!O7-'2019-2022'!AB$2)/'2019-2022'!AB$3</f>
        <v>-1.4478117737669154</v>
      </c>
      <c r="P7" s="22">
        <f>('2019-2022'!P7-'2019-2022'!AC$2)/'2019-2022'!AC$3</f>
        <v>-0.67996328754352853</v>
      </c>
    </row>
    <row r="8" spans="1:16">
      <c r="A8" s="4" t="s">
        <v>3</v>
      </c>
      <c r="B8" s="5">
        <v>2021</v>
      </c>
      <c r="C8" s="14" t="s">
        <v>51</v>
      </c>
      <c r="D8" s="14" t="s">
        <v>52</v>
      </c>
      <c r="E8" s="22">
        <f>('2019-2022'!E8-'2019-2022'!R$2)/'2019-2022'!R$3</f>
        <v>0.32120147150085493</v>
      </c>
      <c r="F8" s="22">
        <f>('2019-2022'!F8-'2019-2022'!S$2)/'2019-2022'!S$3</f>
        <v>0.23172525705866531</v>
      </c>
      <c r="G8" s="22">
        <f>('2019-2022'!G8-'2019-2022'!T$2)/'2019-2022'!T$3</f>
        <v>-0.24115274717428878</v>
      </c>
      <c r="H8" s="22">
        <f>('2019-2022'!H8-'2019-2022'!U$2)/'2019-2022'!U$3</f>
        <v>0.33569292169656467</v>
      </c>
      <c r="I8" s="22">
        <f>('2019-2022'!I8-'2019-2022'!V$2)/'2019-2022'!V$3</f>
        <v>0.31003264447708612</v>
      </c>
      <c r="J8" s="22">
        <f>('2019-2022'!J8-'2019-2022'!W$2)/'2019-2022'!W$3</f>
        <v>-0.14902345180498525</v>
      </c>
      <c r="K8" s="22">
        <f>('2019-2022'!K8-'2019-2022'!X$2)/'2019-2022'!X$3</f>
        <v>-8.6992881831325905E-2</v>
      </c>
      <c r="L8" s="22">
        <f>('2019-2022'!L8-'2019-2022'!Y$2)/'2019-2022'!Y$3</f>
        <v>0.43810987579057425</v>
      </c>
      <c r="M8" s="22">
        <f>('2019-2022'!M8-'2019-2022'!Z$2)/'2019-2022'!Z$3</f>
        <v>0.22945920863515043</v>
      </c>
      <c r="N8" s="22">
        <f>('2019-2022'!N8-'2019-2022'!AA$2)/'2019-2022'!AA$3</f>
        <v>-0.73474611903297526</v>
      </c>
      <c r="O8" s="22">
        <f>('2019-2022'!O8-'2019-2022'!AB$2)/'2019-2022'!AB$3</f>
        <v>-1.1382698924092702</v>
      </c>
      <c r="P8" s="22">
        <f>('2019-2022'!P8-'2019-2022'!AC$2)/'2019-2022'!AC$3</f>
        <v>-0.57697559248436014</v>
      </c>
    </row>
    <row r="9" spans="1:16">
      <c r="A9" s="4" t="s">
        <v>3</v>
      </c>
      <c r="B9" s="5">
        <v>2022</v>
      </c>
      <c r="C9" s="14" t="s">
        <v>51</v>
      </c>
      <c r="D9" s="14" t="s">
        <v>52</v>
      </c>
      <c r="E9" s="22">
        <f>('2019-2022'!E9-'2019-2022'!R$2)/'2019-2022'!R$3</f>
        <v>1.917402546823489</v>
      </c>
      <c r="F9" s="22">
        <f>('2019-2022'!F9-'2019-2022'!S$2)/'2019-2022'!S$3</f>
        <v>-0.22388902914479317</v>
      </c>
      <c r="G9" s="22">
        <f>('2019-2022'!G9-'2019-2022'!T$2)/'2019-2022'!T$3</f>
        <v>-8.5823281283939581E-2</v>
      </c>
      <c r="H9" s="22">
        <f>('2019-2022'!H9-'2019-2022'!U$2)/'2019-2022'!U$3</f>
        <v>1.2792831722317268</v>
      </c>
      <c r="I9" s="22">
        <f>('2019-2022'!I9-'2019-2022'!V$2)/'2019-2022'!V$3</f>
        <v>2.2592223879690967</v>
      </c>
      <c r="J9" s="22">
        <f>('2019-2022'!J9-'2019-2022'!W$2)/'2019-2022'!W$3</f>
        <v>0.55536653525705593</v>
      </c>
      <c r="K9" s="22">
        <f>('2019-2022'!K9-'2019-2022'!X$2)/'2019-2022'!X$3</f>
        <v>-4.596987051496846E-2</v>
      </c>
      <c r="L9" s="22">
        <f>('2019-2022'!L9-'2019-2022'!Y$2)/'2019-2022'!Y$3</f>
        <v>0.81635841655136065</v>
      </c>
      <c r="M9" s="22">
        <f>('2019-2022'!M9-'2019-2022'!Z$2)/'2019-2022'!Z$3</f>
        <v>-0.80395590372828707</v>
      </c>
      <c r="N9" s="22">
        <f>('2019-2022'!N9-'2019-2022'!AA$2)/'2019-2022'!AA$3</f>
        <v>7.7254142048757704E-2</v>
      </c>
      <c r="O9" s="22">
        <f>('2019-2022'!O9-'2019-2022'!AB$2)/'2019-2022'!AB$3</f>
        <v>-1.1607914792515885</v>
      </c>
      <c r="P9" s="22">
        <f>('2019-2022'!P9-'2019-2022'!AC$2)/'2019-2022'!AC$3</f>
        <v>-0.64517772334025747</v>
      </c>
    </row>
    <row r="10" spans="1:16">
      <c r="A10" s="4" t="s">
        <v>4</v>
      </c>
      <c r="B10" s="5">
        <v>2019</v>
      </c>
      <c r="C10" s="14" t="s">
        <v>55</v>
      </c>
      <c r="D10" s="14" t="s">
        <v>54</v>
      </c>
      <c r="E10" s="22">
        <f>('2019-2022'!E10-'2019-2022'!R$2)/'2019-2022'!R$3</f>
        <v>0.24739207066805338</v>
      </c>
      <c r="F10" s="22">
        <f>('2019-2022'!F10-'2019-2022'!S$2)/'2019-2022'!S$3</f>
        <v>0.20286515386295678</v>
      </c>
      <c r="G10" s="22">
        <f>('2019-2022'!G10-'2019-2022'!T$2)/'2019-2022'!T$3</f>
        <v>0.53846938921707943</v>
      </c>
      <c r="H10" s="22">
        <f>('2019-2022'!H10-'2019-2022'!U$2)/'2019-2022'!U$3</f>
        <v>0.13252523922703655</v>
      </c>
      <c r="I10" s="22">
        <f>('2019-2022'!I10-'2019-2022'!V$2)/'2019-2022'!V$3</f>
        <v>0.30626053726192859</v>
      </c>
      <c r="J10" s="22">
        <f>('2019-2022'!J10-'2019-2022'!W$2)/'2019-2022'!W$3</f>
        <v>0.87102133562019823</v>
      </c>
      <c r="K10" s="22">
        <f>('2019-2022'!K10-'2019-2022'!X$2)/'2019-2022'!X$3</f>
        <v>-9.4410821915832707E-2</v>
      </c>
      <c r="L10" s="22">
        <f>('2019-2022'!L10-'2019-2022'!Y$2)/'2019-2022'!Y$3</f>
        <v>0.97884747065227884</v>
      </c>
      <c r="M10" s="22">
        <f>('2019-2022'!M10-'2019-2022'!Z$2)/'2019-2022'!Z$3</f>
        <v>0.61724363611785227</v>
      </c>
      <c r="N10" s="22">
        <f>('2019-2022'!N10-'2019-2022'!AA$2)/'2019-2022'!AA$3</f>
        <v>0.19457161143759583</v>
      </c>
      <c r="O10" s="22">
        <f>('2019-2022'!O10-'2019-2022'!AB$2)/'2019-2022'!AB$3</f>
        <v>-2.457303361794918</v>
      </c>
      <c r="P10" s="22">
        <f>('2019-2022'!P10-'2019-2022'!AC$2)/'2019-2022'!AC$3</f>
        <v>-0.37545923461456215</v>
      </c>
    </row>
    <row r="11" spans="1:16">
      <c r="A11" s="4" t="s">
        <v>4</v>
      </c>
      <c r="B11" s="5">
        <v>2020</v>
      </c>
      <c r="C11" s="14" t="s">
        <v>55</v>
      </c>
      <c r="D11" s="14" t="s">
        <v>54</v>
      </c>
      <c r="E11" s="22">
        <f>('2019-2022'!E11-'2019-2022'!R$2)/'2019-2022'!R$3</f>
        <v>0.60718257580371726</v>
      </c>
      <c r="F11" s="22">
        <f>('2019-2022'!F11-'2019-2022'!S$2)/'2019-2022'!S$3</f>
        <v>-0.11149740501895726</v>
      </c>
      <c r="G11" s="22">
        <f>('2019-2022'!G11-'2019-2022'!T$2)/'2019-2022'!T$3</f>
        <v>0.59851265393823816</v>
      </c>
      <c r="H11" s="22">
        <f>('2019-2022'!H11-'2019-2022'!U$2)/'2019-2022'!U$3</f>
        <v>0.22374382440058052</v>
      </c>
      <c r="I11" s="22">
        <f>('2019-2022'!I11-'2019-2022'!V$2)/'2019-2022'!V$3</f>
        <v>0.81585717838542948</v>
      </c>
      <c r="J11" s="22">
        <f>('2019-2022'!J11-'2019-2022'!W$2)/'2019-2022'!W$3</f>
        <v>1.1301929738037915</v>
      </c>
      <c r="K11" s="22">
        <f>('2019-2022'!K11-'2019-2022'!X$2)/'2019-2022'!X$3</f>
        <v>0.20794566208800144</v>
      </c>
      <c r="L11" s="22">
        <f>('2019-2022'!L11-'2019-2022'!Y$2)/'2019-2022'!Y$3</f>
        <v>1.0829400559916438</v>
      </c>
      <c r="M11" s="22">
        <f>('2019-2022'!M11-'2019-2022'!Z$2)/'2019-2022'!Z$3</f>
        <v>1.1134131508052505</v>
      </c>
      <c r="N11" s="22">
        <f>('2019-2022'!N11-'2019-2022'!AA$2)/'2019-2022'!AA$3</f>
        <v>-0.25576586319917399</v>
      </c>
      <c r="O11" s="22">
        <f>('2019-2022'!O11-'2019-2022'!AB$2)/'2019-2022'!AB$3</f>
        <v>-1.8576540526708225</v>
      </c>
      <c r="P11" s="22">
        <f>('2019-2022'!P11-'2019-2022'!AC$2)/'2019-2022'!AC$3</f>
        <v>-0.6242956155884567</v>
      </c>
    </row>
    <row r="12" spans="1:16">
      <c r="A12" s="4" t="s">
        <v>4</v>
      </c>
      <c r="B12" s="5">
        <v>2021</v>
      </c>
      <c r="C12" s="14" t="s">
        <v>55</v>
      </c>
      <c r="D12" s="14" t="s">
        <v>54</v>
      </c>
      <c r="E12" s="22">
        <f>('2019-2022'!E12-'2019-2022'!R$2)/'2019-2022'!R$3</f>
        <v>0.48938568605431509</v>
      </c>
      <c r="F12" s="22">
        <f>('2019-2022'!F12-'2019-2022'!S$2)/'2019-2022'!S$3</f>
        <v>-0.30475644592269807</v>
      </c>
      <c r="G12" s="22">
        <f>('2019-2022'!G12-'2019-2022'!T$2)/'2019-2022'!T$3</f>
        <v>0.60589606721498535</v>
      </c>
      <c r="H12" s="22">
        <f>('2019-2022'!H12-'2019-2022'!U$2)/'2019-2022'!U$3</f>
        <v>-3.3489407865821406E-2</v>
      </c>
      <c r="I12" s="22">
        <f>('2019-2022'!I12-'2019-2022'!V$2)/'2019-2022'!V$3</f>
        <v>0.81728113042478645</v>
      </c>
      <c r="J12" s="22">
        <f>('2019-2022'!J12-'2019-2022'!W$2)/'2019-2022'!W$3</f>
        <v>0.86250341076464943</v>
      </c>
      <c r="K12" s="22">
        <f>('2019-2022'!K12-'2019-2022'!X$2)/'2019-2022'!X$3</f>
        <v>4.9823113130093591E-2</v>
      </c>
      <c r="L12" s="22">
        <f>('2019-2022'!L12-'2019-2022'!Y$2)/'2019-2022'!Y$3</f>
        <v>1.0962084279425861</v>
      </c>
      <c r="M12" s="22">
        <f>('2019-2022'!M12-'2019-2022'!Z$2)/'2019-2022'!Z$3</f>
        <v>0.48955847494184185</v>
      </c>
      <c r="N12" s="22">
        <f>('2019-2022'!N12-'2019-2022'!AA$2)/'2019-2022'!AA$3</f>
        <v>0.3360964854328467</v>
      </c>
      <c r="O12" s="22">
        <f>('2019-2022'!O12-'2019-2022'!AB$2)/'2019-2022'!AB$3</f>
        <v>-1.8577133297002997</v>
      </c>
      <c r="P12" s="22">
        <f>('2019-2022'!P12-'2019-2022'!AC$2)/'2019-2022'!AC$3</f>
        <v>-0.44749871945106523</v>
      </c>
    </row>
    <row r="13" spans="1:16">
      <c r="A13" s="4" t="s">
        <v>4</v>
      </c>
      <c r="B13" s="5">
        <v>2022</v>
      </c>
      <c r="C13" s="14" t="s">
        <v>55</v>
      </c>
      <c r="D13" s="14" t="s">
        <v>54</v>
      </c>
      <c r="E13" s="22">
        <f>('2019-2022'!E13-'2019-2022'!R$2)/'2019-2022'!R$3</f>
        <v>0.90451946963041796</v>
      </c>
      <c r="F13" s="22">
        <f>('2019-2022'!F13-'2019-2022'!S$2)/'2019-2022'!S$3</f>
        <v>-0.89334961895291853</v>
      </c>
      <c r="G13" s="22">
        <f>('2019-2022'!G13-'2019-2022'!T$2)/'2019-2022'!T$3</f>
        <v>1.0588243710162752</v>
      </c>
      <c r="H13" s="22">
        <f>('2019-2022'!H13-'2019-2022'!U$2)/'2019-2022'!U$3</f>
        <v>6.7297084260977663E-2</v>
      </c>
      <c r="I13" s="22">
        <f>('2019-2022'!I13-'2019-2022'!V$2)/'2019-2022'!V$3</f>
        <v>1.1960148722195685</v>
      </c>
      <c r="J13" s="22">
        <f>('2019-2022'!J13-'2019-2022'!W$2)/'2019-2022'!W$3</f>
        <v>1.0361615903306922</v>
      </c>
      <c r="K13" s="22">
        <f>('2019-2022'!K13-'2019-2022'!X$2)/'2019-2022'!X$3</f>
        <v>-4.3137584140313393E-2</v>
      </c>
      <c r="L13" s="22">
        <f>('2019-2022'!L13-'2019-2022'!Y$2)/'2019-2022'!Y$3</f>
        <v>0.99704229749730022</v>
      </c>
      <c r="M13" s="22">
        <f>('2019-2022'!M13-'2019-2022'!Z$2)/'2019-2022'!Z$3</f>
        <v>0.75213397746139998</v>
      </c>
      <c r="N13" s="22">
        <f>('2019-2022'!N13-'2019-2022'!AA$2)/'2019-2022'!AA$3</f>
        <v>0.42531382104000898</v>
      </c>
      <c r="O13" s="22">
        <f>('2019-2022'!O13-'2019-2022'!AB$2)/'2019-2022'!AB$3</f>
        <v>-1.742307333243686</v>
      </c>
      <c r="P13" s="22">
        <f>('2019-2022'!P13-'2019-2022'!AC$2)/'2019-2022'!AC$3</f>
        <v>-0.49164889045935078</v>
      </c>
    </row>
    <row r="14" spans="1:16">
      <c r="A14" s="4" t="s">
        <v>5</v>
      </c>
      <c r="B14" s="5">
        <v>2019</v>
      </c>
      <c r="C14" s="14" t="s">
        <v>55</v>
      </c>
      <c r="D14" s="14" t="s">
        <v>54</v>
      </c>
      <c r="E14" s="22">
        <f>('2019-2022'!E14-'2019-2022'!R$2)/'2019-2022'!R$3</f>
        <v>6.8272761437453604E-3</v>
      </c>
      <c r="F14" s="22">
        <f>('2019-2022'!F14-'2019-2022'!S$2)/'2019-2022'!S$3</f>
        <v>-0.26503243611881472</v>
      </c>
      <c r="G14" s="22">
        <f>('2019-2022'!G14-'2019-2022'!T$2)/'2019-2022'!T$3</f>
        <v>0.367679065566129</v>
      </c>
      <c r="H14" s="22">
        <f>('2019-2022'!H14-'2019-2022'!U$2)/'2019-2022'!U$3</f>
        <v>-0.23080698154583251</v>
      </c>
      <c r="I14" s="22">
        <f>('2019-2022'!I14-'2019-2022'!V$2)/'2019-2022'!V$3</f>
        <v>0.15029029297807675</v>
      </c>
      <c r="J14" s="22">
        <f>('2019-2022'!J14-'2019-2022'!W$2)/'2019-2022'!W$3</f>
        <v>-1.75827369004634E-2</v>
      </c>
      <c r="K14" s="22">
        <f>('2019-2022'!K14-'2019-2022'!X$2)/'2019-2022'!X$3</f>
        <v>-0.14134244564605702</v>
      </c>
      <c r="L14" s="22">
        <f>('2019-2022'!L14-'2019-2022'!Y$2)/'2019-2022'!Y$3</f>
        <v>0.29060138071632452</v>
      </c>
      <c r="M14" s="22">
        <f>('2019-2022'!M14-'2019-2022'!Z$2)/'2019-2022'!Z$3</f>
        <v>-0.32246256046995009</v>
      </c>
      <c r="N14" s="22">
        <f>('2019-2022'!N14-'2019-2022'!AA$2)/'2019-2022'!AA$3</f>
        <v>-0.71264665906853353</v>
      </c>
      <c r="O14" s="22">
        <f>('2019-2022'!O14-'2019-2022'!AB$2)/'2019-2022'!AB$3</f>
        <v>0.1233341043927982</v>
      </c>
      <c r="P14" s="22">
        <f>('2019-2022'!P14-'2019-2022'!AC$2)/'2019-2022'!AC$3</f>
        <v>0.51486495026401724</v>
      </c>
    </row>
    <row r="15" spans="1:16">
      <c r="A15" s="4" t="s">
        <v>5</v>
      </c>
      <c r="B15" s="5">
        <v>2020</v>
      </c>
      <c r="C15" s="14" t="s">
        <v>55</v>
      </c>
      <c r="D15" s="14" t="s">
        <v>54</v>
      </c>
      <c r="E15" s="22">
        <f>('2019-2022'!E15-'2019-2022'!R$2)/'2019-2022'!R$3</f>
        <v>-0.6357532530484522</v>
      </c>
      <c r="F15" s="22">
        <f>('2019-2022'!F15-'2019-2022'!S$2)/'2019-2022'!S$3</f>
        <v>-0.91104183557594742</v>
      </c>
      <c r="G15" s="22">
        <f>('2019-2022'!G15-'2019-2022'!T$2)/'2019-2022'!T$3</f>
        <v>6.6875310464098534E-3</v>
      </c>
      <c r="H15" s="22">
        <f>('2019-2022'!H15-'2019-2022'!U$2)/'2019-2022'!U$3</f>
        <v>-0.88389191482055285</v>
      </c>
      <c r="I15" s="22">
        <f>('2019-2022'!I15-'2019-2022'!V$2)/'2019-2022'!V$3</f>
        <v>-0.44941259730396438</v>
      </c>
      <c r="J15" s="22">
        <f>('2019-2022'!J15-'2019-2022'!W$2)/'2019-2022'!W$3</f>
        <v>-2.1888706448107153E-2</v>
      </c>
      <c r="K15" s="22">
        <f>('2019-2022'!K15-'2019-2022'!X$2)/'2019-2022'!X$3</f>
        <v>-0.28052129250199564</v>
      </c>
      <c r="L15" s="22">
        <f>('2019-2022'!L15-'2019-2022'!Y$2)/'2019-2022'!Y$3</f>
        <v>1.1055114395765859</v>
      </c>
      <c r="M15" s="22">
        <f>('2019-2022'!M15-'2019-2022'!Z$2)/'2019-2022'!Z$3</f>
        <v>1.1615493020484555</v>
      </c>
      <c r="N15" s="22">
        <f>('2019-2022'!N15-'2019-2022'!AA$2)/'2019-2022'!AA$3</f>
        <v>-1.6353514130278795</v>
      </c>
      <c r="O15" s="22">
        <f>('2019-2022'!O15-'2019-2022'!AB$2)/'2019-2022'!AB$3</f>
        <v>-0.39184194283636942</v>
      </c>
      <c r="P15" s="22">
        <f>('2019-2022'!P15-'2019-2022'!AC$2)/'2019-2022'!AC$3</f>
        <v>0.32228270195595415</v>
      </c>
    </row>
    <row r="16" spans="1:16">
      <c r="A16" s="4" t="s">
        <v>5</v>
      </c>
      <c r="B16" s="5">
        <v>2021</v>
      </c>
      <c r="C16" s="14" t="s">
        <v>55</v>
      </c>
      <c r="D16" s="14" t="s">
        <v>54</v>
      </c>
      <c r="E16" s="22">
        <f>('2019-2022'!E16-'2019-2022'!R$2)/'2019-2022'!R$3</f>
        <v>-0.80898777188862869</v>
      </c>
      <c r="F16" s="22">
        <f>('2019-2022'!F16-'2019-2022'!S$2)/'2019-2022'!S$3</f>
        <v>-1.2230952590962854</v>
      </c>
      <c r="G16" s="22">
        <f>('2019-2022'!G16-'2019-2022'!T$2)/'2019-2022'!T$3</f>
        <v>0.11054683241079283</v>
      </c>
      <c r="H16" s="22">
        <f>('2019-2022'!H16-'2019-2022'!U$2)/'2019-2022'!U$3</f>
        <v>-1.0984602360203692</v>
      </c>
      <c r="I16" s="22">
        <f>('2019-2022'!I16-'2019-2022'!V$2)/'2019-2022'!V$3</f>
        <v>-0.59491133471662838</v>
      </c>
      <c r="J16" s="22">
        <f>('2019-2022'!J16-'2019-2022'!W$2)/'2019-2022'!W$3</f>
        <v>0.38377277328611481</v>
      </c>
      <c r="K16" s="22">
        <f>('2019-2022'!K16-'2019-2022'!X$2)/'2019-2022'!X$3</f>
        <v>-0.61542631176821327</v>
      </c>
      <c r="L16" s="22">
        <f>('2019-2022'!L16-'2019-2022'!Y$2)/'2019-2022'!Y$3</f>
        <v>1.43015854541428</v>
      </c>
      <c r="M16" s="22">
        <f>('2019-2022'!M16-'2019-2022'!Z$2)/'2019-2022'!Z$3</f>
        <v>0.85182888823245162</v>
      </c>
      <c r="N16" s="22">
        <f>('2019-2022'!N16-'2019-2022'!AA$2)/'2019-2022'!AA$3</f>
        <v>-9.5727586421630581E-2</v>
      </c>
      <c r="O16" s="22">
        <f>('2019-2022'!O16-'2019-2022'!AB$2)/'2019-2022'!AB$3</f>
        <v>1.305876758026539E-2</v>
      </c>
      <c r="P16" s="22">
        <f>('2019-2022'!P16-'2019-2022'!AC$2)/'2019-2022'!AC$3</f>
        <v>0.25506734257651964</v>
      </c>
    </row>
    <row r="17" spans="1:16">
      <c r="A17" s="4" t="s">
        <v>5</v>
      </c>
      <c r="B17" s="5">
        <v>2022</v>
      </c>
      <c r="C17" s="14" t="s">
        <v>55</v>
      </c>
      <c r="D17" s="14" t="s">
        <v>54</v>
      </c>
      <c r="E17" s="22">
        <f>('2019-2022'!E17-'2019-2022'!R$2)/'2019-2022'!R$3</f>
        <v>-0.24935442239664468</v>
      </c>
      <c r="F17" s="22">
        <f>('2019-2022'!F17-'2019-2022'!S$2)/'2019-2022'!S$3</f>
        <v>0.54815455749072273</v>
      </c>
      <c r="G17" s="22">
        <f>('2019-2022'!G17-'2019-2022'!T$2)/'2019-2022'!T$3</f>
        <v>0.58082192875932992</v>
      </c>
      <c r="H17" s="22">
        <f>('2019-2022'!H17-'2019-2022'!U$2)/'2019-2022'!U$3</f>
        <v>-0.18009424774991226</v>
      </c>
      <c r="I17" s="22">
        <f>('2019-2022'!I17-'2019-2022'!V$2)/'2019-2022'!V$3</f>
        <v>-0.27929614292260457</v>
      </c>
      <c r="J17" s="22">
        <f>('2019-2022'!J17-'2019-2022'!W$2)/'2019-2022'!W$3</f>
        <v>-0.39302630879610811</v>
      </c>
      <c r="K17" s="22">
        <f>('2019-2022'!K17-'2019-2022'!X$2)/'2019-2022'!X$3</f>
        <v>-0.37883072022681663</v>
      </c>
      <c r="L17" s="22">
        <f>('2019-2022'!L17-'2019-2022'!Y$2)/'2019-2022'!Y$3</f>
        <v>2.0684010542910043</v>
      </c>
      <c r="M17" s="22">
        <f>('2019-2022'!M17-'2019-2022'!Z$2)/'2019-2022'!Z$3</f>
        <v>1.2113773295975521</v>
      </c>
      <c r="N17" s="22">
        <f>('2019-2022'!N17-'2019-2022'!AA$2)/'2019-2022'!AA$3</f>
        <v>-1.3342202113658703</v>
      </c>
      <c r="O17" s="22">
        <f>('2019-2022'!O17-'2019-2022'!AB$2)/'2019-2022'!AB$3</f>
        <v>-0.30257347833059317</v>
      </c>
      <c r="P17" s="22">
        <f>('2019-2022'!P17-'2019-2022'!AC$2)/'2019-2022'!AC$3</f>
        <v>9.8211878281576584E-2</v>
      </c>
    </row>
    <row r="18" spans="1:16">
      <c r="A18" s="4" t="s">
        <v>6</v>
      </c>
      <c r="B18" s="5">
        <v>2019</v>
      </c>
      <c r="C18" s="14" t="s">
        <v>56</v>
      </c>
      <c r="D18" s="14" t="s">
        <v>57</v>
      </c>
      <c r="E18" s="22">
        <f>('2019-2022'!E18-'2019-2022'!R$2)/'2019-2022'!R$3</f>
        <v>-0.8451192016356478</v>
      </c>
      <c r="F18" s="22">
        <f>('2019-2022'!F18-'2019-2022'!S$2)/'2019-2022'!S$3</f>
        <v>2.7545574200403147</v>
      </c>
      <c r="G18" s="22">
        <f>('2019-2022'!G18-'2019-2022'!T$2)/'2019-2022'!T$3</f>
        <v>-0.17696690687003358</v>
      </c>
      <c r="H18" s="22">
        <f>('2019-2022'!H18-'2019-2022'!U$2)/'2019-2022'!U$3</f>
        <v>-0.57202420338362248</v>
      </c>
      <c r="I18" s="22">
        <f>('2019-2022'!I18-'2019-2022'!V$2)/'2019-2022'!V$3</f>
        <v>-0.98023123550347979</v>
      </c>
      <c r="J18" s="22">
        <f>('2019-2022'!J18-'2019-2022'!W$2)/'2019-2022'!W$3</f>
        <v>0.6027271720621421</v>
      </c>
      <c r="K18" s="22">
        <f>('2019-2022'!K18-'2019-2022'!X$2)/'2019-2022'!X$3</f>
        <v>2.2408227531945482</v>
      </c>
      <c r="L18" s="22">
        <f>('2019-2022'!L18-'2019-2022'!Y$2)/'2019-2022'!Y$3</f>
        <v>1.9654572808080119E-2</v>
      </c>
      <c r="M18" s="22">
        <f>('2019-2022'!M18-'2019-2022'!Z$2)/'2019-2022'!Z$3</f>
        <v>0.53079838542801605</v>
      </c>
      <c r="N18" s="22">
        <f>('2019-2022'!N18-'2019-2022'!AA$2)/'2019-2022'!AA$3</f>
        <v>1.1409392407262497</v>
      </c>
      <c r="O18" s="22">
        <f>('2019-2022'!O18-'2019-2022'!AB$2)/'2019-2022'!AB$3</f>
        <v>0.93102633688921743</v>
      </c>
      <c r="P18" s="22">
        <f>('2019-2022'!P18-'2019-2022'!AC$2)/'2019-2022'!AC$3</f>
        <v>-1.8543569117330805</v>
      </c>
    </row>
    <row r="19" spans="1:16">
      <c r="A19" s="4" t="s">
        <v>6</v>
      </c>
      <c r="B19" s="5">
        <v>2020</v>
      </c>
      <c r="C19" s="14" t="s">
        <v>56</v>
      </c>
      <c r="D19" s="14" t="s">
        <v>57</v>
      </c>
      <c r="E19" s="22">
        <f>('2019-2022'!E19-'2019-2022'!R$2)/'2019-2022'!R$3</f>
        <v>-0.25625363935408935</v>
      </c>
      <c r="F19" s="22">
        <f>('2019-2022'!F19-'2019-2022'!S$2)/'2019-2022'!S$3</f>
        <v>2.6576840804483775</v>
      </c>
      <c r="G19" s="22">
        <f>('2019-2022'!G19-'2019-2022'!T$2)/'2019-2022'!T$3</f>
        <v>-0.62072084393054006</v>
      </c>
      <c r="H19" s="22">
        <f>('2019-2022'!H19-'2019-2022'!U$2)/'2019-2022'!U$3</f>
        <v>7.9131118021389169E-2</v>
      </c>
      <c r="I19" s="22">
        <f>('2019-2022'!I19-'2019-2022'!V$2)/'2019-2022'!V$3</f>
        <v>-0.49282732302759091</v>
      </c>
      <c r="J19" s="22">
        <f>('2019-2022'!J19-'2019-2022'!W$2)/'2019-2022'!W$3</f>
        <v>-0.15749047057027299</v>
      </c>
      <c r="K19" s="22">
        <f>('2019-2022'!K19-'2019-2022'!X$2)/'2019-2022'!X$3</f>
        <v>1.8612410825384107</v>
      </c>
      <c r="L19" s="22">
        <f>('2019-2022'!L19-'2019-2022'!Y$2)/'2019-2022'!Y$3</f>
        <v>-1.1290498717411874</v>
      </c>
      <c r="M19" s="22">
        <f>('2019-2022'!M19-'2019-2022'!Z$2)/'2019-2022'!Z$3</f>
        <v>-0.91608697926164617</v>
      </c>
      <c r="N19" s="22">
        <f>('2019-2022'!N19-'2019-2022'!AA$2)/'2019-2022'!AA$3</f>
        <v>0.72444636015798991</v>
      </c>
      <c r="O19" s="22">
        <f>('2019-2022'!O19-'2019-2022'!AB$2)/'2019-2022'!AB$3</f>
        <v>4.2191598568434116E-2</v>
      </c>
      <c r="P19" s="22">
        <f>('2019-2022'!P19-'2019-2022'!AC$2)/'2019-2022'!AC$3</f>
        <v>-1.7629098333918158</v>
      </c>
    </row>
    <row r="20" spans="1:16">
      <c r="A20" s="4" t="s">
        <v>6</v>
      </c>
      <c r="B20" s="5">
        <v>2021</v>
      </c>
      <c r="C20" s="14" t="s">
        <v>56</v>
      </c>
      <c r="D20" s="14" t="s">
        <v>57</v>
      </c>
      <c r="E20" s="22">
        <f>('2019-2022'!E20-'2019-2022'!R$2)/'2019-2022'!R$3</f>
        <v>-0.47900937575562996</v>
      </c>
      <c r="F20" s="22">
        <f>('2019-2022'!F20-'2019-2022'!S$2)/'2019-2022'!S$3</f>
        <v>2.3754848687997883</v>
      </c>
      <c r="G20" s="22">
        <f>('2019-2022'!G20-'2019-2022'!T$2)/'2019-2022'!T$3</f>
        <v>3.5973191541191996E-2</v>
      </c>
      <c r="H20" s="22">
        <f>('2019-2022'!H20-'2019-2022'!U$2)/'2019-2022'!U$3</f>
        <v>-0.3022130764510374</v>
      </c>
      <c r="I20" s="22">
        <f>('2019-2022'!I20-'2019-2022'!V$2)/'2019-2022'!V$3</f>
        <v>-0.52774209724775523</v>
      </c>
      <c r="J20" s="22">
        <f>('2019-2022'!J20-'2019-2022'!W$2)/'2019-2022'!W$3</f>
        <v>0.5027529218240292</v>
      </c>
      <c r="K20" s="22">
        <f>('2019-2022'!K20-'2019-2022'!X$2)/'2019-2022'!X$3</f>
        <v>1.8299989302185493</v>
      </c>
      <c r="L20" s="22">
        <f>('2019-2022'!L20-'2019-2022'!Y$2)/'2019-2022'!Y$3</f>
        <v>-1.4089199976783358</v>
      </c>
      <c r="M20" s="22">
        <f>('2019-2022'!M20-'2019-2022'!Z$2)/'2019-2022'!Z$3</f>
        <v>0.29727100075073343</v>
      </c>
      <c r="N20" s="22">
        <f>('2019-2022'!N20-'2019-2022'!AA$2)/'2019-2022'!AA$3</f>
        <v>1.1254542467008055</v>
      </c>
      <c r="O20" s="22">
        <f>('2019-2022'!O20-'2019-2022'!AB$2)/'2019-2022'!AB$3</f>
        <v>0.57354445290514455</v>
      </c>
      <c r="P20" s="22">
        <f>('2019-2022'!P20-'2019-2022'!AC$2)/'2019-2022'!AC$3</f>
        <v>-1.6739100353362582</v>
      </c>
    </row>
    <row r="21" spans="1:16">
      <c r="A21" s="4" t="s">
        <v>6</v>
      </c>
      <c r="B21" s="5">
        <v>2022</v>
      </c>
      <c r="C21" s="14" t="s">
        <v>56</v>
      </c>
      <c r="D21" s="14" t="s">
        <v>57</v>
      </c>
      <c r="E21" s="22">
        <f>('2019-2022'!E21-'2019-2022'!R$2)/'2019-2022'!R$3</f>
        <v>-0.88549226792505698</v>
      </c>
      <c r="F21" s="22">
        <f>('2019-2022'!F21-'2019-2022'!S$2)/'2019-2022'!S$3</f>
        <v>1.0659567243197219</v>
      </c>
      <c r="G21" s="22">
        <f>('2019-2022'!G21-'2019-2022'!T$2)/'2019-2022'!T$3</f>
        <v>1.0254161083923055</v>
      </c>
      <c r="H21" s="22">
        <f>('2019-2022'!H21-'2019-2022'!U$2)/'2019-2022'!U$3</f>
        <v>-0.91151722116059453</v>
      </c>
      <c r="I21" s="22">
        <f>('2019-2022'!I21-'2019-2022'!V$2)/'2019-2022'!V$3</f>
        <v>-0.69294170799041122</v>
      </c>
      <c r="J21" s="22">
        <f>('2019-2022'!J21-'2019-2022'!W$2)/'2019-2022'!W$3</f>
        <v>0.29572243210634003</v>
      </c>
      <c r="K21" s="22">
        <f>('2019-2022'!K21-'2019-2022'!X$2)/'2019-2022'!X$3</f>
        <v>1.3257414697950245</v>
      </c>
      <c r="L21" s="22">
        <f>('2019-2022'!L21-'2019-2022'!Y$2)/'2019-2022'!Y$3</f>
        <v>-1.2617079051033002</v>
      </c>
      <c r="M21" s="22">
        <f>('2019-2022'!M21-'2019-2022'!Z$2)/'2019-2022'!Z$3</f>
        <v>-0.24695308694490326</v>
      </c>
      <c r="N21" s="22">
        <f>('2019-2022'!N21-'2019-2022'!AA$2)/'2019-2022'!AA$3</f>
        <v>0.62117154361774918</v>
      </c>
      <c r="O21" s="22">
        <f>('2019-2022'!O21-'2019-2022'!AB$2)/'2019-2022'!AB$3</f>
        <v>0.26155811869807216</v>
      </c>
      <c r="P21" s="22">
        <f>('2019-2022'!P21-'2019-2022'!AC$2)/'2019-2022'!AC$3</f>
        <v>-1.8076603345735316</v>
      </c>
    </row>
    <row r="22" spans="1:16">
      <c r="A22" s="4" t="s">
        <v>7</v>
      </c>
      <c r="B22" s="5">
        <v>2019</v>
      </c>
      <c r="C22" s="14" t="s">
        <v>55</v>
      </c>
      <c r="D22" s="14" t="s">
        <v>54</v>
      </c>
      <c r="E22" s="22">
        <f>('2019-2022'!E22-'2019-2022'!R$2)/'2019-2022'!R$3</f>
        <v>-0.41242708655351568</v>
      </c>
      <c r="F22" s="22">
        <f>('2019-2022'!F22-'2019-2022'!S$2)/'2019-2022'!S$3</f>
        <v>8.5774538715162427E-2</v>
      </c>
      <c r="G22" s="22">
        <f>('2019-2022'!G22-'2019-2022'!T$2)/'2019-2022'!T$3</f>
        <v>-4.9557637539363771E-2</v>
      </c>
      <c r="H22" s="22">
        <f>('2019-2022'!H22-'2019-2022'!U$2)/'2019-2022'!U$3</f>
        <v>-0.28762885232682273</v>
      </c>
      <c r="I22" s="22">
        <f>('2019-2022'!I22-'2019-2022'!V$2)/'2019-2022'!V$3</f>
        <v>-0.47662211711876112</v>
      </c>
      <c r="J22" s="22">
        <f>('2019-2022'!J22-'2019-2022'!W$2)/'2019-2022'!W$3</f>
        <v>-0.8613281417093076</v>
      </c>
      <c r="K22" s="22">
        <f>('2019-2022'!K22-'2019-2022'!X$2)/'2019-2022'!X$3</f>
        <v>-0.91393484037418049</v>
      </c>
      <c r="L22" s="22">
        <f>('2019-2022'!L22-'2019-2022'!Y$2)/'2019-2022'!Y$3</f>
        <v>-0.35775700389541748</v>
      </c>
      <c r="M22" s="22">
        <f>('2019-2022'!M22-'2019-2022'!Z$2)/'2019-2022'!Z$3</f>
        <v>-0.93602963406779871</v>
      </c>
      <c r="N22" s="22">
        <f>('2019-2022'!N22-'2019-2022'!AA$2)/'2019-2022'!AA$3</f>
        <v>1.0367382376660388E-2</v>
      </c>
      <c r="O22" s="22">
        <f>('2019-2022'!O22-'2019-2022'!AB$2)/'2019-2022'!AB$3</f>
        <v>0.46436583465611964</v>
      </c>
      <c r="P22" s="22">
        <f>('2019-2022'!P22-'2019-2022'!AC$2)/'2019-2022'!AC$3</f>
        <v>1.3655090103679115</v>
      </c>
    </row>
    <row r="23" spans="1:16">
      <c r="A23" s="4" t="s">
        <v>7</v>
      </c>
      <c r="B23" s="5">
        <v>2020</v>
      </c>
      <c r="C23" s="14" t="s">
        <v>55</v>
      </c>
      <c r="D23" s="14" t="s">
        <v>54</v>
      </c>
      <c r="E23" s="22">
        <f>('2019-2022'!E23-'2019-2022'!R$2)/'2019-2022'!R$3</f>
        <v>-1.006029187123304</v>
      </c>
      <c r="F23" s="22">
        <f>('2019-2022'!F23-'2019-2022'!S$2)/'2019-2022'!S$3</f>
        <v>9.9450152728153163E-2</v>
      </c>
      <c r="G23" s="22">
        <f>('2019-2022'!G23-'2019-2022'!T$2)/'2019-2022'!T$3</f>
        <v>-0.62077898244475793</v>
      </c>
      <c r="H23" s="22">
        <f>('2019-2022'!H23-'2019-2022'!U$2)/'2019-2022'!U$3</f>
        <v>-0.71154761965691649</v>
      </c>
      <c r="I23" s="22">
        <f>('2019-2022'!I23-'2019-2022'!V$2)/'2019-2022'!V$3</f>
        <v>-1.1441024000829214</v>
      </c>
      <c r="J23" s="22">
        <f>('2019-2022'!J23-'2019-2022'!W$2)/'2019-2022'!W$3</f>
        <v>-0.73939303322421102</v>
      </c>
      <c r="K23" s="22">
        <f>('2019-2022'!K23-'2019-2022'!X$2)/'2019-2022'!X$3</f>
        <v>-0.90597155553074515</v>
      </c>
      <c r="L23" s="22">
        <f>('2019-2022'!L23-'2019-2022'!Y$2)/'2019-2022'!Y$3</f>
        <v>-0.48895993705284402</v>
      </c>
      <c r="M23" s="22">
        <f>('2019-2022'!M23-'2019-2022'!Z$2)/'2019-2022'!Z$3</f>
        <v>-0.81874430089467864</v>
      </c>
      <c r="N23" s="22">
        <f>('2019-2022'!N23-'2019-2022'!AA$2)/'2019-2022'!AA$3</f>
        <v>-0.84540314250537874</v>
      </c>
      <c r="O23" s="22">
        <f>('2019-2022'!O23-'2019-2022'!AB$2)/'2019-2022'!AB$3</f>
        <v>0.5615973293575901</v>
      </c>
      <c r="P23" s="22">
        <f>('2019-2022'!P23-'2019-2022'!AC$2)/'2019-2022'!AC$3</f>
        <v>1.2255587893667139</v>
      </c>
    </row>
    <row r="24" spans="1:16">
      <c r="A24" s="4" t="s">
        <v>7</v>
      </c>
      <c r="B24" s="5">
        <v>2021</v>
      </c>
      <c r="C24" s="14" t="s">
        <v>55</v>
      </c>
      <c r="D24" s="14" t="s">
        <v>54</v>
      </c>
      <c r="E24" s="22">
        <f>('2019-2022'!E24-'2019-2022'!R$2)/'2019-2022'!R$3</f>
        <v>-0.64404905955775382</v>
      </c>
      <c r="F24" s="22">
        <f>('2019-2022'!F24-'2019-2022'!S$2)/'2019-2022'!S$3</f>
        <v>-0.15190975764664308</v>
      </c>
      <c r="G24" s="22">
        <f>('2019-2022'!G24-'2019-2022'!T$2)/'2019-2022'!T$3</f>
        <v>-0.3075061165250666</v>
      </c>
      <c r="H24" s="22">
        <f>('2019-2022'!H24-'2019-2022'!U$2)/'2019-2022'!U$3</f>
        <v>-0.51757429492867157</v>
      </c>
      <c r="I24" s="22">
        <f>('2019-2022'!I24-'2019-2022'!V$2)/'2019-2022'!V$3</f>
        <v>-0.69981569899984053</v>
      </c>
      <c r="J24" s="22">
        <f>('2019-2022'!J24-'2019-2022'!W$2)/'2019-2022'!W$3</f>
        <v>-1.4521032054508467</v>
      </c>
      <c r="K24" s="22">
        <f>('2019-2022'!K24-'2019-2022'!X$2)/'2019-2022'!X$3</f>
        <v>-1.1570783847778319</v>
      </c>
      <c r="L24" s="22">
        <f>('2019-2022'!L24-'2019-2022'!Y$2)/'2019-2022'!Y$3</f>
        <v>-0.79446096057431648</v>
      </c>
      <c r="M24" s="22">
        <f>('2019-2022'!M24-'2019-2022'!Z$2)/'2019-2022'!Z$3</f>
        <v>-1.2210796869994028E-2</v>
      </c>
      <c r="N24" s="22">
        <f>('2019-2022'!N24-'2019-2022'!AA$2)/'2019-2022'!AA$3</f>
        <v>-0.20175253385732422</v>
      </c>
      <c r="O24" s="22">
        <f>('2019-2022'!O24-'2019-2022'!AB$2)/'2019-2022'!AB$3</f>
        <v>0.6320701892866506</v>
      </c>
      <c r="P24" s="22">
        <f>('2019-2022'!P24-'2019-2022'!AC$2)/'2019-2022'!AC$3</f>
        <v>1.294492738341162</v>
      </c>
    </row>
    <row r="25" spans="1:16">
      <c r="A25" s="4" t="s">
        <v>7</v>
      </c>
      <c r="B25" s="5">
        <v>2022</v>
      </c>
      <c r="C25" s="14" t="s">
        <v>55</v>
      </c>
      <c r="D25" s="14" t="s">
        <v>54</v>
      </c>
      <c r="E25" s="22">
        <f>('2019-2022'!E25-'2019-2022'!R$2)/'2019-2022'!R$3</f>
        <v>-6.4954132812403767E-2</v>
      </c>
      <c r="F25" s="22">
        <f>('2019-2022'!F25-'2019-2022'!S$2)/'2019-2022'!S$3</f>
        <v>0.57017015899234014</v>
      </c>
      <c r="G25" s="22">
        <f>('2019-2022'!G25-'2019-2022'!T$2)/'2019-2022'!T$3</f>
        <v>-0.33118228256694332</v>
      </c>
      <c r="H25" s="22">
        <f>('2019-2022'!H25-'2019-2022'!U$2)/'2019-2022'!U$3</f>
        <v>0.346432302991799</v>
      </c>
      <c r="I25" s="22">
        <f>('2019-2022'!I25-'2019-2022'!V$2)/'2019-2022'!V$3</f>
        <v>-0.30859790016454669</v>
      </c>
      <c r="J25" s="22">
        <f>('2019-2022'!J25-'2019-2022'!W$2)/'2019-2022'!W$3</f>
        <v>-1.5169638768731124</v>
      </c>
      <c r="K25" s="22">
        <f>('2019-2022'!K25-'2019-2022'!X$2)/'2019-2022'!X$3</f>
        <v>-1.0528267227323882</v>
      </c>
      <c r="L25" s="22">
        <f>('2019-2022'!L25-'2019-2022'!Y$2)/'2019-2022'!Y$3</f>
        <v>-1.1764194820607692</v>
      </c>
      <c r="M25" s="22">
        <f>('2019-2022'!M25-'2019-2022'!Z$2)/'2019-2022'!Z$3</f>
        <v>0.20448397293989234</v>
      </c>
      <c r="N25" s="22">
        <f>('2019-2022'!N25-'2019-2022'!AA$2)/'2019-2022'!AA$3</f>
        <v>-0.65993139301904724</v>
      </c>
      <c r="O25" s="22">
        <f>('2019-2022'!O25-'2019-2022'!AB$2)/'2019-2022'!AB$3</f>
        <v>0.38698401107857516</v>
      </c>
      <c r="P25" s="22">
        <f>('2019-2022'!P25-'2019-2022'!AC$2)/'2019-2022'!AC$3</f>
        <v>1.2274697837624984</v>
      </c>
    </row>
    <row r="26" spans="1:16">
      <c r="A26" s="4" t="s">
        <v>8</v>
      </c>
      <c r="B26" s="5">
        <v>2019</v>
      </c>
      <c r="C26" s="14" t="s">
        <v>55</v>
      </c>
      <c r="D26" s="14" t="s">
        <v>54</v>
      </c>
      <c r="E26" s="22">
        <f>('2019-2022'!E26-'2019-2022'!R$2)/'2019-2022'!R$3</f>
        <v>-0.69473330423180246</v>
      </c>
      <c r="F26" s="22">
        <f>('2019-2022'!F26-'2019-2022'!S$2)/'2019-2022'!S$3</f>
        <v>1.4644663597358352</v>
      </c>
      <c r="G26" s="22">
        <f>('2019-2022'!G26-'2019-2022'!T$2)/'2019-2022'!T$3</f>
        <v>-1.6902234743084135</v>
      </c>
      <c r="H26" s="22">
        <f>('2019-2022'!H26-'2019-2022'!U$2)/'2019-2022'!U$3</f>
        <v>9.3981377993853199E-2</v>
      </c>
      <c r="I26" s="22">
        <f>('2019-2022'!I26-'2019-2022'!V$2)/'2019-2022'!V$3</f>
        <v>-1.1712025422133532</v>
      </c>
      <c r="J26" s="22">
        <f>('2019-2022'!J26-'2019-2022'!W$2)/'2019-2022'!W$3</f>
        <v>-0.46276157117991779</v>
      </c>
      <c r="K26" s="22">
        <f>('2019-2022'!K26-'2019-2022'!X$2)/'2019-2022'!X$3</f>
        <v>-0.7940759889625465</v>
      </c>
      <c r="L26" s="22">
        <f>('2019-2022'!L26-'2019-2022'!Y$2)/'2019-2022'!Y$3</f>
        <v>-1.452094534893954</v>
      </c>
      <c r="M26" s="22">
        <f>('2019-2022'!M26-'2019-2022'!Z$2)/'2019-2022'!Z$3</f>
        <v>0.12832302169817905</v>
      </c>
      <c r="N26" s="22">
        <f>('2019-2022'!N26-'2019-2022'!AA$2)/'2019-2022'!AA$3</f>
        <v>-0.11263495639769051</v>
      </c>
      <c r="O26" s="22">
        <f>('2019-2022'!O26-'2019-2022'!AB$2)/'2019-2022'!AB$3</f>
        <v>-2.2116301106950456</v>
      </c>
      <c r="P26" s="22">
        <f>('2019-2022'!P26-'2019-2022'!AC$2)/'2019-2022'!AC$3</f>
        <v>-0.32937250588713879</v>
      </c>
    </row>
    <row r="27" spans="1:16">
      <c r="A27" s="4" t="s">
        <v>8</v>
      </c>
      <c r="B27" s="5">
        <v>2020</v>
      </c>
      <c r="C27" s="14" t="s">
        <v>55</v>
      </c>
      <c r="D27" s="14" t="s">
        <v>54</v>
      </c>
      <c r="E27" s="22">
        <f>('2019-2022'!E27-'2019-2022'!R$2)/'2019-2022'!R$3</f>
        <v>-0.16868091846387828</v>
      </c>
      <c r="F27" s="22">
        <f>('2019-2022'!F27-'2019-2022'!S$2)/'2019-2022'!S$3</f>
        <v>2.5910082180688705</v>
      </c>
      <c r="G27" s="22">
        <f>('2019-2022'!G27-'2019-2022'!T$2)/'2019-2022'!T$3</f>
        <v>-0.58951272932022802</v>
      </c>
      <c r="H27" s="22">
        <f>('2019-2022'!H27-'2019-2022'!U$2)/'2019-2022'!U$3</f>
        <v>0.7326995758912519</v>
      </c>
      <c r="I27" s="22">
        <f>('2019-2022'!I27-'2019-2022'!V$2)/'2019-2022'!V$3</f>
        <v>-0.73694943091169673</v>
      </c>
      <c r="J27" s="22">
        <f>('2019-2022'!J27-'2019-2022'!W$2)/'2019-2022'!W$3</f>
        <v>-0.35280726162815057</v>
      </c>
      <c r="K27" s="22">
        <f>('2019-2022'!K27-'2019-2022'!X$2)/'2019-2022'!X$3</f>
        <v>-0.90768108986151663</v>
      </c>
      <c r="L27" s="22">
        <f>('2019-2022'!L27-'2019-2022'!Y$2)/'2019-2022'!Y$3</f>
        <v>-1.2930807716320165</v>
      </c>
      <c r="M27" s="22">
        <f>('2019-2022'!M27-'2019-2022'!Z$2)/'2019-2022'!Z$3</f>
        <v>1.9570797688419939</v>
      </c>
      <c r="N27" s="22">
        <f>('2019-2022'!N27-'2019-2022'!AA$2)/'2019-2022'!AA$3</f>
        <v>-1.2751098585373672</v>
      </c>
      <c r="O27" s="22">
        <f>('2019-2022'!O27-'2019-2022'!AB$2)/'2019-2022'!AB$3</f>
        <v>-0.42510541156896026</v>
      </c>
      <c r="P27" s="22">
        <f>('2019-2022'!P27-'2019-2022'!AC$2)/'2019-2022'!AC$3</f>
        <v>-0.29756928408337979</v>
      </c>
    </row>
    <row r="28" spans="1:16">
      <c r="A28" s="4" t="s">
        <v>8</v>
      </c>
      <c r="B28" s="5">
        <v>2021</v>
      </c>
      <c r="C28" s="14" t="s">
        <v>55</v>
      </c>
      <c r="D28" s="14" t="s">
        <v>54</v>
      </c>
      <c r="E28" s="22">
        <f>('2019-2022'!E28-'2019-2022'!R$2)/'2019-2022'!R$3</f>
        <v>-0.98766103335512323</v>
      </c>
      <c r="F28" s="22">
        <f>('2019-2022'!F28-'2019-2022'!S$2)/'2019-2022'!S$3</f>
        <v>0.89644424585179805</v>
      </c>
      <c r="G28" s="22">
        <f>('2019-2022'!G28-'2019-2022'!T$2)/'2019-2022'!T$3</f>
        <v>-0.57327075252366244</v>
      </c>
      <c r="H28" s="22">
        <f>('2019-2022'!H28-'2019-2022'!U$2)/'2019-2022'!U$3</f>
        <v>-0.62204999174678088</v>
      </c>
      <c r="I28" s="22">
        <f>('2019-2022'!I28-'2019-2022'!V$2)/'2019-2022'!V$3</f>
        <v>-1.1748806910217935</v>
      </c>
      <c r="J28" s="22">
        <f>('2019-2022'!J28-'2019-2022'!W$2)/'2019-2022'!W$3</f>
        <v>-0.36315548900885847</v>
      </c>
      <c r="K28" s="22">
        <f>('2019-2022'!K28-'2019-2022'!X$2)/'2019-2022'!X$3</f>
        <v>-1.0129707439873503</v>
      </c>
      <c r="L28" s="22">
        <f>('2019-2022'!L28-'2019-2022'!Y$2)/'2019-2022'!Y$3</f>
        <v>-1.2871461590167634</v>
      </c>
      <c r="M28" s="22">
        <f>('2019-2022'!M28-'2019-2022'!Z$2)/'2019-2022'!Z$3</f>
        <v>1.1637816319181875</v>
      </c>
      <c r="N28" s="22">
        <f>('2019-2022'!N28-'2019-2022'!AA$2)/'2019-2022'!AA$3</f>
        <v>-0.17728291007949612</v>
      </c>
      <c r="O28" s="22">
        <f>('2019-2022'!O28-'2019-2022'!AB$2)/'2019-2022'!AB$3</f>
        <v>-0.95007561943061014</v>
      </c>
      <c r="P28" s="22">
        <f>('2019-2022'!P28-'2019-2022'!AC$2)/'2019-2022'!AC$3</f>
        <v>-0.35980564233925949</v>
      </c>
    </row>
    <row r="29" spans="1:16">
      <c r="A29" s="4" t="s">
        <v>8</v>
      </c>
      <c r="B29" s="5">
        <v>2022</v>
      </c>
      <c r="C29" s="14" t="s">
        <v>55</v>
      </c>
      <c r="D29" s="14" t="s">
        <v>54</v>
      </c>
      <c r="E29" s="22">
        <f>('2019-2022'!E29-'2019-2022'!R$2)/'2019-2022'!R$3</f>
        <v>-1.1985997767949246</v>
      </c>
      <c r="F29" s="22">
        <f>('2019-2022'!F29-'2019-2022'!S$2)/'2019-2022'!S$3</f>
        <v>9.2569576327866568E-2</v>
      </c>
      <c r="G29" s="22">
        <f>('2019-2022'!G29-'2019-2022'!T$2)/'2019-2022'!T$3</f>
        <v>-0.67216404371827443</v>
      </c>
      <c r="H29" s="22">
        <f>('2019-2022'!H29-'2019-2022'!U$2)/'2019-2022'!U$3</f>
        <v>-0.95030946854485721</v>
      </c>
      <c r="I29" s="22">
        <f>('2019-2022'!I29-'2019-2022'!V$2)/'2019-2022'!V$3</f>
        <v>-1.3001607859307258</v>
      </c>
      <c r="J29" s="22">
        <f>('2019-2022'!J29-'2019-2022'!W$2)/'2019-2022'!W$3</f>
        <v>-0.31713344368138613</v>
      </c>
      <c r="K29" s="22">
        <f>('2019-2022'!K29-'2019-2022'!X$2)/'2019-2022'!X$3</f>
        <v>-1.1041201992291838</v>
      </c>
      <c r="L29" s="22">
        <f>('2019-2022'!L29-'2019-2022'!Y$2)/'2019-2022'!Y$3</f>
        <v>-1.5611571296915876</v>
      </c>
      <c r="M29" s="22">
        <f>('2019-2022'!M29-'2019-2022'!Z$2)/'2019-2022'!Z$3</f>
        <v>1.7022706320175682</v>
      </c>
      <c r="N29" s="22">
        <f>('2019-2022'!N29-'2019-2022'!AA$2)/'2019-2022'!AA$3</f>
        <v>-0.82791740233659328</v>
      </c>
      <c r="O29" s="22">
        <f>('2019-2022'!O29-'2019-2022'!AB$2)/'2019-2022'!AB$3</f>
        <v>-0.27674601159099416</v>
      </c>
      <c r="P29" s="22">
        <f>('2019-2022'!P29-'2019-2022'!AC$2)/'2019-2022'!AC$3</f>
        <v>-0.32588705552801372</v>
      </c>
    </row>
    <row r="30" spans="1:16">
      <c r="A30" s="4" t="s">
        <v>9</v>
      </c>
      <c r="B30" s="5">
        <v>2019</v>
      </c>
      <c r="C30" s="14" t="s">
        <v>51</v>
      </c>
      <c r="D30" s="14" t="s">
        <v>52</v>
      </c>
      <c r="E30" s="22">
        <f>('2019-2022'!E30-'2019-2022'!R$2)/'2019-2022'!R$3</f>
        <v>1.7343853596902308</v>
      </c>
      <c r="F30" s="22">
        <f>('2019-2022'!F30-'2019-2022'!S$2)/'2019-2022'!S$3</f>
        <v>1.2902734590279601</v>
      </c>
      <c r="G30" s="22">
        <f>('2019-2022'!G30-'2019-2022'!T$2)/'2019-2022'!T$3</f>
        <v>0.83063882064429406</v>
      </c>
      <c r="H30" s="22">
        <f>('2019-2022'!H30-'2019-2022'!U$2)/'2019-2022'!U$3</f>
        <v>1.2539697889141965</v>
      </c>
      <c r="I30" s="22">
        <f>('2019-2022'!I30-'2019-2022'!V$2)/'2019-2022'!V$3</f>
        <v>2.15767226441799</v>
      </c>
      <c r="J30" s="22">
        <f>('2019-2022'!J30-'2019-2022'!W$2)/'2019-2022'!W$3</f>
        <v>1.2960032336124769</v>
      </c>
      <c r="K30" s="22">
        <f>('2019-2022'!K30-'2019-2022'!X$2)/'2019-2022'!X$3</f>
        <v>1.5342626229447986</v>
      </c>
      <c r="L30" s="22">
        <f>('2019-2022'!L30-'2019-2022'!Y$2)/'2019-2022'!Y$3</f>
        <v>1.1282152505922678</v>
      </c>
      <c r="M30" s="22">
        <f>('2019-2022'!M30-'2019-2022'!Z$2)/'2019-2022'!Z$3</f>
        <v>-0.64095182892809843</v>
      </c>
      <c r="N30" s="22">
        <f>('2019-2022'!N30-'2019-2022'!AA$2)/'2019-2022'!AA$3</f>
        <v>0.80834251117735401</v>
      </c>
      <c r="O30" s="22">
        <f>('2019-2022'!O30-'2019-2022'!AB$2)/'2019-2022'!AB$3</f>
        <v>0.47380516743049911</v>
      </c>
      <c r="P30" s="22">
        <f>('2019-2022'!P30-'2019-2022'!AC$2)/'2019-2022'!AC$3</f>
        <v>-1.4740400642705129</v>
      </c>
    </row>
    <row r="31" spans="1:16">
      <c r="A31" s="4" t="s">
        <v>9</v>
      </c>
      <c r="B31" s="5">
        <v>2020</v>
      </c>
      <c r="C31" s="14" t="s">
        <v>51</v>
      </c>
      <c r="D31" s="14" t="s">
        <v>52</v>
      </c>
      <c r="E31" s="22">
        <f>('2019-2022'!E31-'2019-2022'!R$2)/'2019-2022'!R$3</f>
        <v>2.301513570355703</v>
      </c>
      <c r="F31" s="22">
        <f>('2019-2022'!F31-'2019-2022'!S$2)/'2019-2022'!S$3</f>
        <v>2.1209488158733487</v>
      </c>
      <c r="G31" s="22">
        <f>('2019-2022'!G31-'2019-2022'!T$2)/'2019-2022'!T$3</f>
        <v>0.14117356391975797</v>
      </c>
      <c r="H31" s="22">
        <f>('2019-2022'!H31-'2019-2022'!U$2)/'2019-2022'!U$3</f>
        <v>2.5978023760614564</v>
      </c>
      <c r="I31" s="22">
        <f>('2019-2022'!I31-'2019-2022'!V$2)/'2019-2022'!V$3</f>
        <v>1.9932785990293618</v>
      </c>
      <c r="J31" s="22">
        <f>('2019-2022'!J31-'2019-2022'!W$2)/'2019-2022'!W$3</f>
        <v>1.09113945744639</v>
      </c>
      <c r="K31" s="22">
        <f>('2019-2022'!K31-'2019-2022'!X$2)/'2019-2022'!X$3</f>
        <v>1.4316872688346716</v>
      </c>
      <c r="L31" s="22">
        <f>('2019-2022'!L31-'2019-2022'!Y$2)/'2019-2022'!Y$3</f>
        <v>1.3261677204678195</v>
      </c>
      <c r="M31" s="22">
        <f>('2019-2022'!M31-'2019-2022'!Z$2)/'2019-2022'!Z$3</f>
        <v>-0.52822339977971788</v>
      </c>
      <c r="N31" s="22">
        <f>('2019-2022'!N31-'2019-2022'!AA$2)/'2019-2022'!AA$3</f>
        <v>0.56470091204698802</v>
      </c>
      <c r="O31" s="22">
        <f>('2019-2022'!O31-'2019-2022'!AB$2)/'2019-2022'!AB$3</f>
        <v>0.28662254830894757</v>
      </c>
      <c r="P31" s="22">
        <f>('2019-2022'!P31-'2019-2022'!AC$2)/'2019-2022'!AC$3</f>
        <v>-1.4113946928409804</v>
      </c>
    </row>
    <row r="32" spans="1:16">
      <c r="A32" s="4" t="s">
        <v>9</v>
      </c>
      <c r="B32" s="5">
        <v>2021</v>
      </c>
      <c r="C32" s="14" t="s">
        <v>51</v>
      </c>
      <c r="D32" s="14" t="s">
        <v>52</v>
      </c>
      <c r="E32" s="22">
        <f>('2019-2022'!E32-'2019-2022'!R$2)/'2019-2022'!R$3</f>
        <v>2.181941862050659</v>
      </c>
      <c r="F32" s="22">
        <f>('2019-2022'!F32-'2019-2022'!S$2)/'2019-2022'!S$3</f>
        <v>1.5085915407594057</v>
      </c>
      <c r="G32" s="22">
        <f>('2019-2022'!G32-'2019-2022'!T$2)/'2019-2022'!T$3</f>
        <v>0.36185401049979793</v>
      </c>
      <c r="H32" s="22">
        <f>('2019-2022'!H32-'2019-2022'!U$2)/'2019-2022'!U$3</f>
        <v>2.0372473164488767</v>
      </c>
      <c r="I32" s="22">
        <f>('2019-2022'!I32-'2019-2022'!V$2)/'2019-2022'!V$3</f>
        <v>2.2584554705706092</v>
      </c>
      <c r="J32" s="22">
        <f>('2019-2022'!J32-'2019-2022'!W$2)/'2019-2022'!W$3</f>
        <v>1.2214051136574062</v>
      </c>
      <c r="K32" s="22">
        <f>('2019-2022'!K32-'2019-2022'!X$2)/'2019-2022'!X$3</f>
        <v>1.2020449399958306</v>
      </c>
      <c r="L32" s="22">
        <f>('2019-2022'!L32-'2019-2022'!Y$2)/'2019-2022'!Y$3</f>
        <v>1.3088986600472203</v>
      </c>
      <c r="M32" s="22">
        <f>('2019-2022'!M32-'2019-2022'!Z$2)/'2019-2022'!Z$3</f>
        <v>-0.60823353150741355</v>
      </c>
      <c r="N32" s="22">
        <f>('2019-2022'!N32-'2019-2022'!AA$2)/'2019-2022'!AA$3</f>
        <v>0.90687842808693109</v>
      </c>
      <c r="O32" s="22">
        <f>('2019-2022'!O32-'2019-2022'!AB$2)/'2019-2022'!AB$3</f>
        <v>0.39156208337665804</v>
      </c>
      <c r="P32" s="22">
        <f>('2019-2022'!P32-'2019-2022'!AC$2)/'2019-2022'!AC$3</f>
        <v>-1.423518506866662</v>
      </c>
    </row>
    <row r="33" spans="1:16">
      <c r="A33" s="4" t="s">
        <v>9</v>
      </c>
      <c r="B33" s="5">
        <v>2022</v>
      </c>
      <c r="C33" s="14" t="s">
        <v>51</v>
      </c>
      <c r="D33" s="14" t="s">
        <v>52</v>
      </c>
      <c r="E33" s="22">
        <f>('2019-2022'!E33-'2019-2022'!R$2)/'2019-2022'!R$3</f>
        <v>2.7000173205374294</v>
      </c>
      <c r="F33" s="22">
        <f>('2019-2022'!F33-'2019-2022'!S$2)/'2019-2022'!S$3</f>
        <v>1.8567063517149693</v>
      </c>
      <c r="G33" s="22">
        <f>('2019-2022'!G33-'2019-2022'!T$2)/'2019-2022'!T$3</f>
        <v>0.65533273980667994</v>
      </c>
      <c r="H33" s="22">
        <f>('2019-2022'!H33-'2019-2022'!U$2)/'2019-2022'!U$3</f>
        <v>2.6322682396902426</v>
      </c>
      <c r="I33" s="22">
        <f>('2019-2022'!I33-'2019-2022'!V$2)/'2019-2022'!V$3</f>
        <v>2.6776446013624682</v>
      </c>
      <c r="J33" s="22">
        <f>('2019-2022'!J33-'2019-2022'!W$2)/'2019-2022'!W$3</f>
        <v>1.303269360520628</v>
      </c>
      <c r="K33" s="22">
        <f>('2019-2022'!K33-'2019-2022'!X$2)/'2019-2022'!X$3</f>
        <v>1.2620573742486789</v>
      </c>
      <c r="L33" s="22">
        <f>('2019-2022'!L33-'2019-2022'!Y$2)/'2019-2022'!Y$3</f>
        <v>1.3353302920940442</v>
      </c>
      <c r="M33" s="22">
        <f>('2019-2022'!M33-'2019-2022'!Z$2)/'2019-2022'!Z$3</f>
        <v>-0.38178688048608628</v>
      </c>
      <c r="N33" s="22">
        <f>('2019-2022'!N33-'2019-2022'!AA$2)/'2019-2022'!AA$3</f>
        <v>0.86215747733410442</v>
      </c>
      <c r="O33" s="22">
        <f>('2019-2022'!O33-'2019-2022'!AB$2)/'2019-2022'!AB$3</f>
        <v>0.47339222171140932</v>
      </c>
      <c r="P33" s="22">
        <f>('2019-2022'!P33-'2019-2022'!AC$2)/'2019-2022'!AC$3</f>
        <v>-1.4176838142863926</v>
      </c>
    </row>
    <row r="34" spans="1:16">
      <c r="A34" s="4" t="s">
        <v>10</v>
      </c>
      <c r="B34" s="5">
        <v>2019</v>
      </c>
      <c r="C34" s="14" t="s">
        <v>58</v>
      </c>
      <c r="D34" s="14" t="s">
        <v>57</v>
      </c>
      <c r="E34" s="22">
        <f>('2019-2022'!E34-'2019-2022'!R$2)/'2019-2022'!R$3</f>
        <v>0.19146627641492167</v>
      </c>
      <c r="F34" s="22">
        <f>('2019-2022'!F34-'2019-2022'!S$2)/'2019-2022'!S$3</f>
        <v>1.0586679007967059</v>
      </c>
      <c r="G34" s="22">
        <f>('2019-2022'!G34-'2019-2022'!T$2)/'2019-2022'!T$3</f>
        <v>-0.11554096548128504</v>
      </c>
      <c r="H34" s="22">
        <f>('2019-2022'!H34-'2019-2022'!U$2)/'2019-2022'!U$3</f>
        <v>0.27410525466480051</v>
      </c>
      <c r="I34" s="22">
        <f>('2019-2022'!I34-'2019-2022'!V$2)/'2019-2022'!V$3</f>
        <v>0.16701472474478421</v>
      </c>
      <c r="J34" s="22">
        <f>('2019-2022'!J34-'2019-2022'!W$2)/'2019-2022'!W$3</f>
        <v>1.8230236771685318</v>
      </c>
      <c r="K34" s="22">
        <f>('2019-2022'!K34-'2019-2022'!X$2)/'2019-2022'!X$3</f>
        <v>0.48719878980036802</v>
      </c>
      <c r="L34" s="22">
        <f>('2019-2022'!L34-'2019-2022'!Y$2)/'2019-2022'!Y$3</f>
        <v>0.8584790679009574</v>
      </c>
      <c r="M34" s="22">
        <f>('2019-2022'!M34-'2019-2022'!Z$2)/'2019-2022'!Z$3</f>
        <v>1.174000031874799</v>
      </c>
      <c r="N34" s="22">
        <f>('2019-2022'!N34-'2019-2022'!AA$2)/'2019-2022'!AA$3</f>
        <v>1.6499187145321765</v>
      </c>
      <c r="O34" s="22">
        <f>('2019-2022'!O34-'2019-2022'!AB$2)/'2019-2022'!AB$3</f>
        <v>1.4558626157478562</v>
      </c>
      <c r="P34" s="22">
        <f>('2019-2022'!P34-'2019-2022'!AC$2)/'2019-2022'!AC$3</f>
        <v>-1.0320837893473904</v>
      </c>
    </row>
    <row r="35" spans="1:16">
      <c r="A35" s="4" t="s">
        <v>10</v>
      </c>
      <c r="B35" s="5">
        <v>2020</v>
      </c>
      <c r="C35" s="14" t="s">
        <v>58</v>
      </c>
      <c r="D35" s="14" t="s">
        <v>57</v>
      </c>
      <c r="E35" s="22">
        <f>('2019-2022'!E35-'2019-2022'!R$2)/'2019-2022'!R$3</f>
        <v>-1.1492778273526827</v>
      </c>
      <c r="F35" s="22">
        <f>('2019-2022'!F35-'2019-2022'!S$2)/'2019-2022'!S$3</f>
        <v>0.44108752520516686</v>
      </c>
      <c r="G35" s="22">
        <f>('2019-2022'!G35-'2019-2022'!T$2)/'2019-2022'!T$3</f>
        <v>0.26116737211672986</v>
      </c>
      <c r="H35" s="22">
        <f>('2019-2022'!H35-'2019-2022'!U$2)/'2019-2022'!U$3</f>
        <v>-1.0366364743419005</v>
      </c>
      <c r="I35" s="22">
        <f>('2019-2022'!I35-'2019-2022'!V$2)/'2019-2022'!V$3</f>
        <v>-1.1335550647655881</v>
      </c>
      <c r="J35" s="22">
        <f>('2019-2022'!J35-'2019-2022'!W$2)/'2019-2022'!W$3</f>
        <v>1.5845536787720675</v>
      </c>
      <c r="K35" s="22">
        <f>('2019-2022'!K35-'2019-2022'!X$2)/'2019-2022'!X$3</f>
        <v>-0.29479899404785309</v>
      </c>
      <c r="L35" s="22">
        <f>('2019-2022'!L35-'2019-2022'!Y$2)/'2019-2022'!Y$3</f>
        <v>0.68690411051676392</v>
      </c>
      <c r="M35" s="22">
        <f>('2019-2022'!M35-'2019-2022'!Z$2)/'2019-2022'!Z$3</f>
        <v>0.36543082011582539</v>
      </c>
      <c r="N35" s="22">
        <f>('2019-2022'!N35-'2019-2022'!AA$2)/'2019-2022'!AA$3</f>
        <v>1.6131689322407898</v>
      </c>
      <c r="O35" s="22">
        <f>('2019-2022'!O35-'2019-2022'!AB$2)/'2019-2022'!AB$3</f>
        <v>0.92267214822636168</v>
      </c>
      <c r="P35" s="22">
        <f>('2019-2022'!P35-'2019-2022'!AC$2)/'2019-2022'!AC$3</f>
        <v>-1.1007959628942359</v>
      </c>
    </row>
    <row r="36" spans="1:16">
      <c r="A36" s="4" t="s">
        <v>10</v>
      </c>
      <c r="B36" s="5">
        <v>2021</v>
      </c>
      <c r="C36" s="14" t="s">
        <v>58</v>
      </c>
      <c r="D36" s="14" t="s">
        <v>57</v>
      </c>
      <c r="E36" s="22">
        <f>('2019-2022'!E36-'2019-2022'!R$2)/'2019-2022'!R$3</f>
        <v>-1.9557253181538007E-2</v>
      </c>
      <c r="F36" s="22">
        <f>('2019-2022'!F36-'2019-2022'!S$2)/'2019-2022'!S$3</f>
        <v>0.76559605340877057</v>
      </c>
      <c r="G36" s="22">
        <f>('2019-2022'!G36-'2019-2022'!T$2)/'2019-2022'!T$3</f>
        <v>-0.30299171936085117</v>
      </c>
      <c r="H36" s="22">
        <f>('2019-2022'!H36-'2019-2022'!U$2)/'2019-2022'!U$3</f>
        <v>4.4416975270200262E-2</v>
      </c>
      <c r="I36" s="22">
        <f>('2019-2022'!I36-'2019-2022'!V$2)/'2019-2022'!V$3</f>
        <v>-1.8264845764786639E-2</v>
      </c>
      <c r="J36" s="22">
        <f>('2019-2022'!J36-'2019-2022'!W$2)/'2019-2022'!W$3</f>
        <v>1.880314827207398</v>
      </c>
      <c r="K36" s="22">
        <f>('2019-2022'!K36-'2019-2022'!X$2)/'2019-2022'!X$3</f>
        <v>5.0654912386596451E-3</v>
      </c>
      <c r="L36" s="22">
        <f>('2019-2022'!L36-'2019-2022'!Y$2)/'2019-2022'!Y$3</f>
        <v>0.77069698166012013</v>
      </c>
      <c r="M36" s="22">
        <f>('2019-2022'!M36-'2019-2022'!Z$2)/'2019-2022'!Z$3</f>
        <v>0.29732537523367297</v>
      </c>
      <c r="N36" s="22">
        <f>('2019-2022'!N36-'2019-2022'!AA$2)/'2019-2022'!AA$3</f>
        <v>1.6642202795663386</v>
      </c>
      <c r="O36" s="22">
        <f>('2019-2022'!O36-'2019-2022'!AB$2)/'2019-2022'!AB$3</f>
        <v>1.0040277943312144</v>
      </c>
      <c r="P36" s="22">
        <f>('2019-2022'!P36-'2019-2022'!AC$2)/'2019-2022'!AC$3</f>
        <v>-1.1297063139302197</v>
      </c>
    </row>
    <row r="37" spans="1:16">
      <c r="A37" s="4" t="s">
        <v>10</v>
      </c>
      <c r="B37" s="5">
        <v>2022</v>
      </c>
      <c r="C37" s="14" t="s">
        <v>58</v>
      </c>
      <c r="D37" s="14" t="s">
        <v>57</v>
      </c>
      <c r="E37" s="22">
        <f>('2019-2022'!E37-'2019-2022'!R$2)/'2019-2022'!R$3</f>
        <v>-0.58991663134943262</v>
      </c>
      <c r="F37" s="22">
        <f>('2019-2022'!F37-'2019-2022'!S$2)/'2019-2022'!S$3</f>
        <v>0.75061360877644556</v>
      </c>
      <c r="G37" s="22">
        <f>('2019-2022'!G37-'2019-2022'!T$2)/'2019-2022'!T$3</f>
        <v>-1.1758414753380486</v>
      </c>
      <c r="H37" s="22">
        <f>('2019-2022'!H37-'2019-2022'!U$2)/'2019-2022'!U$3</f>
        <v>-0.27350641313932406</v>
      </c>
      <c r="I37" s="22">
        <f>('2019-2022'!I37-'2019-2022'!V$2)/'2019-2022'!V$3</f>
        <v>-0.77224151335934443</v>
      </c>
      <c r="J37" s="22">
        <f>('2019-2022'!J37-'2019-2022'!W$2)/'2019-2022'!W$3</f>
        <v>1.3406639287778099</v>
      </c>
      <c r="K37" s="22">
        <f>('2019-2022'!K37-'2019-2022'!X$2)/'2019-2022'!X$3</f>
        <v>-0.30648571400191554</v>
      </c>
      <c r="L37" s="22">
        <f>('2019-2022'!L37-'2019-2022'!Y$2)/'2019-2022'!Y$3</f>
        <v>-0.28750666273881509</v>
      </c>
      <c r="M37" s="22">
        <f>('2019-2022'!M37-'2019-2022'!Z$2)/'2019-2022'!Z$3</f>
        <v>0.63164697790887114</v>
      </c>
      <c r="N37" s="22">
        <f>('2019-2022'!N37-'2019-2022'!AA$2)/'2019-2022'!AA$3</f>
        <v>1.2426292339074276</v>
      </c>
      <c r="O37" s="22">
        <f>('2019-2022'!O37-'2019-2022'!AB$2)/'2019-2022'!AB$3</f>
        <v>1.303428603173582</v>
      </c>
      <c r="P37" s="22">
        <f>('2019-2022'!P37-'2019-2022'!AC$2)/'2019-2022'!AC$3</f>
        <v>-1.0178573919758982</v>
      </c>
    </row>
    <row r="38" spans="1:16">
      <c r="A38" s="4" t="s">
        <v>11</v>
      </c>
      <c r="B38" s="5">
        <v>2019</v>
      </c>
      <c r="C38" s="14" t="s">
        <v>56</v>
      </c>
      <c r="D38" s="14" t="s">
        <v>52</v>
      </c>
      <c r="E38" s="22">
        <f>('2019-2022'!E38-'2019-2022'!R$2)/'2019-2022'!R$3</f>
        <v>-0.11580757722653523</v>
      </c>
      <c r="F38" s="22">
        <f>('2019-2022'!F38-'2019-2022'!S$2)/'2019-2022'!S$3</f>
        <v>-0.22895307793896857</v>
      </c>
      <c r="G38" s="22">
        <f>('2019-2022'!G38-'2019-2022'!T$2)/'2019-2022'!T$3</f>
        <v>1.6691650264155291</v>
      </c>
      <c r="H38" s="22">
        <f>('2019-2022'!H38-'2019-2022'!U$2)/'2019-2022'!U$3</f>
        <v>-0.35981551140869972</v>
      </c>
      <c r="I38" s="22">
        <f>('2019-2022'!I38-'2019-2022'!V$2)/'2019-2022'!V$3</f>
        <v>-2.4592619084765E-2</v>
      </c>
      <c r="J38" s="22">
        <f>('2019-2022'!J38-'2019-2022'!W$2)/'2019-2022'!W$3</f>
        <v>0.71338416411947747</v>
      </c>
      <c r="K38" s="22">
        <f>('2019-2022'!K38-'2019-2022'!X$2)/'2019-2022'!X$3</f>
        <v>0.95217218281897709</v>
      </c>
      <c r="L38" s="22">
        <f>('2019-2022'!L38-'2019-2022'!Y$2)/'2019-2022'!Y$3</f>
        <v>0.23094396565142192</v>
      </c>
      <c r="M38" s="22">
        <f>('2019-2022'!M38-'2019-2022'!Z$2)/'2019-2022'!Z$3</f>
        <v>-0.9350949981764326</v>
      </c>
      <c r="N38" s="22">
        <f>('2019-2022'!N38-'2019-2022'!AA$2)/'2019-2022'!AA$3</f>
        <v>-0.22784775850515349</v>
      </c>
      <c r="O38" s="22">
        <f>('2019-2022'!O38-'2019-2022'!AB$2)/'2019-2022'!AB$3</f>
        <v>0.96687531423192874</v>
      </c>
      <c r="P38" s="22">
        <f>('2019-2022'!P38-'2019-2022'!AC$2)/'2019-2022'!AC$3</f>
        <v>-2.7486897792487825</v>
      </c>
    </row>
    <row r="39" spans="1:16">
      <c r="A39" s="4" t="s">
        <v>11</v>
      </c>
      <c r="B39" s="5">
        <v>2020</v>
      </c>
      <c r="C39" s="14" t="s">
        <v>56</v>
      </c>
      <c r="D39" s="14" t="s">
        <v>52</v>
      </c>
      <c r="E39" s="22">
        <f>('2019-2022'!E39-'2019-2022'!R$2)/'2019-2022'!R$3</f>
        <v>-0.44291782455393963</v>
      </c>
      <c r="F39" s="22">
        <f>('2019-2022'!F39-'2019-2022'!S$2)/'2019-2022'!S$3</f>
        <v>0.39871941045199261</v>
      </c>
      <c r="G39" s="22">
        <f>('2019-2022'!G39-'2019-2022'!T$2)/'2019-2022'!T$3</f>
        <v>1.8021929882685053</v>
      </c>
      <c r="H39" s="22">
        <f>('2019-2022'!H39-'2019-2022'!U$2)/'2019-2022'!U$3</f>
        <v>-0.38243054549633443</v>
      </c>
      <c r="I39" s="22">
        <f>('2019-2022'!I39-'2019-2022'!V$2)/'2019-2022'!V$3</f>
        <v>-0.4880367687041326</v>
      </c>
      <c r="J39" s="22">
        <f>('2019-2022'!J39-'2019-2022'!W$2)/'2019-2022'!W$3</f>
        <v>0.43946132016978778</v>
      </c>
      <c r="K39" s="22">
        <f>('2019-2022'!K39-'2019-2022'!X$2)/'2019-2022'!X$3</f>
        <v>-0.16262095766420681</v>
      </c>
      <c r="L39" s="22">
        <f>('2019-2022'!L39-'2019-2022'!Y$2)/'2019-2022'!Y$3</f>
        <v>-1.2051443814419196</v>
      </c>
      <c r="M39" s="22">
        <f>('2019-2022'!M39-'2019-2022'!Z$2)/'2019-2022'!Z$3</f>
        <v>-0.65340218171865228</v>
      </c>
      <c r="N39" s="22">
        <f>('2019-2022'!N39-'2019-2022'!AA$2)/'2019-2022'!AA$3</f>
        <v>-2.0470869827723162</v>
      </c>
      <c r="O39" s="22">
        <f>('2019-2022'!O39-'2019-2022'!AB$2)/'2019-2022'!AB$3</f>
        <v>1.627344252233315</v>
      </c>
      <c r="P39" s="22">
        <f>('2019-2022'!P39-'2019-2022'!AC$2)/'2019-2022'!AC$3</f>
        <v>-2.7927416402422574</v>
      </c>
    </row>
    <row r="40" spans="1:16">
      <c r="A40" s="4" t="s">
        <v>11</v>
      </c>
      <c r="B40" s="5">
        <v>2021</v>
      </c>
      <c r="C40" s="14" t="s">
        <v>56</v>
      </c>
      <c r="D40" s="14" t="s">
        <v>52</v>
      </c>
      <c r="E40" s="22">
        <f>('2019-2022'!E40-'2019-2022'!R$2)/'2019-2022'!R$3</f>
        <v>-0.67681006841351354</v>
      </c>
      <c r="F40" s="22">
        <f>('2019-2022'!F40-'2019-2022'!S$2)/'2019-2022'!S$3</f>
        <v>0.20073347376132686</v>
      </c>
      <c r="G40" s="22">
        <f>('2019-2022'!G40-'2019-2022'!T$2)/'2019-2022'!T$3</f>
        <v>5.8190117309673169E-2</v>
      </c>
      <c r="H40" s="22">
        <f>('2019-2022'!H40-'2019-2022'!U$2)/'2019-2022'!U$3</f>
        <v>-0.36632746229779062</v>
      </c>
      <c r="I40" s="22">
        <f>('2019-2022'!I40-'2019-2022'!V$2)/'2019-2022'!V$3</f>
        <v>-0.83389959014963788</v>
      </c>
      <c r="J40" s="22">
        <f>('2019-2022'!J40-'2019-2022'!W$2)/'2019-2022'!W$3</f>
        <v>0.54673316794257165</v>
      </c>
      <c r="K40" s="22">
        <f>('2019-2022'!K40-'2019-2022'!X$2)/'2019-2022'!X$3</f>
        <v>2.6365296508433507E-2</v>
      </c>
      <c r="L40" s="22">
        <f>('2019-2022'!L40-'2019-2022'!Y$2)/'2019-2022'!Y$3</f>
        <v>-0.66043007856874569</v>
      </c>
      <c r="M40" s="22">
        <f>('2019-2022'!M40-'2019-2022'!Z$2)/'2019-2022'!Z$3</f>
        <v>-0.64584615460342221</v>
      </c>
      <c r="N40" s="22">
        <f>('2019-2022'!N40-'2019-2022'!AA$2)/'2019-2022'!AA$3</f>
        <v>-1.806298587920415</v>
      </c>
      <c r="O40" s="22">
        <f>('2019-2022'!O40-'2019-2022'!AB$2)/'2019-2022'!AB$3</f>
        <v>1.1496973091242042</v>
      </c>
      <c r="P40" s="22">
        <f>('2019-2022'!P40-'2019-2022'!AC$2)/'2019-2022'!AC$3</f>
        <v>-2.7936413876392199</v>
      </c>
    </row>
    <row r="41" spans="1:16">
      <c r="A41" s="4" t="s">
        <v>11</v>
      </c>
      <c r="B41" s="5">
        <v>2022</v>
      </c>
      <c r="C41" s="14" t="s">
        <v>56</v>
      </c>
      <c r="D41" s="14" t="s">
        <v>52</v>
      </c>
      <c r="E41" s="22">
        <f>('2019-2022'!E41-'2019-2022'!R$2)/'2019-2022'!R$3</f>
        <v>0.71982756293872219</v>
      </c>
      <c r="F41" s="22">
        <f>('2019-2022'!F41-'2019-2022'!S$2)/'2019-2022'!S$3</f>
        <v>-0.64330189845010954</v>
      </c>
      <c r="G41" s="22">
        <f>('2019-2022'!G41-'2019-2022'!T$2)/'2019-2022'!T$3</f>
        <v>1.7599686063453224</v>
      </c>
      <c r="H41" s="22">
        <f>('2019-2022'!H41-'2019-2022'!U$2)/'2019-2022'!U$3</f>
        <v>-8.7123215461684569E-2</v>
      </c>
      <c r="I41" s="22">
        <f>('2019-2022'!I41-'2019-2022'!V$2)/'2019-2022'!V$3</f>
        <v>1.0486165809772834</v>
      </c>
      <c r="J41" s="22">
        <f>('2019-2022'!J41-'2019-2022'!W$2)/'2019-2022'!W$3</f>
        <v>-0.28615952801771988</v>
      </c>
      <c r="K41" s="22">
        <f>('2019-2022'!K41-'2019-2022'!X$2)/'2019-2022'!X$3</f>
        <v>0.37753399396942422</v>
      </c>
      <c r="L41" s="22">
        <f>('2019-2022'!L41-'2019-2022'!Y$2)/'2019-2022'!Y$3</f>
        <v>0.83795631580126861</v>
      </c>
      <c r="M41" s="22">
        <f>('2019-2022'!M41-'2019-2022'!Z$2)/'2019-2022'!Z$3</f>
        <v>-0.47209199801314516</v>
      </c>
      <c r="N41" s="22">
        <f>('2019-2022'!N41-'2019-2022'!AA$2)/'2019-2022'!AA$3</f>
        <v>-3.6737957419046202E-2</v>
      </c>
      <c r="O41" s="22">
        <f>('2019-2022'!O41-'2019-2022'!AB$2)/'2019-2022'!AB$3</f>
        <v>1.1951177070674535</v>
      </c>
      <c r="P41" s="22">
        <f>('2019-2022'!P41-'2019-2022'!AC$2)/'2019-2022'!AC$3</f>
        <v>-2.7990873273393446</v>
      </c>
    </row>
    <row r="42" spans="1:16">
      <c r="A42" s="4" t="s">
        <v>12</v>
      </c>
      <c r="B42" s="5">
        <v>2019</v>
      </c>
      <c r="C42" s="14" t="s">
        <v>56</v>
      </c>
      <c r="D42" s="14" t="s">
        <v>54</v>
      </c>
      <c r="E42" s="22">
        <f>('2019-2022'!E42-'2019-2022'!R$2)/'2019-2022'!R$3</f>
        <v>-0.13915184618334539</v>
      </c>
      <c r="F42" s="22">
        <f>('2019-2022'!F42-'2019-2022'!S$2)/'2019-2022'!S$3</f>
        <v>-0.33271140049641978</v>
      </c>
      <c r="G42" s="22">
        <f>('2019-2022'!G42-'2019-2022'!T$2)/'2019-2022'!T$3</f>
        <v>-8.5526420466172412E-2</v>
      </c>
      <c r="H42" s="22">
        <f>('2019-2022'!H42-'2019-2022'!U$2)/'2019-2022'!U$3</f>
        <v>-0.39577975248521391</v>
      </c>
      <c r="I42" s="22">
        <f>('2019-2022'!I42-'2019-2022'!V$2)/'2019-2022'!V$3</f>
        <v>8.0656948051690935E-2</v>
      </c>
      <c r="J42" s="22">
        <f>('2019-2022'!J42-'2019-2022'!W$2)/'2019-2022'!W$3</f>
        <v>-1.0285743146108783</v>
      </c>
      <c r="K42" s="22">
        <f>('2019-2022'!K42-'2019-2022'!X$2)/'2019-2022'!X$3</f>
        <v>0.20274278174140276</v>
      </c>
      <c r="L42" s="22">
        <f>('2019-2022'!L42-'2019-2022'!Y$2)/'2019-2022'!Y$3</f>
        <v>1.4093545127255511</v>
      </c>
      <c r="M42" s="22">
        <f>('2019-2022'!M42-'2019-2022'!Z$2)/'2019-2022'!Z$3</f>
        <v>0.89832803121031934</v>
      </c>
      <c r="N42" s="22">
        <f>('2019-2022'!N42-'2019-2022'!AA$2)/'2019-2022'!AA$3</f>
        <v>-0.31702003644075216</v>
      </c>
      <c r="O42" s="22">
        <f>('2019-2022'!O42-'2019-2022'!AB$2)/'2019-2022'!AB$3</f>
        <v>0.75873281375687784</v>
      </c>
      <c r="P42" s="22">
        <f>('2019-2022'!P42-'2019-2022'!AC$2)/'2019-2022'!AC$3</f>
        <v>0.78967557141661837</v>
      </c>
    </row>
    <row r="43" spans="1:16">
      <c r="A43" s="4" t="s">
        <v>12</v>
      </c>
      <c r="B43" s="5">
        <v>2020</v>
      </c>
      <c r="C43" s="14" t="s">
        <v>56</v>
      </c>
      <c r="D43" s="14" t="s">
        <v>54</v>
      </c>
      <c r="E43" s="22">
        <f>('2019-2022'!E43-'2019-2022'!R$2)/'2019-2022'!R$3</f>
        <v>-0.77380994952486948</v>
      </c>
      <c r="F43" s="22">
        <f>('2019-2022'!F43-'2019-2022'!S$2)/'2019-2022'!S$3</f>
        <v>-0.51628403262436595</v>
      </c>
      <c r="G43" s="22">
        <f>('2019-2022'!G43-'2019-2022'!T$2)/'2019-2022'!T$3</f>
        <v>-0.36055716438096941</v>
      </c>
      <c r="H43" s="22">
        <f>('2019-2022'!H43-'2019-2022'!U$2)/'2019-2022'!U$3</f>
        <v>-0.76256391275908664</v>
      </c>
      <c r="I43" s="22">
        <f>('2019-2022'!I43-'2019-2022'!V$2)/'2019-2022'!V$3</f>
        <v>-0.74953599761869205</v>
      </c>
      <c r="J43" s="22">
        <f>('2019-2022'!J43-'2019-2022'!W$2)/'2019-2022'!W$3</f>
        <v>-1.4154309498820916</v>
      </c>
      <c r="K43" s="22">
        <f>('2019-2022'!K43-'2019-2022'!X$2)/'2019-2022'!X$3</f>
        <v>-0.26662642720475288</v>
      </c>
      <c r="L43" s="22">
        <f>('2019-2022'!L43-'2019-2022'!Y$2)/'2019-2022'!Y$3</f>
        <v>1.1081080427807712</v>
      </c>
      <c r="M43" s="22">
        <f>('2019-2022'!M43-'2019-2022'!Z$2)/'2019-2022'!Z$3</f>
        <v>1.192629716239358</v>
      </c>
      <c r="N43" s="22">
        <f>('2019-2022'!N43-'2019-2022'!AA$2)/'2019-2022'!AA$3</f>
        <v>-1.427113148050692</v>
      </c>
      <c r="O43" s="22">
        <f>('2019-2022'!O43-'2019-2022'!AB$2)/'2019-2022'!AB$3</f>
        <v>0.72163639622894338</v>
      </c>
      <c r="P43" s="22">
        <f>('2019-2022'!P43-'2019-2022'!AC$2)/'2019-2022'!AC$3</f>
        <v>0.66781684069285963</v>
      </c>
    </row>
    <row r="44" spans="1:16">
      <c r="A44" s="4" t="s">
        <v>12</v>
      </c>
      <c r="B44" s="5">
        <v>2021</v>
      </c>
      <c r="C44" s="14" t="s">
        <v>56</v>
      </c>
      <c r="D44" s="14" t="s">
        <v>54</v>
      </c>
      <c r="E44" s="22">
        <f>('2019-2022'!E44-'2019-2022'!R$2)/'2019-2022'!R$3</f>
        <v>-0.65334339437780709</v>
      </c>
      <c r="F44" s="22">
        <f>('2019-2022'!F44-'2019-2022'!S$2)/'2019-2022'!S$3</f>
        <v>-0.96290451112037512</v>
      </c>
      <c r="G44" s="22">
        <f>('2019-2022'!G44-'2019-2022'!T$2)/'2019-2022'!T$3</f>
        <v>-0.12135741553401518</v>
      </c>
      <c r="H44" s="22">
        <f>('2019-2022'!H44-'2019-2022'!U$2)/'2019-2022'!U$3</f>
        <v>-0.95895777696862095</v>
      </c>
      <c r="I44" s="22">
        <f>('2019-2022'!I44-'2019-2022'!V$2)/'2019-2022'!V$3</f>
        <v>-0.36729400617391733</v>
      </c>
      <c r="J44" s="22">
        <f>('2019-2022'!J44-'2019-2022'!W$2)/'2019-2022'!W$3</f>
        <v>-1.4244087179978706</v>
      </c>
      <c r="K44" s="22">
        <f>('2019-2022'!K44-'2019-2022'!X$2)/'2019-2022'!X$3</f>
        <v>-0.45529065469092544</v>
      </c>
      <c r="L44" s="22">
        <f>('2019-2022'!L44-'2019-2022'!Y$2)/'2019-2022'!Y$3</f>
        <v>0.79457639040270656</v>
      </c>
      <c r="M44" s="22">
        <f>('2019-2022'!M44-'2019-2022'!Z$2)/'2019-2022'!Z$3</f>
        <v>0.93086060513264313</v>
      </c>
      <c r="N44" s="22">
        <f>('2019-2022'!N44-'2019-2022'!AA$2)/'2019-2022'!AA$3</f>
        <v>-0.32555599618762443</v>
      </c>
      <c r="O44" s="22">
        <f>('2019-2022'!O44-'2019-2022'!AB$2)/'2019-2022'!AB$3</f>
        <v>0.63199070016555181</v>
      </c>
      <c r="P44" s="22">
        <f>('2019-2022'!P44-'2019-2022'!AC$2)/'2019-2022'!AC$3</f>
        <v>0.69950924277037951</v>
      </c>
    </row>
    <row r="45" spans="1:16">
      <c r="A45" s="4" t="s">
        <v>12</v>
      </c>
      <c r="B45" s="5">
        <v>2022</v>
      </c>
      <c r="C45" s="14" t="s">
        <v>56</v>
      </c>
      <c r="D45" s="14" t="s">
        <v>54</v>
      </c>
      <c r="E45" s="22">
        <f>('2019-2022'!E45-'2019-2022'!R$2)/'2019-2022'!R$3</f>
        <v>-0.77238360829058472</v>
      </c>
      <c r="F45" s="22">
        <f>('2019-2022'!F45-'2019-2022'!S$2)/'2019-2022'!S$3</f>
        <v>-0.67552953944518301</v>
      </c>
      <c r="G45" s="22">
        <f>('2019-2022'!G45-'2019-2022'!T$2)/'2019-2022'!T$3</f>
        <v>-0.39830226409730535</v>
      </c>
      <c r="H45" s="22">
        <f>('2019-2022'!H45-'2019-2022'!U$2)/'2019-2022'!U$3</f>
        <v>-0.89166289869315218</v>
      </c>
      <c r="I45" s="22">
        <f>('2019-2022'!I45-'2019-2022'!V$2)/'2019-2022'!V$3</f>
        <v>-0.61891322234616952</v>
      </c>
      <c r="J45" s="22">
        <f>('2019-2022'!J45-'2019-2022'!W$2)/'2019-2022'!W$3</f>
        <v>-1.5694750688896639</v>
      </c>
      <c r="K45" s="22">
        <f>('2019-2022'!K45-'2019-2022'!X$2)/'2019-2022'!X$3</f>
        <v>-0.68429957269054187</v>
      </c>
      <c r="L45" s="22">
        <f>('2019-2022'!L45-'2019-2022'!Y$2)/'2019-2022'!Y$3</f>
        <v>0.50827028232775706</v>
      </c>
      <c r="M45" s="22">
        <f>('2019-2022'!M45-'2019-2022'!Z$2)/'2019-2022'!Z$3</f>
        <v>1.2352575115219508</v>
      </c>
      <c r="N45" s="22">
        <f>('2019-2022'!N45-'2019-2022'!AA$2)/'2019-2022'!AA$3</f>
        <v>-0.27720572779939967</v>
      </c>
      <c r="O45" s="22">
        <f>('2019-2022'!O45-'2019-2022'!AB$2)/'2019-2022'!AB$3</f>
        <v>0.51990565483244833</v>
      </c>
      <c r="P45" s="22">
        <f>('2019-2022'!P45-'2019-2022'!AC$2)/'2019-2022'!AC$3</f>
        <v>0.6274599677249324</v>
      </c>
    </row>
    <row r="46" spans="1:16">
      <c r="A46" s="4" t="s">
        <v>13</v>
      </c>
      <c r="B46" s="5">
        <v>2019</v>
      </c>
      <c r="C46" s="14" t="s">
        <v>59</v>
      </c>
      <c r="D46" s="14" t="s">
        <v>54</v>
      </c>
      <c r="E46" s="22">
        <f>('2019-2022'!E46-'2019-2022'!R$2)/'2019-2022'!R$3</f>
        <v>-1.0986765637439222</v>
      </c>
      <c r="F46" s="22">
        <f>('2019-2022'!F46-'2019-2022'!S$2)/'2019-2022'!S$3</f>
        <v>-0.92732771903082067</v>
      </c>
      <c r="G46" s="22">
        <f>('2019-2022'!G46-'2019-2022'!T$2)/'2019-2022'!T$3</f>
        <v>-1.069593820893586</v>
      </c>
      <c r="H46" s="22">
        <f>('2019-2022'!H46-'2019-2022'!U$2)/'2019-2022'!U$3</f>
        <v>-1.0508137498023973</v>
      </c>
      <c r="I46" s="22">
        <f>('2019-2022'!I46-'2019-2022'!V$2)/'2019-2022'!V$3</f>
        <v>-1.071422403248907</v>
      </c>
      <c r="J46" s="22">
        <f>('2019-2022'!J46-'2019-2022'!W$2)/'2019-2022'!W$3</f>
        <v>-3.0312945687463495</v>
      </c>
      <c r="K46" s="22">
        <f>('2019-2022'!K46-'2019-2022'!X$2)/'2019-2022'!X$3</f>
        <v>-1.2430869688112742</v>
      </c>
      <c r="L46" s="22">
        <f>('2019-2022'!L46-'2019-2022'!Y$2)/'2019-2022'!Y$3</f>
        <v>-2.3318001802537003</v>
      </c>
      <c r="M46" s="22">
        <f>('2019-2022'!M46-'2019-2022'!Z$2)/'2019-2022'!Z$3</f>
        <v>-0.71155278456356885</v>
      </c>
      <c r="N46" s="22">
        <f>('2019-2022'!N46-'2019-2022'!AA$2)/'2019-2022'!AA$3</f>
        <v>-2.1933626595709392</v>
      </c>
      <c r="O46" s="22">
        <f>('2019-2022'!O46-'2019-2022'!AB$2)/'2019-2022'!AB$3</f>
        <v>-1.0747723195655332</v>
      </c>
      <c r="P46" s="22">
        <f>('2019-2022'!P46-'2019-2022'!AC$2)/'2019-2022'!AC$3</f>
        <v>0.98956090767140037</v>
      </c>
    </row>
    <row r="47" spans="1:16">
      <c r="A47" s="4" t="s">
        <v>13</v>
      </c>
      <c r="B47" s="5">
        <v>2020</v>
      </c>
      <c r="C47" s="14" t="s">
        <v>59</v>
      </c>
      <c r="D47" s="14" t="s">
        <v>54</v>
      </c>
      <c r="E47" s="22">
        <f>('2019-2022'!E47-'2019-2022'!R$2)/'2019-2022'!R$3</f>
        <v>-1.0878069404678179</v>
      </c>
      <c r="F47" s="22">
        <f>('2019-2022'!F47-'2019-2022'!S$2)/'2019-2022'!S$3</f>
        <v>-0.97899612548065529</v>
      </c>
      <c r="G47" s="22">
        <f>('2019-2022'!G47-'2019-2022'!T$2)/'2019-2022'!T$3</f>
        <v>-1.293353525973322</v>
      </c>
      <c r="H47" s="22">
        <f>('2019-2022'!H47-'2019-2022'!U$2)/'2019-2022'!U$3</f>
        <v>-1.0296635184430714</v>
      </c>
      <c r="I47" s="22">
        <f>('2019-2022'!I47-'2019-2022'!V$2)/'2019-2022'!V$3</f>
        <v>-1.0672822414165697</v>
      </c>
      <c r="J47" s="22">
        <f>('2019-2022'!J47-'2019-2022'!W$2)/'2019-2022'!W$3</f>
        <v>-3.0901764769265316</v>
      </c>
      <c r="K47" s="22">
        <f>('2019-2022'!K47-'2019-2022'!X$2)/'2019-2022'!X$3</f>
        <v>-1.2566931541114585</v>
      </c>
      <c r="L47" s="22">
        <f>('2019-2022'!L47-'2019-2022'!Y$2)/'2019-2022'!Y$3</f>
        <v>-2.2311148573289432</v>
      </c>
      <c r="M47" s="22">
        <f>('2019-2022'!M47-'2019-2022'!Z$2)/'2019-2022'!Z$3</f>
        <v>-0.70083733088924804</v>
      </c>
      <c r="N47" s="22">
        <f>('2019-2022'!N47-'2019-2022'!AA$2)/'2019-2022'!AA$3</f>
        <v>-2.1619053156770272</v>
      </c>
      <c r="O47" s="22">
        <f>('2019-2022'!O47-'2019-2022'!AB$2)/'2019-2022'!AB$3</f>
        <v>-1.086954712060284</v>
      </c>
      <c r="P47" s="22">
        <f>('2019-2022'!P47-'2019-2022'!AC$2)/'2019-2022'!AC$3</f>
        <v>0.96036351314818869</v>
      </c>
    </row>
    <row r="48" spans="1:16">
      <c r="A48" s="4" t="s">
        <v>13</v>
      </c>
      <c r="B48" s="5">
        <v>2021</v>
      </c>
      <c r="C48" s="14" t="s">
        <v>59</v>
      </c>
      <c r="D48" s="14" t="s">
        <v>54</v>
      </c>
      <c r="E48" s="22">
        <f>('2019-2022'!E48-'2019-2022'!R$2)/'2019-2022'!R$3</f>
        <v>-1.0774655953175787</v>
      </c>
      <c r="F48" s="22">
        <f>('2019-2022'!F48-'2019-2022'!S$2)/'2019-2022'!S$3</f>
        <v>-1.0306645319304901</v>
      </c>
      <c r="G48" s="22">
        <f>('2019-2022'!G48-'2019-2022'!T$2)/'2019-2022'!T$3</f>
        <v>-1.517113231053058</v>
      </c>
      <c r="H48" s="22">
        <f>('2019-2022'!H48-'2019-2022'!U$2)/'2019-2022'!U$3</f>
        <v>-1.0085132870837454</v>
      </c>
      <c r="I48" s="22">
        <f>('2019-2022'!I48-'2019-2022'!V$2)/'2019-2022'!V$3</f>
        <v>-1.0631420795842323</v>
      </c>
      <c r="J48" s="22">
        <f>('2019-2022'!J48-'2019-2022'!W$2)/'2019-2022'!W$3</f>
        <v>-3.1490583851067138</v>
      </c>
      <c r="K48" s="22">
        <f>('2019-2022'!K48-'2019-2022'!X$2)/'2019-2022'!X$3</f>
        <v>-1.2702993394116433</v>
      </c>
      <c r="L48" s="22">
        <f>('2019-2022'!L48-'2019-2022'!Y$2)/'2019-2022'!Y$3</f>
        <v>-2.1304295344041857</v>
      </c>
      <c r="M48" s="22">
        <f>('2019-2022'!M48-'2019-2022'!Z$2)/'2019-2022'!Z$3</f>
        <v>-0.69012187721492646</v>
      </c>
      <c r="N48" s="22">
        <f>('2019-2022'!N48-'2019-2022'!AA$2)/'2019-2022'!AA$3</f>
        <v>-2.1304479717831146</v>
      </c>
      <c r="O48" s="22">
        <f>('2019-2022'!O48-'2019-2022'!AB$2)/'2019-2022'!AB$3</f>
        <v>-1.0991371045550355</v>
      </c>
      <c r="P48" s="22">
        <f>('2019-2022'!P48-'2019-2022'!AC$2)/'2019-2022'!AC$3</f>
        <v>0.99897500942163109</v>
      </c>
    </row>
    <row r="49" spans="1:16">
      <c r="A49" s="4" t="s">
        <v>13</v>
      </c>
      <c r="B49" s="5">
        <v>2022</v>
      </c>
      <c r="C49" s="14" t="s">
        <v>59</v>
      </c>
      <c r="D49" s="14" t="s">
        <v>54</v>
      </c>
      <c r="E49" s="22">
        <f>('2019-2022'!E49-'2019-2022'!R$2)/'2019-2022'!R$3</f>
        <v>-1.0754171233800629</v>
      </c>
      <c r="F49" s="22">
        <f>('2019-2022'!F49-'2019-2022'!S$2)/'2019-2022'!S$3</f>
        <v>-0.53496246965221861</v>
      </c>
      <c r="G49" s="22">
        <f>('2019-2022'!G49-'2019-2022'!T$2)/'2019-2022'!T$3</f>
        <v>-1.9944973342860204</v>
      </c>
      <c r="H49" s="22">
        <f>('2019-2022'!H49-'2019-2022'!U$2)/'2019-2022'!U$3</f>
        <v>-0.7619912864402637</v>
      </c>
      <c r="I49" s="22">
        <f>('2019-2022'!I49-'2019-2022'!V$2)/'2019-2022'!V$3</f>
        <v>-1.2251913721300824</v>
      </c>
      <c r="J49" s="22">
        <f>('2019-2022'!J49-'2019-2022'!W$2)/'2019-2022'!W$3</f>
        <v>-2.9691707032826287</v>
      </c>
      <c r="K49" s="22">
        <f>('2019-2022'!K49-'2019-2022'!X$2)/'2019-2022'!X$3</f>
        <v>-1.1184764337248227</v>
      </c>
      <c r="L49" s="22">
        <f>('2019-2022'!L49-'2019-2022'!Y$2)/'2019-2022'!Y$3</f>
        <v>-2.1047676691936705</v>
      </c>
      <c r="M49" s="22">
        <f>('2019-2022'!M49-'2019-2022'!Z$2)/'2019-2022'!Z$3</f>
        <v>-0.70150348402408869</v>
      </c>
      <c r="N49" s="22">
        <f>('2019-2022'!N49-'2019-2022'!AA$2)/'2019-2022'!AA$3</f>
        <v>-2.0800025801354391</v>
      </c>
      <c r="O49" s="22">
        <f>('2019-2022'!O49-'2019-2022'!AB$2)/'2019-2022'!AB$3</f>
        <v>-1.2672204938030971</v>
      </c>
      <c r="P49" s="22">
        <f>('2019-2022'!P49-'2019-2022'!AC$2)/'2019-2022'!AC$3</f>
        <v>1.019532952477292</v>
      </c>
    </row>
    <row r="50" spans="1:16">
      <c r="A50" s="4" t="s">
        <v>14</v>
      </c>
      <c r="B50" s="5">
        <v>2019</v>
      </c>
      <c r="C50" s="14" t="s">
        <v>55</v>
      </c>
      <c r="D50" s="14" t="s">
        <v>54</v>
      </c>
      <c r="E50" s="22">
        <f>('2019-2022'!E50-'2019-2022'!R$2)/'2019-2022'!R$3</f>
        <v>0.91728697345803245</v>
      </c>
      <c r="F50" s="22">
        <f>('2019-2022'!F50-'2019-2022'!S$2)/'2019-2022'!S$3</f>
        <v>-0.46319199993180205</v>
      </c>
      <c r="G50" s="22">
        <f>('2019-2022'!G50-'2019-2022'!T$2)/'2019-2022'!T$3</f>
        <v>0.21072145787404603</v>
      </c>
      <c r="H50" s="22">
        <f>('2019-2022'!H50-'2019-2022'!U$2)/'2019-2022'!U$3</f>
        <v>0.82160307273277799</v>
      </c>
      <c r="I50" s="22">
        <f>('2019-2022'!I50-'2019-2022'!V$2)/'2019-2022'!V$3</f>
        <v>0.87637023620168575</v>
      </c>
      <c r="J50" s="22">
        <f>('2019-2022'!J50-'2019-2022'!W$2)/'2019-2022'!W$3</f>
        <v>-9.8872961059450357E-2</v>
      </c>
      <c r="K50" s="22">
        <f>('2019-2022'!K50-'2019-2022'!X$2)/'2019-2022'!X$3</f>
        <v>5.2001441364461665E-2</v>
      </c>
      <c r="L50" s="22">
        <f>('2019-2022'!L50-'2019-2022'!Y$2)/'2019-2022'!Y$3</f>
        <v>-0.31383110975232376</v>
      </c>
      <c r="M50" s="22">
        <f>('2019-2022'!M50-'2019-2022'!Z$2)/'2019-2022'!Z$3</f>
        <v>4.3801453802653351E-2</v>
      </c>
      <c r="N50" s="22">
        <f>('2019-2022'!N50-'2019-2022'!AA$2)/'2019-2022'!AA$3</f>
        <v>-0.86991669638495861</v>
      </c>
      <c r="O50" s="22">
        <f>('2019-2022'!O50-'2019-2022'!AB$2)/'2019-2022'!AB$3</f>
        <v>-1.276984420433851</v>
      </c>
      <c r="P50" s="22">
        <f>('2019-2022'!P50-'2019-2022'!AC$2)/'2019-2022'!AC$3</f>
        <v>0.46517624049601264</v>
      </c>
    </row>
    <row r="51" spans="1:16">
      <c r="A51" s="4" t="s">
        <v>14</v>
      </c>
      <c r="B51" s="5">
        <v>2020</v>
      </c>
      <c r="C51" s="14" t="s">
        <v>55</v>
      </c>
      <c r="D51" s="14" t="s">
        <v>54</v>
      </c>
      <c r="E51" s="22">
        <f>('2019-2022'!E51-'2019-2022'!R$2)/'2019-2022'!R$3</f>
        <v>1.7112334171558923</v>
      </c>
      <c r="F51" s="22">
        <f>('2019-2022'!F51-'2019-2022'!S$2)/'2019-2022'!S$3</f>
        <v>9.0667314139072405E-2</v>
      </c>
      <c r="G51" s="22">
        <f>('2019-2022'!G51-'2019-2022'!T$2)/'2019-2022'!T$3</f>
        <v>1.1169956030554571</v>
      </c>
      <c r="H51" s="22">
        <f>('2019-2022'!H51-'2019-2022'!U$2)/'2019-2022'!U$3</f>
        <v>1.6659927100429082</v>
      </c>
      <c r="I51" s="22">
        <f>('2019-2022'!I51-'2019-2022'!V$2)/'2019-2022'!V$3</f>
        <v>1.6187192414236733</v>
      </c>
      <c r="J51" s="22">
        <f>('2019-2022'!J51-'2019-2022'!W$2)/'2019-2022'!W$3</f>
        <v>-0.21224816863073995</v>
      </c>
      <c r="K51" s="22">
        <f>('2019-2022'!K51-'2019-2022'!X$2)/'2019-2022'!X$3</f>
        <v>-0.28139221185095181</v>
      </c>
      <c r="L51" s="22">
        <f>('2019-2022'!L51-'2019-2022'!Y$2)/'2019-2022'!Y$3</f>
        <v>-1.002427666274843</v>
      </c>
      <c r="M51" s="22">
        <f>('2019-2022'!M51-'2019-2022'!Z$2)/'2019-2022'!Z$3</f>
        <v>-0.54718309636112827</v>
      </c>
      <c r="N51" s="22">
        <f>('2019-2022'!N51-'2019-2022'!AA$2)/'2019-2022'!AA$3</f>
        <v>-0.78950140382881462</v>
      </c>
      <c r="O51" s="22">
        <f>('2019-2022'!O51-'2019-2022'!AB$2)/'2019-2022'!AB$3</f>
        <v>-1.1437491805963758</v>
      </c>
      <c r="P51" s="22">
        <f>('2019-2022'!P51-'2019-2022'!AC$2)/'2019-2022'!AC$3</f>
        <v>0.43473712113842622</v>
      </c>
    </row>
    <row r="52" spans="1:16">
      <c r="A52" s="4" t="s">
        <v>14</v>
      </c>
      <c r="B52" s="5">
        <v>2021</v>
      </c>
      <c r="C52" s="14" t="s">
        <v>55</v>
      </c>
      <c r="D52" s="14" t="s">
        <v>54</v>
      </c>
      <c r="E52" s="22">
        <f>('2019-2022'!E52-'2019-2022'!R$2)/'2019-2022'!R$3</f>
        <v>0.98755172567051963</v>
      </c>
      <c r="F52" s="22">
        <f>('2019-2022'!F52-'2019-2022'!S$2)/'2019-2022'!S$3</f>
        <v>0.17702792620101657</v>
      </c>
      <c r="G52" s="22">
        <f>('2019-2022'!G52-'2019-2022'!T$2)/'2019-2022'!T$3</f>
        <v>-0.37769091525988269</v>
      </c>
      <c r="H52" s="22">
        <f>('2019-2022'!H52-'2019-2022'!U$2)/'2019-2022'!U$3</f>
        <v>1.6761299806866454</v>
      </c>
      <c r="I52" s="22">
        <f>('2019-2022'!I52-'2019-2022'!V$2)/'2019-2022'!V$3</f>
        <v>0.59681447065079152</v>
      </c>
      <c r="J52" s="22">
        <f>('2019-2022'!J52-'2019-2022'!W$2)/'2019-2022'!W$3</f>
        <v>-0.3474416580881684</v>
      </c>
      <c r="K52" s="22">
        <f>('2019-2022'!K52-'2019-2022'!X$2)/'2019-2022'!X$3</f>
        <v>-0.16005833650354342</v>
      </c>
      <c r="L52" s="22">
        <f>('2019-2022'!L52-'2019-2022'!Y$2)/'2019-2022'!Y$3</f>
        <v>-0.70990289720848221</v>
      </c>
      <c r="M52" s="22">
        <f>('2019-2022'!M52-'2019-2022'!Z$2)/'2019-2022'!Z$3</f>
        <v>-0.73892475016168668</v>
      </c>
      <c r="N52" s="22">
        <f>('2019-2022'!N52-'2019-2022'!AA$2)/'2019-2022'!AA$3</f>
        <v>-0.65350490516100646</v>
      </c>
      <c r="O52" s="22">
        <f>('2019-2022'!O52-'2019-2022'!AB$2)/'2019-2022'!AB$3</f>
        <v>-1.3305131716788179</v>
      </c>
      <c r="P52" s="22">
        <f>('2019-2022'!P52-'2019-2022'!AC$2)/'2019-2022'!AC$3</f>
        <v>0.60087179986037387</v>
      </c>
    </row>
    <row r="53" spans="1:16">
      <c r="A53" s="4" t="s">
        <v>14</v>
      </c>
      <c r="B53" s="5">
        <v>2022</v>
      </c>
      <c r="C53" s="14" t="s">
        <v>55</v>
      </c>
      <c r="D53" s="14" t="s">
        <v>54</v>
      </c>
      <c r="E53" s="22">
        <f>('2019-2022'!E53-'2019-2022'!R$2)/'2019-2022'!R$3</f>
        <v>0.87711192876073285</v>
      </c>
      <c r="F53" s="22">
        <f>('2019-2022'!F53-'2019-2022'!S$2)/'2019-2022'!S$3</f>
        <v>-0.61015452830676453</v>
      </c>
      <c r="G53" s="22">
        <f>('2019-2022'!G53-'2019-2022'!T$2)/'2019-2022'!T$3</f>
        <v>0.26197652520791387</v>
      </c>
      <c r="H53" s="22">
        <f>('2019-2022'!H53-'2019-2022'!U$2)/'2019-2022'!U$3</f>
        <v>0.48948442979393647</v>
      </c>
      <c r="I53" s="22">
        <f>('2019-2022'!I53-'2019-2022'!V$2)/'2019-2022'!V$3</f>
        <v>0.9882968091195955</v>
      </c>
      <c r="J53" s="22">
        <f>('2019-2022'!J53-'2019-2022'!W$2)/'2019-2022'!W$3</f>
        <v>-0.3099097761853386</v>
      </c>
      <c r="K53" s="22">
        <f>('2019-2022'!K53-'2019-2022'!X$2)/'2019-2022'!X$3</f>
        <v>-0.22835961185369039</v>
      </c>
      <c r="L53" s="22">
        <f>('2019-2022'!L53-'2019-2022'!Y$2)/'2019-2022'!Y$3</f>
        <v>-0.91969789064172114</v>
      </c>
      <c r="M53" s="22">
        <f>('2019-2022'!M53-'2019-2022'!Z$2)/'2019-2022'!Z$3</f>
        <v>-0.99202912238644747</v>
      </c>
      <c r="N53" s="22">
        <f>('2019-2022'!N53-'2019-2022'!AA$2)/'2019-2022'!AA$3</f>
        <v>-0.9222398919718271</v>
      </c>
      <c r="O53" s="22">
        <f>('2019-2022'!O53-'2019-2022'!AB$2)/'2019-2022'!AB$3</f>
        <v>-1.4660459366322474</v>
      </c>
      <c r="P53" s="22">
        <f>('2019-2022'!P53-'2019-2022'!AC$2)/'2019-2022'!AC$3</f>
        <v>0.40542156423226761</v>
      </c>
    </row>
    <row r="54" spans="1:16">
      <c r="A54" s="4" t="s">
        <v>16</v>
      </c>
      <c r="B54" s="5">
        <v>2019</v>
      </c>
      <c r="C54" s="14" t="s">
        <v>56</v>
      </c>
      <c r="D54" s="14" t="s">
        <v>57</v>
      </c>
      <c r="E54" s="22">
        <f>('2019-2022'!E54-'2019-2022'!R$2)/'2019-2022'!R$3</f>
        <v>-0.42941514773215739</v>
      </c>
      <c r="F54" s="22">
        <f>('2019-2022'!F54-'2019-2022'!S$2)/'2019-2022'!S$3</f>
        <v>3.0069567949057102E-2</v>
      </c>
      <c r="G54" s="22">
        <f>('2019-2022'!G54-'2019-2022'!T$2)/'2019-2022'!T$3</f>
        <v>0.71993042393837059</v>
      </c>
      <c r="H54" s="22">
        <f>('2019-2022'!H54-'2019-2022'!U$2)/'2019-2022'!U$3</f>
        <v>-0.75398521252336748</v>
      </c>
      <c r="I54" s="22">
        <f>('2019-2022'!I54-'2019-2022'!V$2)/'2019-2022'!V$3</f>
        <v>1.0358617662703924E-2</v>
      </c>
      <c r="J54" s="22">
        <f>('2019-2022'!J54-'2019-2022'!W$2)/'2019-2022'!W$3</f>
        <v>0.26925052176001624</v>
      </c>
      <c r="K54" s="22">
        <f>('2019-2022'!K54-'2019-2022'!X$2)/'2019-2022'!X$3</f>
        <v>0.89542327412614375</v>
      </c>
      <c r="L54" s="22">
        <f>('2019-2022'!L54-'2019-2022'!Y$2)/'2019-2022'!Y$3</f>
        <v>-3.4788623134117791E-2</v>
      </c>
      <c r="M54" s="22">
        <f>('2019-2022'!M54-'2019-2022'!Z$2)/'2019-2022'!Z$3</f>
        <v>3.233949675242756E-2</v>
      </c>
      <c r="N54" s="22">
        <f>('2019-2022'!N54-'2019-2022'!AA$2)/'2019-2022'!AA$3</f>
        <v>0.30068796567435258</v>
      </c>
      <c r="O54" s="22">
        <f>('2019-2022'!O54-'2019-2022'!AB$2)/'2019-2022'!AB$3</f>
        <v>-0.5863745494578072</v>
      </c>
      <c r="P54" s="22">
        <f>('2019-2022'!P54-'2019-2022'!AC$2)/'2019-2022'!AC$3</f>
        <v>-0.86168017160056343</v>
      </c>
    </row>
    <row r="55" spans="1:16">
      <c r="A55" s="4" t="s">
        <v>16</v>
      </c>
      <c r="B55" s="5">
        <v>2020</v>
      </c>
      <c r="C55" s="14" t="s">
        <v>56</v>
      </c>
      <c r="D55" s="14" t="s">
        <v>57</v>
      </c>
      <c r="E55" s="22">
        <f>('2019-2022'!E55-'2019-2022'!R$2)/'2019-2022'!R$3</f>
        <v>-0.76999988066306779</v>
      </c>
      <c r="F55" s="22">
        <f>('2019-2022'!F55-'2019-2022'!S$2)/'2019-2022'!S$3</f>
        <v>0.7462586210020784</v>
      </c>
      <c r="G55" s="22">
        <f>('2019-2022'!G55-'2019-2022'!T$2)/'2019-2022'!T$3</f>
        <v>1.6175145543938034</v>
      </c>
      <c r="H55" s="22">
        <f>('2019-2022'!H55-'2019-2022'!U$2)/'2019-2022'!U$3</f>
        <v>-0.90312791722708519</v>
      </c>
      <c r="I55" s="22">
        <f>('2019-2022'!I55-'2019-2022'!V$2)/'2019-2022'!V$3</f>
        <v>-0.50316314135765561</v>
      </c>
      <c r="J55" s="22">
        <f>('2019-2022'!J55-'2019-2022'!W$2)/'2019-2022'!W$3</f>
        <v>0.33836738517269416</v>
      </c>
      <c r="K55" s="22">
        <f>('2019-2022'!K55-'2019-2022'!X$2)/'2019-2022'!X$3</f>
        <v>1.3068365469378027</v>
      </c>
      <c r="L55" s="22">
        <f>('2019-2022'!L55-'2019-2022'!Y$2)/'2019-2022'!Y$3</f>
        <v>-0.63225835482785153</v>
      </c>
      <c r="M55" s="22">
        <f>('2019-2022'!M55-'2019-2022'!Z$2)/'2019-2022'!Z$3</f>
        <v>-0.70611593327030908</v>
      </c>
      <c r="N55" s="22">
        <f>('2019-2022'!N55-'2019-2022'!AA$2)/'2019-2022'!AA$3</f>
        <v>0.28111294401816866</v>
      </c>
      <c r="O55" s="22">
        <f>('2019-2022'!O55-'2019-2022'!AB$2)/'2019-2022'!AB$3</f>
        <v>-0.107903407394985</v>
      </c>
      <c r="P55" s="22">
        <f>('2019-2022'!P55-'2019-2022'!AC$2)/'2019-2022'!AC$3</f>
        <v>-0.81051450003328362</v>
      </c>
    </row>
    <row r="56" spans="1:16">
      <c r="A56" s="4" t="s">
        <v>16</v>
      </c>
      <c r="B56" s="5">
        <v>2021</v>
      </c>
      <c r="C56" s="14" t="s">
        <v>56</v>
      </c>
      <c r="D56" s="14" t="s">
        <v>57</v>
      </c>
      <c r="E56" s="22">
        <f>('2019-2022'!E56-'2019-2022'!R$2)/'2019-2022'!R$3</f>
        <v>-1.0488273643407033</v>
      </c>
      <c r="F56" s="22">
        <f>('2019-2022'!F56-'2019-2022'!S$2)/'2019-2022'!S$3</f>
        <v>1.1575809045549648</v>
      </c>
      <c r="G56" s="22">
        <f>('2019-2022'!G56-'2019-2022'!T$2)/'2019-2022'!T$3</f>
        <v>0.18332517575673057</v>
      </c>
      <c r="H56" s="22">
        <f>('2019-2022'!H56-'2019-2022'!U$2)/'2019-2022'!U$3</f>
        <v>-0.9186963304155441</v>
      </c>
      <c r="I56" s="22">
        <f>('2019-2022'!I56-'2019-2022'!V$2)/'2019-2022'!V$3</f>
        <v>-1.0300884474316869</v>
      </c>
      <c r="J56" s="22">
        <f>('2019-2022'!J56-'2019-2022'!W$2)/'2019-2022'!W$3</f>
        <v>0.20837457413562052</v>
      </c>
      <c r="K56" s="22">
        <f>('2019-2022'!K56-'2019-2022'!X$2)/'2019-2022'!X$3</f>
        <v>0.9042913442656948</v>
      </c>
      <c r="L56" s="22">
        <f>('2019-2022'!L56-'2019-2022'!Y$2)/'2019-2022'!Y$3</f>
        <v>-0.51909466672824933</v>
      </c>
      <c r="M56" s="22">
        <f>('2019-2022'!M56-'2019-2022'!Z$2)/'2019-2022'!Z$3</f>
        <v>-0.87029078265689719</v>
      </c>
      <c r="N56" s="22">
        <f>('2019-2022'!N56-'2019-2022'!AA$2)/'2019-2022'!AA$3</f>
        <v>0.64298154310352651</v>
      </c>
      <c r="O56" s="22">
        <f>('2019-2022'!O56-'2019-2022'!AB$2)/'2019-2022'!AB$3</f>
        <v>0.38216502732981134</v>
      </c>
      <c r="P56" s="22">
        <f>('2019-2022'!P56-'2019-2022'!AC$2)/'2019-2022'!AC$3</f>
        <v>-1.000799992518151</v>
      </c>
    </row>
    <row r="57" spans="1:16">
      <c r="A57" s="4" t="s">
        <v>16</v>
      </c>
      <c r="B57" s="5">
        <v>2022</v>
      </c>
      <c r="C57" s="14" t="s">
        <v>56</v>
      </c>
      <c r="D57" s="14" t="s">
        <v>57</v>
      </c>
      <c r="E57" s="22">
        <f>('2019-2022'!E57-'2019-2022'!R$2)/'2019-2022'!R$3</f>
        <v>-1.1929703921095371</v>
      </c>
      <c r="F57" s="22">
        <f>('2019-2022'!F57-'2019-2022'!S$2)/'2019-2022'!S$3</f>
        <v>1.2411644910474922</v>
      </c>
      <c r="G57" s="22">
        <f>('2019-2022'!G57-'2019-2022'!T$2)/'2019-2022'!T$3</f>
        <v>1.3948453415948436</v>
      </c>
      <c r="H57" s="22">
        <f>('2019-2022'!H57-'2019-2022'!U$2)/'2019-2022'!U$3</f>
        <v>-1.1043263786166881</v>
      </c>
      <c r="I57" s="22">
        <f>('2019-2022'!I57-'2019-2022'!V$2)/'2019-2022'!V$3</f>
        <v>-1.1255812829808802</v>
      </c>
      <c r="J57" s="22">
        <f>('2019-2022'!J57-'2019-2022'!W$2)/'2019-2022'!W$3</f>
        <v>0.33477898812225543</v>
      </c>
      <c r="K57" s="22">
        <f>('2019-2022'!K57-'2019-2022'!X$2)/'2019-2022'!X$3</f>
        <v>0.57954921594174502</v>
      </c>
      <c r="L57" s="22">
        <f>('2019-2022'!L57-'2019-2022'!Y$2)/'2019-2022'!Y$3</f>
        <v>-6.5605785692093308E-3</v>
      </c>
      <c r="M57" s="22">
        <f>('2019-2022'!M57-'2019-2022'!Z$2)/'2019-2022'!Z$3</f>
        <v>0.14133992965223677</v>
      </c>
      <c r="N57" s="22">
        <f>('2019-2022'!N57-'2019-2022'!AA$2)/'2019-2022'!AA$3</f>
        <v>0.55657906466158047</v>
      </c>
      <c r="O57" s="22">
        <f>('2019-2022'!O57-'2019-2022'!AB$2)/'2019-2022'!AB$3</f>
        <v>0.88036967310680403</v>
      </c>
      <c r="P57" s="22">
        <f>('2019-2022'!P57-'2019-2022'!AC$2)/'2019-2022'!AC$3</f>
        <v>-1.0090510990309298</v>
      </c>
    </row>
    <row r="58" spans="1:16">
      <c r="A58" s="4" t="s">
        <v>18</v>
      </c>
      <c r="B58" s="5">
        <v>2019</v>
      </c>
      <c r="C58" s="14" t="s">
        <v>56</v>
      </c>
      <c r="D58" s="14" t="s">
        <v>54</v>
      </c>
      <c r="E58" s="22">
        <f>('2019-2022'!E58-'2019-2022'!R$2)/'2019-2022'!R$3</f>
        <v>-0.86728231931638866</v>
      </c>
      <c r="F58" s="22">
        <f>('2019-2022'!F58-'2019-2022'!S$2)/'2019-2022'!S$3</f>
        <v>1.3600297992580275</v>
      </c>
      <c r="G58" s="22">
        <f>('2019-2022'!G58-'2019-2022'!T$2)/'2019-2022'!T$3</f>
        <v>1.0213271442960052</v>
      </c>
      <c r="H58" s="22">
        <f>('2019-2022'!H58-'2019-2022'!U$2)/'2019-2022'!U$3</f>
        <v>-0.66431207665713377</v>
      </c>
      <c r="I58" s="22">
        <f>('2019-2022'!I58-'2019-2022'!V$2)/'2019-2022'!V$3</f>
        <v>-0.9512995633252932</v>
      </c>
      <c r="J58" s="22">
        <f>('2019-2022'!J58-'2019-2022'!W$2)/'2019-2022'!W$3</f>
        <v>-0.14355783803098515</v>
      </c>
      <c r="K58" s="22">
        <f>('2019-2022'!K58-'2019-2022'!X$2)/'2019-2022'!X$3</f>
        <v>2.2933761336676848</v>
      </c>
      <c r="L58" s="22">
        <f>('2019-2022'!L58-'2019-2022'!Y$2)/'2019-2022'!Y$3</f>
        <v>1.3066864508362803</v>
      </c>
      <c r="M58" s="22">
        <f>('2019-2022'!M58-'2019-2022'!Z$2)/'2019-2022'!Z$3</f>
        <v>-0.53445714216952245</v>
      </c>
      <c r="N58" s="22">
        <f>('2019-2022'!N58-'2019-2022'!AA$2)/'2019-2022'!AA$3</f>
        <v>1.0762677497493935</v>
      </c>
      <c r="O58" s="22">
        <f>('2019-2022'!O58-'2019-2022'!AB$2)/'2019-2022'!AB$3</f>
        <v>0.89005713221974814</v>
      </c>
      <c r="P58" s="22">
        <f>('2019-2022'!P58-'2019-2022'!AC$2)/'2019-2022'!AC$3</f>
        <v>-0.21737985822651706</v>
      </c>
    </row>
    <row r="59" spans="1:16">
      <c r="A59" s="4" t="s">
        <v>18</v>
      </c>
      <c r="B59" s="5">
        <v>2020</v>
      </c>
      <c r="C59" s="14" t="s">
        <v>56</v>
      </c>
      <c r="D59" s="14" t="s">
        <v>54</v>
      </c>
      <c r="E59" s="22">
        <f>('2019-2022'!E59-'2019-2022'!R$2)/'2019-2022'!R$3</f>
        <v>0.48974665235305076</v>
      </c>
      <c r="F59" s="22">
        <f>('2019-2022'!F59-'2019-2022'!S$2)/'2019-2022'!S$3</f>
        <v>1.5132183199522906</v>
      </c>
      <c r="G59" s="22">
        <f>('2019-2022'!G59-'2019-2022'!T$2)/'2019-2022'!T$3</f>
        <v>0.8888465893874129</v>
      </c>
      <c r="H59" s="22">
        <f>('2019-2022'!H59-'2019-2022'!U$2)/'2019-2022'!U$3</f>
        <v>0.71364536793324418</v>
      </c>
      <c r="I59" s="22">
        <f>('2019-2022'!I59-'2019-2022'!V$2)/'2019-2022'!V$3</f>
        <v>0.33019034851514173</v>
      </c>
      <c r="J59" s="22">
        <f>('2019-2022'!J59-'2019-2022'!W$2)/'2019-2022'!W$3</f>
        <v>0.41210128684361652</v>
      </c>
      <c r="K59" s="22">
        <f>('2019-2022'!K59-'2019-2022'!X$2)/'2019-2022'!X$3</f>
        <v>2.0955619345813723</v>
      </c>
      <c r="L59" s="22">
        <f>('2019-2022'!L59-'2019-2022'!Y$2)/'2019-2022'!Y$3</f>
        <v>2.1911182766229378</v>
      </c>
      <c r="M59" s="22">
        <f>('2019-2022'!M59-'2019-2022'!Z$2)/'2019-2022'!Z$3</f>
        <v>-0.33954312141625603</v>
      </c>
      <c r="N59" s="22">
        <f>('2019-2022'!N59-'2019-2022'!AA$2)/'2019-2022'!AA$3</f>
        <v>1.6841343965769175</v>
      </c>
      <c r="O59" s="22">
        <f>('2019-2022'!O59-'2019-2022'!AB$2)/'2019-2022'!AB$3</f>
        <v>1.2783224572765874</v>
      </c>
      <c r="P59" s="22">
        <f>('2019-2022'!P59-'2019-2022'!AC$2)/'2019-2022'!AC$3</f>
        <v>-0.25694168464313116</v>
      </c>
    </row>
    <row r="60" spans="1:16">
      <c r="A60" s="4" t="s">
        <v>18</v>
      </c>
      <c r="B60" s="5">
        <v>2021</v>
      </c>
      <c r="C60" s="14" t="s">
        <v>56</v>
      </c>
      <c r="D60" s="14" t="s">
        <v>54</v>
      </c>
      <c r="E60" s="22">
        <f>('2019-2022'!E60-'2019-2022'!R$2)/'2019-2022'!R$3</f>
        <v>8.1611132195991004E-2</v>
      </c>
      <c r="F60" s="22">
        <f>('2019-2022'!F60-'2019-2022'!S$2)/'2019-2022'!S$3</f>
        <v>1.8574607461331594</v>
      </c>
      <c r="G60" s="22">
        <f>('2019-2022'!G60-'2019-2022'!T$2)/'2019-2022'!T$3</f>
        <v>1.0858141402514943</v>
      </c>
      <c r="H60" s="22">
        <f>('2019-2022'!H60-'2019-2022'!U$2)/'2019-2022'!U$3</f>
        <v>2.4920744441524326E-2</v>
      </c>
      <c r="I60" s="22">
        <f>('2019-2022'!I60-'2019-2022'!V$2)/'2019-2022'!V$3</f>
        <v>0.20975369892826237</v>
      </c>
      <c r="J60" s="22">
        <f>('2019-2022'!J60-'2019-2022'!W$2)/'2019-2022'!W$3</f>
        <v>5.1078179686908157E-2</v>
      </c>
      <c r="K60" s="22">
        <f>('2019-2022'!K60-'2019-2022'!X$2)/'2019-2022'!X$3</f>
        <v>1.7537276978216467</v>
      </c>
      <c r="L60" s="22">
        <f>('2019-2022'!L60-'2019-2022'!Y$2)/'2019-2022'!Y$3</f>
        <v>1.1943666403937649</v>
      </c>
      <c r="M60" s="22">
        <f>('2019-2022'!M60-'2019-2022'!Z$2)/'2019-2022'!Z$3</f>
        <v>-2.5604098165818812</v>
      </c>
      <c r="N60" s="22">
        <f>('2019-2022'!N60-'2019-2022'!AA$2)/'2019-2022'!AA$3</f>
        <v>0.8324178253221558</v>
      </c>
      <c r="O60" s="22">
        <f>('2019-2022'!O60-'2019-2022'!AB$2)/'2019-2022'!AB$3</f>
        <v>3.4854911727175635E-2</v>
      </c>
      <c r="P60" s="22">
        <f>('2019-2022'!P60-'2019-2022'!AC$2)/'2019-2022'!AC$3</f>
        <v>-0.32022382757938506</v>
      </c>
    </row>
    <row r="61" spans="1:16">
      <c r="A61" s="4" t="s">
        <v>18</v>
      </c>
      <c r="B61" s="5">
        <v>2022</v>
      </c>
      <c r="C61" s="14" t="s">
        <v>56</v>
      </c>
      <c r="D61" s="14" t="s">
        <v>54</v>
      </c>
      <c r="E61" s="22">
        <f>('2019-2022'!E61-'2019-2022'!R$2)/'2019-2022'!R$3</f>
        <v>-0.12730115399343739</v>
      </c>
      <c r="F61" s="22">
        <f>('2019-2022'!F61-'2019-2022'!S$2)/'2019-2022'!S$3</f>
        <v>1.249524325072392</v>
      </c>
      <c r="G61" s="22">
        <f>('2019-2022'!G61-'2019-2022'!T$2)/'2019-2022'!T$3</f>
        <v>0.76692836184297575</v>
      </c>
      <c r="H61" s="22">
        <f>('2019-2022'!H61-'2019-2022'!U$2)/'2019-2022'!U$3</f>
        <v>0.10904441293270796</v>
      </c>
      <c r="I61" s="22">
        <f>('2019-2022'!I61-'2019-2022'!V$2)/'2019-2022'!V$3</f>
        <v>-0.26820475999125415</v>
      </c>
      <c r="J61" s="22">
        <f>('2019-2022'!J61-'2019-2022'!W$2)/'2019-2022'!W$3</f>
        <v>-5.4303102226602937E-2</v>
      </c>
      <c r="K61" s="22">
        <f>('2019-2022'!K61-'2019-2022'!X$2)/'2019-2022'!X$3</f>
        <v>1.2582078841020863</v>
      </c>
      <c r="L61" s="22">
        <f>('2019-2022'!L61-'2019-2022'!Y$2)/'2019-2022'!Y$3</f>
        <v>0.45804737793596428</v>
      </c>
      <c r="M61" s="22">
        <f>('2019-2022'!M61-'2019-2022'!Z$2)/'2019-2022'!Z$3</f>
        <v>-1.2571345596460248</v>
      </c>
      <c r="N61" s="22">
        <f>('2019-2022'!N61-'2019-2022'!AA$2)/'2019-2022'!AA$3</f>
        <v>1.2537253168391198</v>
      </c>
      <c r="O61" s="22">
        <f>('2019-2022'!O61-'2019-2022'!AB$2)/'2019-2022'!AB$3</f>
        <v>8.4154799088172277E-2</v>
      </c>
      <c r="P61" s="22">
        <f>('2019-2022'!P61-'2019-2022'!AC$2)/'2019-2022'!AC$3</f>
        <v>-0.26236138114428231</v>
      </c>
    </row>
    <row r="62" spans="1:16">
      <c r="A62" s="4" t="s">
        <v>19</v>
      </c>
      <c r="B62" s="5">
        <v>2019</v>
      </c>
      <c r="C62" s="14" t="s">
        <v>51</v>
      </c>
      <c r="D62" s="14" t="s">
        <v>54</v>
      </c>
      <c r="E62" s="22">
        <f>('2019-2022'!E62-'2019-2022'!R$2)/'2019-2022'!R$3</f>
        <v>1.1571096339488518</v>
      </c>
      <c r="F62" s="22">
        <f>('2019-2022'!F62-'2019-2022'!S$2)/'2019-2022'!S$3</f>
        <v>0.4310771936804243</v>
      </c>
      <c r="G62" s="22">
        <f>('2019-2022'!G62-'2019-2022'!T$2)/'2019-2022'!T$3</f>
        <v>-0.84087507304610143</v>
      </c>
      <c r="H62" s="22">
        <f>('2019-2022'!H62-'2019-2022'!U$2)/'2019-2022'!U$3</f>
        <v>1.2977757905022436</v>
      </c>
      <c r="I62" s="22">
        <f>('2019-2022'!I62-'2019-2022'!V$2)/'2019-2022'!V$3</f>
        <v>1.0303630982847678</v>
      </c>
      <c r="J62" s="22">
        <f>('2019-2022'!J62-'2019-2022'!W$2)/'2019-2022'!W$3</f>
        <v>0.98736042467462992</v>
      </c>
      <c r="K62" s="22">
        <f>('2019-2022'!K62-'2019-2022'!X$2)/'2019-2022'!X$3</f>
        <v>1.342528853469531</v>
      </c>
      <c r="L62" s="22">
        <f>('2019-2022'!L62-'2019-2022'!Y$2)/'2019-2022'!Y$3</f>
        <v>-0.42246811543927376</v>
      </c>
      <c r="M62" s="22">
        <f>('2019-2022'!M62-'2019-2022'!Z$2)/'2019-2022'!Z$3</f>
        <v>-0.56847949727091585</v>
      </c>
      <c r="N62" s="22">
        <f>('2019-2022'!N62-'2019-2022'!AA$2)/'2019-2022'!AA$3</f>
        <v>7.3597094143344421E-2</v>
      </c>
      <c r="O62" s="22">
        <f>('2019-2022'!O62-'2019-2022'!AB$2)/'2019-2022'!AB$3</f>
        <v>-5.4227501299628257E-2</v>
      </c>
      <c r="P62" s="22">
        <f>('2019-2022'!P62-'2019-2022'!AC$2)/'2019-2022'!AC$3</f>
        <v>-0.46487973970445567</v>
      </c>
    </row>
    <row r="63" spans="1:16">
      <c r="A63" s="4" t="s">
        <v>19</v>
      </c>
      <c r="B63" s="5">
        <v>2020</v>
      </c>
      <c r="C63" s="14" t="s">
        <v>51</v>
      </c>
      <c r="D63" s="14" t="s">
        <v>54</v>
      </c>
      <c r="E63" s="22">
        <f>('2019-2022'!E63-'2019-2022'!R$2)/'2019-2022'!R$3</f>
        <v>2.6172355752840355</v>
      </c>
      <c r="F63" s="22">
        <f>('2019-2022'!F63-'2019-2022'!S$2)/'2019-2022'!S$3</f>
        <v>0.60891230001180974</v>
      </c>
      <c r="G63" s="22">
        <f>('2019-2022'!G63-'2019-2022'!T$2)/'2019-2022'!T$3</f>
        <v>-0.77575901209226761</v>
      </c>
      <c r="H63" s="22">
        <f>('2019-2022'!H63-'2019-2022'!U$2)/'2019-2022'!U$3</f>
        <v>2.7922496874973959</v>
      </c>
      <c r="I63" s="22">
        <f>('2019-2022'!I63-'2019-2022'!V$2)/'2019-2022'!V$3</f>
        <v>2.3965716106568653</v>
      </c>
      <c r="J63" s="22">
        <f>('2019-2022'!J63-'2019-2022'!W$2)/'2019-2022'!W$3</f>
        <v>0.97203478477047411</v>
      </c>
      <c r="K63" s="22">
        <f>('2019-2022'!K63-'2019-2022'!X$2)/'2019-2022'!X$3</f>
        <v>1.8475904085447445</v>
      </c>
      <c r="L63" s="22">
        <f>('2019-2022'!L63-'2019-2022'!Y$2)/'2019-2022'!Y$3</f>
        <v>5.8879430111362742E-2</v>
      </c>
      <c r="M63" s="22">
        <f>('2019-2022'!M63-'2019-2022'!Z$2)/'2019-2022'!Z$3</f>
        <v>-0.48945352136647235</v>
      </c>
      <c r="N63" s="22">
        <f>('2019-2022'!N63-'2019-2022'!AA$2)/'2019-2022'!AA$3</f>
        <v>-0.25260010873093425</v>
      </c>
      <c r="O63" s="22">
        <f>('2019-2022'!O63-'2019-2022'!AB$2)/'2019-2022'!AB$3</f>
        <v>-0.80384358722196303</v>
      </c>
      <c r="P63" s="22">
        <f>('2019-2022'!P63-'2019-2022'!AC$2)/'2019-2022'!AC$3</f>
        <v>-0.53191398021842951</v>
      </c>
    </row>
    <row r="64" spans="1:16">
      <c r="A64" s="4" t="s">
        <v>19</v>
      </c>
      <c r="B64" s="5">
        <v>2021</v>
      </c>
      <c r="C64" s="14" t="s">
        <v>51</v>
      </c>
      <c r="D64" s="14" t="s">
        <v>54</v>
      </c>
      <c r="E64" s="22">
        <f>('2019-2022'!E64-'2019-2022'!R$2)/'2019-2022'!R$3</f>
        <v>1.1392398896128131</v>
      </c>
      <c r="F64" s="22">
        <f>('2019-2022'!F64-'2019-2022'!S$2)/'2019-2022'!S$3</f>
        <v>0.33694653588521256</v>
      </c>
      <c r="G64" s="22">
        <f>('2019-2022'!G64-'2019-2022'!T$2)/'2019-2022'!T$3</f>
        <v>-0.58109019802286144</v>
      </c>
      <c r="H64" s="22">
        <f>('2019-2022'!H64-'2019-2022'!U$2)/'2019-2022'!U$3</f>
        <v>1.0898601216416783</v>
      </c>
      <c r="I64" s="22">
        <f>('2019-2022'!I64-'2019-2022'!V$2)/'2019-2022'!V$3</f>
        <v>1.1573307338217094</v>
      </c>
      <c r="J64" s="22">
        <f>('2019-2022'!J64-'2019-2022'!W$2)/'2019-2022'!W$3</f>
        <v>0.77320165212673286</v>
      </c>
      <c r="K64" s="22">
        <f>('2019-2022'!K64-'2019-2022'!X$2)/'2019-2022'!X$3</f>
        <v>1.3778791743563767</v>
      </c>
      <c r="L64" s="22">
        <f>('2019-2022'!L64-'2019-2022'!Y$2)/'2019-2022'!Y$3</f>
        <v>-0.42743457954000286</v>
      </c>
      <c r="M64" s="22">
        <f>('2019-2022'!M64-'2019-2022'!Z$2)/'2019-2022'!Z$3</f>
        <v>-0.46802167376411319</v>
      </c>
      <c r="N64" s="22">
        <f>('2019-2022'!N64-'2019-2022'!AA$2)/'2019-2022'!AA$3</f>
        <v>-0.30113454351351154</v>
      </c>
      <c r="O64" s="22">
        <f>('2019-2022'!O64-'2019-2022'!AB$2)/'2019-2022'!AB$3</f>
        <v>-0.75516746971110182</v>
      </c>
      <c r="P64" s="22">
        <f>('2019-2022'!P64-'2019-2022'!AC$2)/'2019-2022'!AC$3</f>
        <v>-0.61119373249426201</v>
      </c>
    </row>
    <row r="65" spans="1:16">
      <c r="A65" s="4" t="s">
        <v>19</v>
      </c>
      <c r="B65" s="5">
        <v>2022</v>
      </c>
      <c r="C65" s="14" t="s">
        <v>51</v>
      </c>
      <c r="D65" s="14" t="s">
        <v>54</v>
      </c>
      <c r="E65" s="22">
        <f>('2019-2022'!E65-'2019-2022'!R$2)/'2019-2022'!R$3</f>
        <v>1.9112700988042259</v>
      </c>
      <c r="F65" s="22">
        <f>('2019-2022'!F65-'2019-2022'!S$2)/'2019-2022'!S$3</f>
        <v>8.2018257597126498E-2</v>
      </c>
      <c r="G65" s="22">
        <f>('2019-2022'!G65-'2019-2022'!T$2)/'2019-2022'!T$3</f>
        <v>-0.44467806313544617</v>
      </c>
      <c r="H65" s="22">
        <f>('2019-2022'!H65-'2019-2022'!U$2)/'2019-2022'!U$3</f>
        <v>1.4992797103495947</v>
      </c>
      <c r="I65" s="22">
        <f>('2019-2022'!I65-'2019-2022'!V$2)/'2019-2022'!V$3</f>
        <v>2.1650490651428398</v>
      </c>
      <c r="J65" s="22">
        <f>('2019-2022'!J65-'2019-2022'!W$2)/'2019-2022'!W$3</f>
        <v>1.2438385590209911</v>
      </c>
      <c r="K65" s="22">
        <f>('2019-2022'!K65-'2019-2022'!X$2)/'2019-2022'!X$3</f>
        <v>2.0611453350774309</v>
      </c>
      <c r="L65" s="22">
        <f>('2019-2022'!L65-'2019-2022'!Y$2)/'2019-2022'!Y$3</f>
        <v>-0.24986512588977708</v>
      </c>
      <c r="M65" s="22">
        <f>('2019-2022'!M65-'2019-2022'!Z$2)/'2019-2022'!Z$3</f>
        <v>3.3870861728547745E-2</v>
      </c>
      <c r="N65" s="22">
        <f>('2019-2022'!N65-'2019-2022'!AA$2)/'2019-2022'!AA$3</f>
        <v>7.409912036408621E-2</v>
      </c>
      <c r="O65" s="22">
        <f>('2019-2022'!O65-'2019-2022'!AB$2)/'2019-2022'!AB$3</f>
        <v>-0.50482621489649282</v>
      </c>
      <c r="P65" s="22">
        <f>('2019-2022'!P65-'2019-2022'!AC$2)/'2019-2022'!AC$3</f>
        <v>-0.84509950092833053</v>
      </c>
    </row>
    <row r="66" spans="1:16">
      <c r="A66" s="4" t="s">
        <v>20</v>
      </c>
      <c r="B66" s="5">
        <v>2019</v>
      </c>
      <c r="C66" s="14" t="s">
        <v>55</v>
      </c>
      <c r="D66" s="14" t="s">
        <v>54</v>
      </c>
      <c r="E66" s="22">
        <f>('2019-2022'!E66-'2019-2022'!R$2)/'2019-2022'!R$3</f>
        <v>-0.78233981667497943</v>
      </c>
      <c r="F66" s="22">
        <f>('2019-2022'!F66-'2019-2022'!S$2)/'2019-2022'!S$3</f>
        <v>-1.312514826030464</v>
      </c>
      <c r="G66" s="22">
        <f>('2019-2022'!G66-'2019-2022'!T$2)/'2019-2022'!T$3</f>
        <v>1.8453218981611061</v>
      </c>
      <c r="H66" s="22">
        <f>('2019-2022'!H66-'2019-2022'!U$2)/'2019-2022'!U$3</f>
        <v>-1.1943237042950814</v>
      </c>
      <c r="I66" s="22">
        <f>('2019-2022'!I66-'2019-2022'!V$2)/'2019-2022'!V$3</f>
        <v>-0.56826823889610056</v>
      </c>
      <c r="J66" s="22">
        <f>('2019-2022'!J66-'2019-2022'!W$2)/'2019-2022'!W$3</f>
        <v>-0.54656647096704869</v>
      </c>
      <c r="K66" s="22">
        <f>('2019-2022'!K66-'2019-2022'!X$2)/'2019-2022'!X$3</f>
        <v>-1.2213344463843321</v>
      </c>
      <c r="L66" s="22">
        <f>('2019-2022'!L66-'2019-2022'!Y$2)/'2019-2022'!Y$3</f>
        <v>-9.6375334975534327E-2</v>
      </c>
      <c r="M66" s="22">
        <f>('2019-2022'!M66-'2019-2022'!Z$2)/'2019-2022'!Z$3</f>
        <v>1.2664511530720681</v>
      </c>
      <c r="N66" s="22">
        <f>('2019-2022'!N66-'2019-2022'!AA$2)/'2019-2022'!AA$3</f>
        <v>1.868716971283541</v>
      </c>
      <c r="O66" s="22">
        <f>('2019-2022'!O66-'2019-2022'!AB$2)/'2019-2022'!AB$3</f>
        <v>0.14584665840350042</v>
      </c>
      <c r="P66" s="22">
        <f>('2019-2022'!P66-'2019-2022'!AC$2)/'2019-2022'!AC$3</f>
        <v>0.22686243048498805</v>
      </c>
    </row>
    <row r="67" spans="1:16">
      <c r="A67" s="4" t="s">
        <v>20</v>
      </c>
      <c r="B67" s="5">
        <v>2020</v>
      </c>
      <c r="C67" s="14" t="s">
        <v>55</v>
      </c>
      <c r="D67" s="14" t="s">
        <v>54</v>
      </c>
      <c r="E67" s="22">
        <f>('2019-2022'!E67-'2019-2022'!R$2)/'2019-2022'!R$3</f>
        <v>-1.3800317503078339</v>
      </c>
      <c r="F67" s="22">
        <f>('2019-2022'!F67-'2019-2022'!S$2)/'2019-2022'!S$3</f>
        <v>-1.6790300314716784</v>
      </c>
      <c r="G67" s="22">
        <f>('2019-2022'!G67-'2019-2022'!T$2)/'2019-2022'!T$3</f>
        <v>0.58639694134211529</v>
      </c>
      <c r="H67" s="22">
        <f>('2019-2022'!H67-'2019-2022'!U$2)/'2019-2022'!U$3</f>
        <v>-1.4364601515400988</v>
      </c>
      <c r="I67" s="22">
        <f>('2019-2022'!I67-'2019-2022'!V$2)/'2019-2022'!V$3</f>
        <v>-1.3228391563376622</v>
      </c>
      <c r="J67" s="22">
        <f>('2019-2022'!J67-'2019-2022'!W$2)/'2019-2022'!W$3</f>
        <v>0.110722934188505</v>
      </c>
      <c r="K67" s="22">
        <f>('2019-2022'!K67-'2019-2022'!X$2)/'2019-2022'!X$3</f>
        <v>-1.3148953495635267</v>
      </c>
      <c r="L67" s="22">
        <f>('2019-2022'!L67-'2019-2022'!Y$2)/'2019-2022'!Y$3</f>
        <v>0.74440898755623097</v>
      </c>
      <c r="M67" s="22">
        <f>('2019-2022'!M67-'2019-2022'!Z$2)/'2019-2022'!Z$3</f>
        <v>-0.60690814511381419</v>
      </c>
      <c r="N67" s="22">
        <f>('2019-2022'!N67-'2019-2022'!AA$2)/'2019-2022'!AA$3</f>
        <v>-1.9217291811371915E-2</v>
      </c>
      <c r="O67" s="22">
        <f>('2019-2022'!O67-'2019-2022'!AB$2)/'2019-2022'!AB$3</f>
        <v>-1.2892743564675873</v>
      </c>
      <c r="P67" s="22">
        <f>('2019-2022'!P67-'2019-2022'!AC$2)/'2019-2022'!AC$3</f>
        <v>3.3444071138097713E-2</v>
      </c>
    </row>
    <row r="68" spans="1:16">
      <c r="A68" s="4" t="s">
        <v>20</v>
      </c>
      <c r="B68" s="5">
        <v>2021</v>
      </c>
      <c r="C68" s="14" t="s">
        <v>55</v>
      </c>
      <c r="D68" s="14" t="s">
        <v>54</v>
      </c>
      <c r="E68" s="22">
        <f>('2019-2022'!E68-'2019-2022'!R$2)/'2019-2022'!R$3</f>
        <v>-1.477331504833961</v>
      </c>
      <c r="F68" s="22">
        <f>('2019-2022'!F68-'2019-2022'!S$2)/'2019-2022'!S$3</f>
        <v>-1.8922521650058137</v>
      </c>
      <c r="G68" s="22">
        <f>('2019-2022'!G68-'2019-2022'!T$2)/'2019-2022'!T$3</f>
        <v>1.800805127074395</v>
      </c>
      <c r="H68" s="22">
        <f>('2019-2022'!H68-'2019-2022'!U$2)/'2019-2022'!U$3</f>
        <v>-1.5150914773884101</v>
      </c>
      <c r="I68" s="22">
        <f>('2019-2022'!I68-'2019-2022'!V$2)/'2019-2022'!V$3</f>
        <v>-1.4252179062887707</v>
      </c>
      <c r="J68" s="22">
        <f>('2019-2022'!J68-'2019-2022'!W$2)/'2019-2022'!W$3</f>
        <v>0.11669762258911129</v>
      </c>
      <c r="K68" s="22">
        <f>('2019-2022'!K68-'2019-2022'!X$2)/'2019-2022'!X$3</f>
        <v>-1.467153761142225</v>
      </c>
      <c r="L68" s="22">
        <f>('2019-2022'!L68-'2019-2022'!Y$2)/'2019-2022'!Y$3</f>
        <v>0.15329685338418433</v>
      </c>
      <c r="M68" s="22">
        <f>('2019-2022'!M68-'2019-2022'!Z$2)/'2019-2022'!Z$3</f>
        <v>-0.1083790525088193</v>
      </c>
      <c r="N68" s="22">
        <f>('2019-2022'!N68-'2019-2022'!AA$2)/'2019-2022'!AA$3</f>
        <v>1.0883940164094494</v>
      </c>
      <c r="O68" s="22">
        <f>('2019-2022'!O68-'2019-2022'!AB$2)/'2019-2022'!AB$3</f>
        <v>-0.75860342472291831</v>
      </c>
      <c r="P68" s="22">
        <f>('2019-2022'!P68-'2019-2022'!AC$2)/'2019-2022'!AC$3</f>
        <v>1.7276900818617099E-2</v>
      </c>
    </row>
    <row r="69" spans="1:16">
      <c r="A69" s="4" t="s">
        <v>20</v>
      </c>
      <c r="B69" s="5">
        <v>2022</v>
      </c>
      <c r="C69" s="14" t="s">
        <v>55</v>
      </c>
      <c r="D69" s="14" t="s">
        <v>54</v>
      </c>
      <c r="E69" s="22">
        <f>('2019-2022'!E69-'2019-2022'!R$2)/'2019-2022'!R$3</f>
        <v>-1.47551310711812</v>
      </c>
      <c r="F69" s="22">
        <f>('2019-2022'!F69-'2019-2022'!S$2)/'2019-2022'!S$3</f>
        <v>-1.3309809733165621</v>
      </c>
      <c r="G69" s="22">
        <f>('2019-2022'!G69-'2019-2022'!T$2)/'2019-2022'!T$3</f>
        <v>2.919627286294725</v>
      </c>
      <c r="H69" s="22">
        <f>('2019-2022'!H69-'2019-2022'!U$2)/'2019-2022'!U$3</f>
        <v>-1.4573253446500412</v>
      </c>
      <c r="I69" s="22">
        <f>('2019-2022'!I69-'2019-2022'!V$2)/'2019-2022'!V$3</f>
        <v>-1.4510788670108972</v>
      </c>
      <c r="J69" s="22">
        <f>('2019-2022'!J69-'2019-2022'!W$2)/'2019-2022'!W$3</f>
        <v>-0.72487844376932808</v>
      </c>
      <c r="K69" s="22">
        <f>('2019-2022'!K69-'2019-2022'!X$2)/'2019-2022'!X$3</f>
        <v>-1.4991306638803821</v>
      </c>
      <c r="L69" s="22">
        <f>('2019-2022'!L69-'2019-2022'!Y$2)/'2019-2022'!Y$3</f>
        <v>-0.33607721579039512</v>
      </c>
      <c r="M69" s="22">
        <f>('2019-2022'!M69-'2019-2022'!Z$2)/'2019-2022'!Z$3</f>
        <v>1.3495447736186825</v>
      </c>
      <c r="N69" s="22">
        <f>('2019-2022'!N69-'2019-2022'!AA$2)/'2019-2022'!AA$3</f>
        <v>1.0735583088131171</v>
      </c>
      <c r="O69" s="22">
        <f>('2019-2022'!O69-'2019-2022'!AB$2)/'2019-2022'!AB$3</f>
        <v>-0.97892672386273782</v>
      </c>
      <c r="P69" s="22">
        <f>('2019-2022'!P69-'2019-2022'!AC$2)/'2019-2022'!AC$3</f>
        <v>3.5511572901859169E-2</v>
      </c>
    </row>
    <row r="70" spans="1:16">
      <c r="A70" s="4" t="s">
        <v>21</v>
      </c>
      <c r="B70" s="5">
        <v>2019</v>
      </c>
      <c r="C70" s="14" t="s">
        <v>56</v>
      </c>
      <c r="D70" s="14" t="s">
        <v>54</v>
      </c>
      <c r="E70" s="22">
        <f>('2019-2022'!E70-'2019-2022'!R$2)/'2019-2022'!R$3</f>
        <v>-0.11681913028245375</v>
      </c>
      <c r="F70" s="22">
        <f>('2019-2022'!F70-'2019-2022'!S$2)/'2019-2022'!S$3</f>
        <v>-1.0628920766571142</v>
      </c>
      <c r="G70" s="22">
        <f>('2019-2022'!G70-'2019-2022'!T$2)/'2019-2022'!T$3</f>
        <v>1.3169407894406151</v>
      </c>
      <c r="H70" s="22">
        <f>('2019-2022'!H70-'2019-2022'!U$2)/'2019-2022'!U$3</f>
        <v>-0.52783034391342321</v>
      </c>
      <c r="I70" s="22">
        <f>('2019-2022'!I70-'2019-2022'!V$2)/'2019-2022'!V$3</f>
        <v>-3.2927265837452195E-2</v>
      </c>
      <c r="J70" s="22">
        <f>('2019-2022'!J70-'2019-2022'!W$2)/'2019-2022'!W$3</f>
        <v>1.1627462179675576</v>
      </c>
      <c r="K70" s="22">
        <f>('2019-2022'!K70-'2019-2022'!X$2)/'2019-2022'!X$3</f>
        <v>1.4689914053796602</v>
      </c>
      <c r="L70" s="22">
        <f>('2019-2022'!L70-'2019-2022'!Y$2)/'2019-2022'!Y$3</f>
        <v>0.72399476312405775</v>
      </c>
      <c r="M70" s="22">
        <f>('2019-2022'!M70-'2019-2022'!Z$2)/'2019-2022'!Z$3</f>
        <v>-0.23905604974025246</v>
      </c>
      <c r="N70" s="22">
        <f>('2019-2022'!N70-'2019-2022'!AA$2)/'2019-2022'!AA$3</f>
        <v>1.2498873192487259</v>
      </c>
      <c r="O70" s="22">
        <f>('2019-2022'!O70-'2019-2022'!AB$2)/'2019-2022'!AB$3</f>
        <v>1.0112558645696188</v>
      </c>
      <c r="P70" s="22">
        <f>('2019-2022'!P70-'2019-2022'!AC$2)/'2019-2022'!AC$3</f>
        <v>0.17465138216270687</v>
      </c>
    </row>
    <row r="71" spans="1:16">
      <c r="A71" s="4" t="s">
        <v>21</v>
      </c>
      <c r="B71" s="5">
        <v>2020</v>
      </c>
      <c r="C71" s="14" t="s">
        <v>56</v>
      </c>
      <c r="D71" s="14" t="s">
        <v>54</v>
      </c>
      <c r="E71" s="22">
        <f>('2019-2022'!E71-'2019-2022'!R$2)/'2019-2022'!R$3</f>
        <v>0.52159554380345174</v>
      </c>
      <c r="F71" s="22">
        <f>('2019-2022'!F71-'2019-2022'!S$2)/'2019-2022'!S$3</f>
        <v>-0.36478910473525178</v>
      </c>
      <c r="G71" s="22">
        <f>('2019-2022'!G71-'2019-2022'!T$2)/'2019-2022'!T$3</f>
        <v>1.7747307553074418</v>
      </c>
      <c r="H71" s="22">
        <f>('2019-2022'!H71-'2019-2022'!U$2)/'2019-2022'!U$3</f>
        <v>0.36927916995320303</v>
      </c>
      <c r="I71" s="22">
        <f>('2019-2022'!I71-'2019-2022'!V$2)/'2019-2022'!V$3</f>
        <v>0.49045244637782126</v>
      </c>
      <c r="J71" s="22">
        <f>('2019-2022'!J71-'2019-2022'!W$2)/'2019-2022'!W$3</f>
        <v>0.66974689489071271</v>
      </c>
      <c r="K71" s="22">
        <f>('2019-2022'!K71-'2019-2022'!X$2)/'2019-2022'!X$3</f>
        <v>1.5815827341729334</v>
      </c>
      <c r="L71" s="22">
        <f>('2019-2022'!L71-'2019-2022'!Y$2)/'2019-2022'!Y$3</f>
        <v>5.9489297308115807E-2</v>
      </c>
      <c r="M71" s="22">
        <f>('2019-2022'!M71-'2019-2022'!Z$2)/'2019-2022'!Z$3</f>
        <v>-0.47567921930799911</v>
      </c>
      <c r="N71" s="22">
        <f>('2019-2022'!N71-'2019-2022'!AA$2)/'2019-2022'!AA$3</f>
        <v>1.0730844184399646</v>
      </c>
      <c r="O71" s="22">
        <f>('2019-2022'!O71-'2019-2022'!AB$2)/'2019-2022'!AB$3</f>
        <v>1.1130957431684059</v>
      </c>
      <c r="P71" s="22">
        <f>('2019-2022'!P71-'2019-2022'!AC$2)/'2019-2022'!AC$3</f>
        <v>0.24830258014658679</v>
      </c>
    </row>
    <row r="72" spans="1:16">
      <c r="A72" s="4" t="s">
        <v>21</v>
      </c>
      <c r="B72" s="5">
        <v>2021</v>
      </c>
      <c r="C72" s="14" t="s">
        <v>56</v>
      </c>
      <c r="D72" s="14" t="s">
        <v>54</v>
      </c>
      <c r="E72" s="22">
        <f>('2019-2022'!E72-'2019-2022'!R$2)/'2019-2022'!R$3</f>
        <v>0.20071430192028311</v>
      </c>
      <c r="F72" s="22">
        <f>('2019-2022'!F72-'2019-2022'!S$2)/'2019-2022'!S$3</f>
        <v>-0.60472889686795062</v>
      </c>
      <c r="G72" s="22">
        <f>('2019-2022'!G72-'2019-2022'!T$2)/'2019-2022'!T$3</f>
        <v>1.5444593963703699</v>
      </c>
      <c r="H72" s="22">
        <f>('2019-2022'!H72-'2019-2022'!U$2)/'2019-2022'!U$3</f>
        <v>-1.5410935082970938E-2</v>
      </c>
      <c r="I72" s="22">
        <f>('2019-2022'!I72-'2019-2022'!V$2)/'2019-2022'!V$3</f>
        <v>0.20407322810370288</v>
      </c>
      <c r="J72" s="22">
        <f>('2019-2022'!J72-'2019-2022'!W$2)/'2019-2022'!W$3</f>
        <v>0.85155845285164067</v>
      </c>
      <c r="K72" s="22">
        <f>('2019-2022'!K72-'2019-2022'!X$2)/'2019-2022'!X$3</f>
        <v>1.7285587802875981</v>
      </c>
      <c r="L72" s="22">
        <f>('2019-2022'!L72-'2019-2022'!Y$2)/'2019-2022'!Y$3</f>
        <v>0.28467861460409638</v>
      </c>
      <c r="M72" s="22">
        <f>('2019-2022'!M72-'2019-2022'!Z$2)/'2019-2022'!Z$3</f>
        <v>-0.69197888601507607</v>
      </c>
      <c r="N72" s="22">
        <f>('2019-2022'!N72-'2019-2022'!AA$2)/'2019-2022'!AA$3</f>
        <v>1.1547397921993714</v>
      </c>
      <c r="O72" s="22">
        <f>('2019-2022'!O72-'2019-2022'!AB$2)/'2019-2022'!AB$3</f>
        <v>1.0621243922619668</v>
      </c>
      <c r="P72" s="22">
        <f>('2019-2022'!P72-'2019-2022'!AC$2)/'2019-2022'!AC$3</f>
        <v>0.24683731220799465</v>
      </c>
    </row>
    <row r="73" spans="1:16">
      <c r="A73" s="4" t="s">
        <v>21</v>
      </c>
      <c r="B73" s="5">
        <v>2022</v>
      </c>
      <c r="C73" s="14" t="s">
        <v>56</v>
      </c>
      <c r="D73" s="14" t="s">
        <v>54</v>
      </c>
      <c r="E73" s="22">
        <f>('2019-2022'!E73-'2019-2022'!R$2)/'2019-2022'!R$3</f>
        <v>-0.62792031906604129</v>
      </c>
      <c r="F73" s="22">
        <f>('2019-2022'!F73-'2019-2022'!S$2)/'2019-2022'!S$3</f>
        <v>-1.3287611825962302</v>
      </c>
      <c r="G73" s="22">
        <f>('2019-2022'!G73-'2019-2022'!T$2)/'2019-2022'!T$3</f>
        <v>0.60596080924928852</v>
      </c>
      <c r="H73" s="22">
        <f>('2019-2022'!H73-'2019-2022'!U$2)/'2019-2022'!U$3</f>
        <v>-0.74956476186310161</v>
      </c>
      <c r="I73" s="22">
        <f>('2019-2022'!I73-'2019-2022'!V$2)/'2019-2022'!V$3</f>
        <v>-0.6592108445547834</v>
      </c>
      <c r="J73" s="22">
        <f>('2019-2022'!J73-'2019-2022'!W$2)/'2019-2022'!W$3</f>
        <v>0.38364272940956839</v>
      </c>
      <c r="K73" s="22">
        <f>('2019-2022'!K73-'2019-2022'!X$2)/'2019-2022'!X$3</f>
        <v>1.1139222166132066</v>
      </c>
      <c r="L73" s="22">
        <f>('2019-2022'!L73-'2019-2022'!Y$2)/'2019-2022'!Y$3</f>
        <v>0.8441366265855933</v>
      </c>
      <c r="M73" s="22">
        <f>('2019-2022'!M73-'2019-2022'!Z$2)/'2019-2022'!Z$3</f>
        <v>-0.36823598160199106</v>
      </c>
      <c r="N73" s="22">
        <f>('2019-2022'!N73-'2019-2022'!AA$2)/'2019-2022'!AA$3</f>
        <v>1.5349163037243196</v>
      </c>
      <c r="O73" s="22">
        <f>('2019-2022'!O73-'2019-2022'!AB$2)/'2019-2022'!AB$3</f>
        <v>1.097819816819404</v>
      </c>
      <c r="P73" s="22">
        <f>('2019-2022'!P73-'2019-2022'!AC$2)/'2019-2022'!AC$3</f>
        <v>0.30330642154521747</v>
      </c>
    </row>
    <row r="74" spans="1:16">
      <c r="A74" s="4" t="s">
        <v>22</v>
      </c>
      <c r="B74" s="5">
        <v>2019</v>
      </c>
      <c r="C74" s="14" t="s">
        <v>56</v>
      </c>
      <c r="D74" s="14" t="s">
        <v>54</v>
      </c>
      <c r="E74" s="22">
        <f>('2019-2022'!E74-'2019-2022'!R$2)/'2019-2022'!R$3</f>
        <v>-0.4796862464878705</v>
      </c>
      <c r="F74" s="22">
        <f>('2019-2022'!F74-'2019-2022'!S$2)/'2019-2022'!S$3</f>
        <v>-0.77249853763372156</v>
      </c>
      <c r="G74" s="22">
        <f>('2019-2022'!G74-'2019-2022'!T$2)/'2019-2022'!T$3</f>
        <v>-1.1975790669422233</v>
      </c>
      <c r="H74" s="22">
        <f>('2019-2022'!H74-'2019-2022'!U$2)/'2019-2022'!U$3</f>
        <v>-0.42831595329882405</v>
      </c>
      <c r="I74" s="22">
        <f>('2019-2022'!I74-'2019-2022'!V$2)/'2019-2022'!V$3</f>
        <v>-0.49992905726729286</v>
      </c>
      <c r="J74" s="22">
        <f>('2019-2022'!J74-'2019-2022'!W$2)/'2019-2022'!W$3</f>
        <v>1.6765761187106147</v>
      </c>
      <c r="K74" s="22">
        <f>('2019-2022'!K74-'2019-2022'!X$2)/'2019-2022'!X$3</f>
        <v>0.53891610480083474</v>
      </c>
      <c r="L74" s="22">
        <f>('2019-2022'!L74-'2019-2022'!Y$2)/'2019-2022'!Y$3</f>
        <v>2.0804526747812644</v>
      </c>
      <c r="M74" s="22">
        <f>('2019-2022'!M74-'2019-2022'!Z$2)/'2019-2022'!Z$3</f>
        <v>-0.22907007162620052</v>
      </c>
      <c r="N74" s="22">
        <f>('2019-2022'!N74-'2019-2022'!AA$2)/'2019-2022'!AA$3</f>
        <v>1.1548994411518947</v>
      </c>
      <c r="O74" s="22">
        <f>('2019-2022'!O74-'2019-2022'!AB$2)/'2019-2022'!AB$3</f>
        <v>0.3481556123210503</v>
      </c>
      <c r="P74" s="22">
        <f>('2019-2022'!P74-'2019-2022'!AC$2)/'2019-2022'!AC$3</f>
        <v>-0.65483481263746879</v>
      </c>
    </row>
    <row r="75" spans="1:16">
      <c r="A75" s="4" t="s">
        <v>22</v>
      </c>
      <c r="B75" s="5">
        <v>2020</v>
      </c>
      <c r="C75" s="14" t="s">
        <v>56</v>
      </c>
      <c r="D75" s="14" t="s">
        <v>54</v>
      </c>
      <c r="E75" s="22">
        <f>('2019-2022'!E75-'2019-2022'!R$2)/'2019-2022'!R$3</f>
        <v>0.39969284472700117</v>
      </c>
      <c r="F75" s="22">
        <f>('2019-2022'!F75-'2019-2022'!S$2)/'2019-2022'!S$3</f>
        <v>-0.43367254263268679</v>
      </c>
      <c r="G75" s="22">
        <f>('2019-2022'!G75-'2019-2022'!T$2)/'2019-2022'!T$3</f>
        <v>-0.17529755992766211</v>
      </c>
      <c r="H75" s="22">
        <f>('2019-2022'!H75-'2019-2022'!U$2)/'2019-2022'!U$3</f>
        <v>0.16704664213204162</v>
      </c>
      <c r="I75" s="22">
        <f>('2019-2022'!I75-'2019-2022'!V$2)/'2019-2022'!V$3</f>
        <v>0.50615695396573279</v>
      </c>
      <c r="J75" s="22">
        <f>('2019-2022'!J75-'2019-2022'!W$2)/'2019-2022'!W$3</f>
        <v>1.9111713948107603</v>
      </c>
      <c r="K75" s="22">
        <f>('2019-2022'!K75-'2019-2022'!X$2)/'2019-2022'!X$3</f>
        <v>0.36802326754656933</v>
      </c>
      <c r="L75" s="22">
        <f>('2019-2022'!L75-'2019-2022'!Y$2)/'2019-2022'!Y$3</f>
        <v>0.38162128778756549</v>
      </c>
      <c r="M75" s="22">
        <f>('2019-2022'!M75-'2019-2022'!Z$2)/'2019-2022'!Z$3</f>
        <v>0.32807523625126844</v>
      </c>
      <c r="N75" s="22">
        <f>('2019-2022'!N75-'2019-2022'!AA$2)/'2019-2022'!AA$3</f>
        <v>2.038912793244283</v>
      </c>
      <c r="O75" s="22">
        <f>('2019-2022'!O75-'2019-2022'!AB$2)/'2019-2022'!AB$3</f>
        <v>1.6950093291539763</v>
      </c>
      <c r="P75" s="22">
        <f>('2019-2022'!P75-'2019-2022'!AC$2)/'2019-2022'!AC$3</f>
        <v>-0.66314248480192328</v>
      </c>
    </row>
    <row r="76" spans="1:16">
      <c r="A76" s="4" t="s">
        <v>22</v>
      </c>
      <c r="B76" s="5">
        <v>2021</v>
      </c>
      <c r="C76" s="14" t="s">
        <v>56</v>
      </c>
      <c r="D76" s="14" t="s">
        <v>54</v>
      </c>
      <c r="E76" s="22">
        <f>('2019-2022'!E76-'2019-2022'!R$2)/'2019-2022'!R$3</f>
        <v>0.58835777436851899</v>
      </c>
      <c r="F76" s="22">
        <f>('2019-2022'!F76-'2019-2022'!S$2)/'2019-2022'!S$3</f>
        <v>-0.40605324607148696</v>
      </c>
      <c r="G76" s="22">
        <f>('2019-2022'!G76-'2019-2022'!T$2)/'2019-2022'!T$3</f>
        <v>-0.45018718842751931</v>
      </c>
      <c r="H76" s="22">
        <f>('2019-2022'!H76-'2019-2022'!U$2)/'2019-2022'!U$3</f>
        <v>0.43366029572569886</v>
      </c>
      <c r="I76" s="22">
        <f>('2019-2022'!I76-'2019-2022'!V$2)/'2019-2022'!V$3</f>
        <v>0.64196110517128768</v>
      </c>
      <c r="J76" s="22">
        <f>('2019-2022'!J76-'2019-2022'!W$2)/'2019-2022'!W$3</f>
        <v>2.1886612179945284</v>
      </c>
      <c r="K76" s="22">
        <f>('2019-2022'!K76-'2019-2022'!X$2)/'2019-2022'!X$3</f>
        <v>-0.25766847877378191</v>
      </c>
      <c r="L76" s="22">
        <f>('2019-2022'!L76-'2019-2022'!Y$2)/'2019-2022'!Y$3</f>
        <v>0.42209640700257939</v>
      </c>
      <c r="M76" s="22">
        <f>('2019-2022'!M76-'2019-2022'!Z$2)/'2019-2022'!Z$3</f>
        <v>0.84296937402581507</v>
      </c>
      <c r="N76" s="22">
        <f>('2019-2022'!N76-'2019-2022'!AA$2)/'2019-2022'!AA$3</f>
        <v>2.2976301239026391</v>
      </c>
      <c r="O76" s="22">
        <f>('2019-2022'!O76-'2019-2022'!AB$2)/'2019-2022'!AB$3</f>
        <v>1.7993255852901424</v>
      </c>
      <c r="P76" s="22">
        <f>('2019-2022'!P76-'2019-2022'!AC$2)/'2019-2022'!AC$3</f>
        <v>-0.37158380759917486</v>
      </c>
    </row>
    <row r="77" spans="1:16">
      <c r="A77" s="4" t="s">
        <v>22</v>
      </c>
      <c r="B77" s="5">
        <v>2022</v>
      </c>
      <c r="C77" s="14" t="s">
        <v>56</v>
      </c>
      <c r="D77" s="14" t="s">
        <v>54</v>
      </c>
      <c r="E77" s="22">
        <f>('2019-2022'!E77-'2019-2022'!R$2)/'2019-2022'!R$3</f>
        <v>0.57431067790781609</v>
      </c>
      <c r="F77" s="22">
        <f>('2019-2022'!F77-'2019-2022'!S$2)/'2019-2022'!S$3</f>
        <v>-2.6678535349159493E-2</v>
      </c>
      <c r="G77" s="22">
        <f>('2019-2022'!G77-'2019-2022'!T$2)/'2019-2022'!T$3</f>
        <v>-0.8118779888748362</v>
      </c>
      <c r="H77" s="22">
        <f>('2019-2022'!H77-'2019-2022'!U$2)/'2019-2022'!U$3</f>
        <v>0.86929616240637519</v>
      </c>
      <c r="I77" s="22">
        <f>('2019-2022'!I77-'2019-2022'!V$2)/'2019-2022'!V$3</f>
        <v>0.36977924777888371</v>
      </c>
      <c r="J77" s="22">
        <f>('2019-2022'!J77-'2019-2022'!W$2)/'2019-2022'!W$3</f>
        <v>2.0262285851180168</v>
      </c>
      <c r="K77" s="22">
        <f>('2019-2022'!K77-'2019-2022'!X$2)/'2019-2022'!X$3</f>
        <v>0.57219313827292095</v>
      </c>
      <c r="L77" s="22">
        <f>('2019-2022'!L77-'2019-2022'!Y$2)/'2019-2022'!Y$3</f>
        <v>2.4599429133366142</v>
      </c>
      <c r="M77" s="22">
        <f>('2019-2022'!M77-'2019-2022'!Z$2)/'2019-2022'!Z$3</f>
        <v>1.3320799472796623</v>
      </c>
      <c r="N77" s="22">
        <f>('2019-2022'!N77-'2019-2022'!AA$2)/'2019-2022'!AA$3</f>
        <v>1.9866086960204481</v>
      </c>
      <c r="O77" s="22">
        <f>('2019-2022'!O77-'2019-2022'!AB$2)/'2019-2022'!AB$3</f>
        <v>1.8339826374708144</v>
      </c>
      <c r="P77" s="22">
        <f>('2019-2022'!P77-'2019-2022'!AC$2)/'2019-2022'!AC$3</f>
        <v>-0.14510921567884041</v>
      </c>
    </row>
    <row r="78" spans="1:16">
      <c r="A78" s="4" t="s">
        <v>23</v>
      </c>
      <c r="B78" s="5">
        <v>2019</v>
      </c>
      <c r="C78" s="14" t="s">
        <v>55</v>
      </c>
      <c r="D78" s="14" t="s">
        <v>54</v>
      </c>
      <c r="E78" s="22">
        <f>('2019-2022'!E78-'2019-2022'!R$2)/'2019-2022'!R$3</f>
        <v>0.57451512807530991</v>
      </c>
      <c r="F78" s="22">
        <f>('2019-2022'!F78-'2019-2022'!S$2)/'2019-2022'!S$3</f>
        <v>8.0033607025329981E-2</v>
      </c>
      <c r="G78" s="22">
        <f>('2019-2022'!G78-'2019-2022'!T$2)/'2019-2022'!T$3</f>
        <v>-7.1549506092293186E-2</v>
      </c>
      <c r="H78" s="22">
        <f>('2019-2022'!H78-'2019-2022'!U$2)/'2019-2022'!U$3</f>
        <v>0.78197576198981467</v>
      </c>
      <c r="I78" s="22">
        <f>('2019-2022'!I78-'2019-2022'!V$2)/'2019-2022'!V$3</f>
        <v>0.41835346415711228</v>
      </c>
      <c r="J78" s="22">
        <f>('2019-2022'!J78-'2019-2022'!W$2)/'2019-2022'!W$3</f>
        <v>-0.36629656538283684</v>
      </c>
      <c r="K78" s="22">
        <f>('2019-2022'!K78-'2019-2022'!X$2)/'2019-2022'!X$3</f>
        <v>-0.45682604149859374</v>
      </c>
      <c r="L78" s="22">
        <f>('2019-2022'!L78-'2019-2022'!Y$2)/'2019-2022'!Y$3</f>
        <v>0.90724670122272999</v>
      </c>
      <c r="M78" s="22">
        <f>('2019-2022'!M78-'2019-2022'!Z$2)/'2019-2022'!Z$3</f>
        <v>5.368229801750923E-3</v>
      </c>
      <c r="N78" s="22">
        <f>('2019-2022'!N78-'2019-2022'!AA$2)/'2019-2022'!AA$3</f>
        <v>-0.84428424080381292</v>
      </c>
      <c r="O78" s="22">
        <f>('2019-2022'!O78-'2019-2022'!AB$2)/'2019-2022'!AB$3</f>
        <v>-1.4349481969970819</v>
      </c>
      <c r="P78" s="22">
        <f>('2019-2022'!P78-'2019-2022'!AC$2)/'2019-2022'!AC$3</f>
        <v>9.0206886743635362E-2</v>
      </c>
    </row>
    <row r="79" spans="1:16">
      <c r="A79" s="4" t="s">
        <v>23</v>
      </c>
      <c r="B79" s="5">
        <v>2020</v>
      </c>
      <c r="C79" s="14" t="s">
        <v>55</v>
      </c>
      <c r="D79" s="14" t="s">
        <v>54</v>
      </c>
      <c r="E79" s="22">
        <f>('2019-2022'!E79-'2019-2022'!R$2)/'2019-2022'!R$3</f>
        <v>0.62918796120300535</v>
      </c>
      <c r="F79" s="22">
        <f>('2019-2022'!F79-'2019-2022'!S$2)/'2019-2022'!S$3</f>
        <v>1.9052279654765369E-2</v>
      </c>
      <c r="G79" s="22">
        <f>('2019-2022'!G79-'2019-2022'!T$2)/'2019-2022'!T$3</f>
        <v>0.2741577771726747</v>
      </c>
      <c r="H79" s="22">
        <f>('2019-2022'!H79-'2019-2022'!U$2)/'2019-2022'!U$3</f>
        <v>0.88730677028463978</v>
      </c>
      <c r="I79" s="22">
        <f>('2019-2022'!I79-'2019-2022'!V$2)/'2019-2022'!V$3</f>
        <v>0.44666679443972707</v>
      </c>
      <c r="J79" s="22">
        <f>('2019-2022'!J79-'2019-2022'!W$2)/'2019-2022'!W$3</f>
        <v>-0.13915131396975886</v>
      </c>
      <c r="K79" s="22">
        <f>('2019-2022'!K79-'2019-2022'!X$2)/'2019-2022'!X$3</f>
        <v>-0.45247213016647231</v>
      </c>
      <c r="L79" s="22">
        <f>('2019-2022'!L79-'2019-2022'!Y$2)/'2019-2022'!Y$3</f>
        <v>1.3621824553439199</v>
      </c>
      <c r="M79" s="22">
        <f>('2019-2022'!M79-'2019-2022'!Z$2)/'2019-2022'!Z$3</f>
        <v>0.13458089346378296</v>
      </c>
      <c r="N79" s="22">
        <f>('2019-2022'!N79-'2019-2022'!AA$2)/'2019-2022'!AA$3</f>
        <v>-0.5860858169938008</v>
      </c>
      <c r="O79" s="22">
        <f>('2019-2022'!O79-'2019-2022'!AB$2)/'2019-2022'!AB$3</f>
        <v>-1.1201614422907702</v>
      </c>
      <c r="P79" s="22">
        <f>('2019-2022'!P79-'2019-2022'!AC$2)/'2019-2022'!AC$3</f>
        <v>-6.975968839345581E-2</v>
      </c>
    </row>
    <row r="80" spans="1:16">
      <c r="A80" s="4" t="s">
        <v>23</v>
      </c>
      <c r="B80" s="5">
        <v>2021</v>
      </c>
      <c r="C80" s="14" t="s">
        <v>55</v>
      </c>
      <c r="D80" s="14" t="s">
        <v>54</v>
      </c>
      <c r="E80" s="22">
        <f>('2019-2022'!E80-'2019-2022'!R$2)/'2019-2022'!R$3</f>
        <v>-0.78017086936284341</v>
      </c>
      <c r="F80" s="22">
        <f>('2019-2022'!F80-'2019-2022'!S$2)/'2019-2022'!S$3</f>
        <v>-1.1445508904442308</v>
      </c>
      <c r="G80" s="22">
        <f>('2019-2022'!G80-'2019-2022'!T$2)/'2019-2022'!T$3</f>
        <v>0.38179033186455691</v>
      </c>
      <c r="H80" s="22">
        <f>('2019-2022'!H80-'2019-2022'!U$2)/'2019-2022'!U$3</f>
        <v>-1.0151017442877501</v>
      </c>
      <c r="I80" s="22">
        <f>('2019-2022'!I80-'2019-2022'!V$2)/'2019-2022'!V$3</f>
        <v>-0.65720148450791949</v>
      </c>
      <c r="J80" s="22">
        <f>('2019-2022'!J80-'2019-2022'!W$2)/'2019-2022'!W$3</f>
        <v>-1.1365440326554574</v>
      </c>
      <c r="K80" s="22">
        <f>('2019-2022'!K80-'2019-2022'!X$2)/'2019-2022'!X$3</f>
        <v>-1.2037562059865903</v>
      </c>
      <c r="L80" s="22">
        <f>('2019-2022'!L80-'2019-2022'!Y$2)/'2019-2022'!Y$3</f>
        <v>0.14690911322336231</v>
      </c>
      <c r="M80" s="22">
        <f>('2019-2022'!M80-'2019-2022'!Z$2)/'2019-2022'!Z$3</f>
        <v>0.99657294136226193</v>
      </c>
      <c r="N80" s="22">
        <f>('2019-2022'!N80-'2019-2022'!AA$2)/'2019-2022'!AA$3</f>
        <v>-0.98458654352487507</v>
      </c>
      <c r="O80" s="22">
        <f>('2019-2022'!O80-'2019-2022'!AB$2)/'2019-2022'!AB$3</f>
        <v>-1.6778314505964951</v>
      </c>
      <c r="P80" s="22">
        <f>('2019-2022'!P80-'2019-2022'!AC$2)/'2019-2022'!AC$3</f>
        <v>0.10920478719912292</v>
      </c>
    </row>
    <row r="81" spans="1:16">
      <c r="A81" s="4" t="s">
        <v>23</v>
      </c>
      <c r="B81" s="5">
        <v>2022</v>
      </c>
      <c r="C81" s="14" t="s">
        <v>55</v>
      </c>
      <c r="D81" s="14" t="s">
        <v>54</v>
      </c>
      <c r="E81" s="22">
        <f>('2019-2022'!E81-'2019-2022'!R$2)/'2019-2022'!R$3</f>
        <v>-0.11713664371918259</v>
      </c>
      <c r="F81" s="22">
        <f>('2019-2022'!F81-'2019-2022'!S$2)/'2019-2022'!S$3</f>
        <v>-0.76930816278944714</v>
      </c>
      <c r="G81" s="22">
        <f>('2019-2022'!G81-'2019-2022'!T$2)/'2019-2022'!T$3</f>
        <v>-0.27369630130598804</v>
      </c>
      <c r="H81" s="22">
        <f>('2019-2022'!H81-'2019-2022'!U$2)/'2019-2022'!U$3</f>
        <v>-0.29855749395591136</v>
      </c>
      <c r="I81" s="22">
        <f>('2019-2022'!I81-'2019-2022'!V$2)/'2019-2022'!V$3</f>
        <v>-4.6381872189345516E-2</v>
      </c>
      <c r="J81" s="22">
        <f>('2019-2022'!J81-'2019-2022'!W$2)/'2019-2022'!W$3</f>
        <v>-1.0624061261407942</v>
      </c>
      <c r="K81" s="22">
        <f>('2019-2022'!K81-'2019-2022'!X$2)/'2019-2022'!X$3</f>
        <v>-0.87967520521602882</v>
      </c>
      <c r="L81" s="22">
        <f>('2019-2022'!L81-'2019-2022'!Y$2)/'2019-2022'!Y$3</f>
        <v>0.51483641499783184</v>
      </c>
      <c r="M81" s="22">
        <f>('2019-2022'!M81-'2019-2022'!Z$2)/'2019-2022'!Z$3</f>
        <v>0.81110456283309085</v>
      </c>
      <c r="N81" s="22">
        <f>('2019-2022'!N81-'2019-2022'!AA$2)/'2019-2022'!AA$3</f>
        <v>-1.1972124062096328</v>
      </c>
      <c r="O81" s="22">
        <f>('2019-2022'!O81-'2019-2022'!AB$2)/'2019-2022'!AB$3</f>
        <v>-0.91320118849500431</v>
      </c>
      <c r="P81" s="22">
        <f>('2019-2022'!P81-'2019-2022'!AC$2)/'2019-2022'!AC$3</f>
        <v>8.8759703496564465E-2</v>
      </c>
    </row>
    <row r="82" spans="1:16">
      <c r="A82" s="4" t="s">
        <v>24</v>
      </c>
      <c r="B82" s="5">
        <v>2019</v>
      </c>
      <c r="C82" s="14" t="s">
        <v>55</v>
      </c>
      <c r="D82" s="14" t="s">
        <v>54</v>
      </c>
      <c r="E82" s="22">
        <f>('2019-2022'!E82-'2019-2022'!R$2)/'2019-2022'!R$3</f>
        <v>-0.54096629366629356</v>
      </c>
      <c r="F82" s="22">
        <f>('2019-2022'!F82-'2019-2022'!S$2)/'2019-2022'!S$3</f>
        <v>-1.5369666192159528</v>
      </c>
      <c r="G82" s="22">
        <f>('2019-2022'!G82-'2019-2022'!T$2)/'2019-2022'!T$3</f>
        <v>0.26750529500321901</v>
      </c>
      <c r="H82" s="22">
        <f>('2019-2022'!H82-'2019-2022'!U$2)/'2019-2022'!U$3</f>
        <v>-1.113756535357582</v>
      </c>
      <c r="I82" s="22">
        <f>('2019-2022'!I82-'2019-2022'!V$2)/'2019-2022'!V$3</f>
        <v>-0.22576204502972202</v>
      </c>
      <c r="J82" s="22">
        <f>('2019-2022'!J82-'2019-2022'!W$2)/'2019-2022'!W$3</f>
        <v>-6.591897095677221E-2</v>
      </c>
      <c r="K82" s="22">
        <f>('2019-2022'!K82-'2019-2022'!X$2)/'2019-2022'!X$3</f>
        <v>-0.65980833532961147</v>
      </c>
      <c r="L82" s="22">
        <f>('2019-2022'!L82-'2019-2022'!Y$2)/'2019-2022'!Y$3</f>
        <v>0.58743193740092348</v>
      </c>
      <c r="M82" s="22">
        <f>('2019-2022'!M82-'2019-2022'!Z$2)/'2019-2022'!Z$3</f>
        <v>-0.21551834999917915</v>
      </c>
      <c r="N82" s="22">
        <f>('2019-2022'!N82-'2019-2022'!AA$2)/'2019-2022'!AA$3</f>
        <v>-0.23283605835500767</v>
      </c>
      <c r="O82" s="22">
        <f>('2019-2022'!O82-'2019-2022'!AB$2)/'2019-2022'!AB$3</f>
        <v>0.75071643542824695</v>
      </c>
      <c r="P82" s="22">
        <f>('2019-2022'!P82-'2019-2022'!AC$2)/'2019-2022'!AC$3</f>
        <v>0.30440659627527955</v>
      </c>
    </row>
    <row r="83" spans="1:16">
      <c r="A83" s="4" t="s">
        <v>24</v>
      </c>
      <c r="B83" s="5">
        <v>2020</v>
      </c>
      <c r="C83" s="14" t="s">
        <v>55</v>
      </c>
      <c r="D83" s="14" t="s">
        <v>54</v>
      </c>
      <c r="E83" s="22">
        <f>('2019-2022'!E83-'2019-2022'!R$2)/'2019-2022'!R$3</f>
        <v>-0.73386618264635584</v>
      </c>
      <c r="F83" s="22">
        <f>('2019-2022'!F83-'2019-2022'!S$2)/'2019-2022'!S$3</f>
        <v>-1.4208028579084677</v>
      </c>
      <c r="G83" s="22">
        <f>('2019-2022'!G83-'2019-2022'!T$2)/'2019-2022'!T$3</f>
        <v>0.68147665202308383</v>
      </c>
      <c r="H83" s="22">
        <f>('2019-2022'!H83-'2019-2022'!U$2)/'2019-2022'!U$3</f>
        <v>-1.1630482065440928</v>
      </c>
      <c r="I83" s="22">
        <f>('2019-2022'!I83-'2019-2022'!V$2)/'2019-2022'!V$3</f>
        <v>-0.48455635173725808</v>
      </c>
      <c r="J83" s="22">
        <f>('2019-2022'!J83-'2019-2022'!W$2)/'2019-2022'!W$3</f>
        <v>6.692928381446353E-2</v>
      </c>
      <c r="K83" s="22">
        <f>('2019-2022'!K83-'2019-2022'!X$2)/'2019-2022'!X$3</f>
        <v>-0.86763845252561222</v>
      </c>
      <c r="L83" s="22">
        <f>('2019-2022'!L83-'2019-2022'!Y$2)/'2019-2022'!Y$3</f>
        <v>0.41812100127231483</v>
      </c>
      <c r="M83" s="22">
        <f>('2019-2022'!M83-'2019-2022'!Z$2)/'2019-2022'!Z$3</f>
        <v>0.2965901598879912</v>
      </c>
      <c r="N83" s="22">
        <f>('2019-2022'!N83-'2019-2022'!AA$2)/'2019-2022'!AA$3</f>
        <v>-0.5268482988297194</v>
      </c>
      <c r="O83" s="22">
        <f>('2019-2022'!O83-'2019-2022'!AB$2)/'2019-2022'!AB$3</f>
        <v>0.83768871496150976</v>
      </c>
      <c r="P83" s="22">
        <f>('2019-2022'!P83-'2019-2022'!AC$2)/'2019-2022'!AC$3</f>
        <v>0.21851124628078319</v>
      </c>
    </row>
    <row r="84" spans="1:16">
      <c r="A84" s="4" t="s">
        <v>24</v>
      </c>
      <c r="B84" s="5">
        <v>2021</v>
      </c>
      <c r="C84" s="14" t="s">
        <v>55</v>
      </c>
      <c r="D84" s="14" t="s">
        <v>54</v>
      </c>
      <c r="E84" s="22">
        <f>('2019-2022'!E84-'2019-2022'!R$2)/'2019-2022'!R$3</f>
        <v>-0.27248040369258858</v>
      </c>
      <c r="F84" s="22">
        <f>('2019-2022'!F84-'2019-2022'!S$2)/'2019-2022'!S$3</f>
        <v>0.14676420429147322</v>
      </c>
      <c r="G84" s="22">
        <f>('2019-2022'!G84-'2019-2022'!T$2)/'2019-2022'!T$3</f>
        <v>0.73008550119324445</v>
      </c>
      <c r="H84" s="22">
        <f>('2019-2022'!H84-'2019-2022'!U$2)/'2019-2022'!U$3</f>
        <v>-0.28139126092040151</v>
      </c>
      <c r="I84" s="22">
        <f>('2019-2022'!I84-'2019-2022'!V$2)/'2019-2022'!V$3</f>
        <v>-0.26849743353584266</v>
      </c>
      <c r="J84" s="22">
        <f>('2019-2022'!J84-'2019-2022'!W$2)/'2019-2022'!W$3</f>
        <v>8.0000991231011336E-3</v>
      </c>
      <c r="K84" s="22">
        <f>('2019-2022'!K84-'2019-2022'!X$2)/'2019-2022'!X$3</f>
        <v>-0.69121892415090602</v>
      </c>
      <c r="L84" s="22">
        <f>('2019-2022'!L84-'2019-2022'!Y$2)/'2019-2022'!Y$3</f>
        <v>0.19652302712337055</v>
      </c>
      <c r="M84" s="22">
        <f>('2019-2022'!M84-'2019-2022'!Z$2)/'2019-2022'!Z$3</f>
        <v>-8.2698587877654176E-2</v>
      </c>
      <c r="N84" s="22">
        <f>('2019-2022'!N84-'2019-2022'!AA$2)/'2019-2022'!AA$3</f>
        <v>-2.5931452295883742E-2</v>
      </c>
      <c r="O84" s="22">
        <f>('2019-2022'!O84-'2019-2022'!AB$2)/'2019-2022'!AB$3</f>
        <v>0.90690791244937285</v>
      </c>
      <c r="P84" s="22">
        <f>('2019-2022'!P84-'2019-2022'!AC$2)/'2019-2022'!AC$3</f>
        <v>0.22921452818374144</v>
      </c>
    </row>
    <row r="85" spans="1:16">
      <c r="A85" s="4" t="s">
        <v>24</v>
      </c>
      <c r="B85" s="5">
        <v>2022</v>
      </c>
      <c r="C85" s="14" t="s">
        <v>55</v>
      </c>
      <c r="D85" s="14" t="s">
        <v>54</v>
      </c>
      <c r="E85" s="22">
        <f>('2019-2022'!E85-'2019-2022'!R$2)/'2019-2022'!R$3</f>
        <v>-0.12401739078500258</v>
      </c>
      <c r="F85" s="22">
        <f>('2019-2022'!F85-'2019-2022'!S$2)/'2019-2022'!S$3</f>
        <v>-0.26455247823331063</v>
      </c>
      <c r="G85" s="22">
        <f>('2019-2022'!G85-'2019-2022'!T$2)/'2019-2022'!T$3</f>
        <v>0.34142015584265994</v>
      </c>
      <c r="H85" s="22">
        <f>('2019-2022'!H85-'2019-2022'!U$2)/'2019-2022'!U$3</f>
        <v>-0.25626185941314072</v>
      </c>
      <c r="I85" s="22">
        <f>('2019-2022'!I85-'2019-2022'!V$2)/'2019-2022'!V$3</f>
        <v>-5.7006206706812328E-2</v>
      </c>
      <c r="J85" s="22">
        <f>('2019-2022'!J85-'2019-2022'!W$2)/'2019-2022'!W$3</f>
        <v>0.29967285980879704</v>
      </c>
      <c r="K85" s="22">
        <f>('2019-2022'!K85-'2019-2022'!X$2)/'2019-2022'!X$3</f>
        <v>-0.62232962852612728</v>
      </c>
      <c r="L85" s="22">
        <f>('2019-2022'!L85-'2019-2022'!Y$2)/'2019-2022'!Y$3</f>
        <v>0.12035377432452288</v>
      </c>
      <c r="M85" s="22">
        <f>('2019-2022'!M85-'2019-2022'!Z$2)/'2019-2022'!Z$3</f>
        <v>0.37210518841678791</v>
      </c>
      <c r="N85" s="22">
        <f>('2019-2022'!N85-'2019-2022'!AA$2)/'2019-2022'!AA$3</f>
        <v>0.15748163656690722</v>
      </c>
      <c r="O85" s="22">
        <f>('2019-2022'!O85-'2019-2022'!AB$2)/'2019-2022'!AB$3</f>
        <v>1.1411720378954677</v>
      </c>
      <c r="P85" s="22">
        <f>('2019-2022'!P85-'2019-2022'!AC$2)/'2019-2022'!AC$3</f>
        <v>0.10376727795669902</v>
      </c>
    </row>
    <row r="86" spans="1:16">
      <c r="A86" s="4" t="s">
        <v>25</v>
      </c>
      <c r="B86" s="5">
        <v>2019</v>
      </c>
      <c r="C86" s="14" t="s">
        <v>60</v>
      </c>
      <c r="D86" s="14" t="s">
        <v>52</v>
      </c>
      <c r="E86" s="22">
        <f>('2019-2022'!E86-'2019-2022'!R$2)/'2019-2022'!R$3</f>
        <v>-0.45136250925599036</v>
      </c>
      <c r="F86" s="22">
        <f>('2019-2022'!F86-'2019-2022'!S$2)/'2019-2022'!S$3</f>
        <v>0.11233043455466923</v>
      </c>
      <c r="G86" s="22">
        <f>('2019-2022'!G86-'2019-2022'!T$2)/'2019-2022'!T$3</f>
        <v>0.60143989205988979</v>
      </c>
      <c r="H86" s="22">
        <f>('2019-2022'!H86-'2019-2022'!U$2)/'2019-2022'!U$3</f>
        <v>-0.51293478822104932</v>
      </c>
      <c r="I86" s="22">
        <f>('2019-2022'!I86-'2019-2022'!V$2)/'2019-2022'!V$3</f>
        <v>-0.3821511588899526</v>
      </c>
      <c r="J86" s="22">
        <f>('2019-2022'!J86-'2019-2022'!W$2)/'2019-2022'!W$3</f>
        <v>0.13183791083697149</v>
      </c>
      <c r="K86" s="22">
        <f>('2019-2022'!K86-'2019-2022'!X$2)/'2019-2022'!X$3</f>
        <v>-0.70453444001494736</v>
      </c>
      <c r="L86" s="22">
        <f>('2019-2022'!L86-'2019-2022'!Y$2)/'2019-2022'!Y$3</f>
        <v>-1.5755264483610778</v>
      </c>
      <c r="M86" s="22">
        <f>('2019-2022'!M86-'2019-2022'!Z$2)/'2019-2022'!Z$3</f>
        <v>0.11008266633488113</v>
      </c>
      <c r="N86" s="22">
        <f>('2019-2022'!N86-'2019-2022'!AA$2)/'2019-2022'!AA$3</f>
        <v>0.44606135702103344</v>
      </c>
      <c r="O86" s="22">
        <f>('2019-2022'!O86-'2019-2022'!AB$2)/'2019-2022'!AB$3</f>
        <v>0.58997957601501105</v>
      </c>
      <c r="P86" s="22">
        <f>('2019-2022'!P86-'2019-2022'!AC$2)/'2019-2022'!AC$3</f>
        <v>-0.7371258700142721</v>
      </c>
    </row>
    <row r="87" spans="1:16">
      <c r="A87" s="4" t="s">
        <v>25</v>
      </c>
      <c r="B87" s="5">
        <v>2020</v>
      </c>
      <c r="C87" s="14" t="s">
        <v>60</v>
      </c>
      <c r="D87" s="14" t="s">
        <v>52</v>
      </c>
      <c r="E87" s="22">
        <f>('2019-2022'!E87-'2019-2022'!R$2)/'2019-2022'!R$3</f>
        <v>8.7962397999819156E-2</v>
      </c>
      <c r="F87" s="22">
        <f>('2019-2022'!F87-'2019-2022'!S$2)/'2019-2022'!S$3</f>
        <v>0.72275024723399417</v>
      </c>
      <c r="G87" s="22">
        <f>('2019-2022'!G87-'2019-2022'!T$2)/'2019-2022'!T$3</f>
        <v>0.59270617375324675</v>
      </c>
      <c r="H87" s="22">
        <f>('2019-2022'!H87-'2019-2022'!U$2)/'2019-2022'!U$3</f>
        <v>0.18146268415161548</v>
      </c>
      <c r="I87" s="22">
        <f>('2019-2022'!I87-'2019-2022'!V$2)/'2019-2022'!V$3</f>
        <v>2.7439310986306285E-2</v>
      </c>
      <c r="J87" s="22">
        <f>('2019-2022'!J87-'2019-2022'!W$2)/'2019-2022'!W$3</f>
        <v>0.45037530712190299</v>
      </c>
      <c r="K87" s="22">
        <f>('2019-2022'!K87-'2019-2022'!X$2)/'2019-2022'!X$3</f>
        <v>-0.27138709140905659</v>
      </c>
      <c r="L87" s="22">
        <f>('2019-2022'!L87-'2019-2022'!Y$2)/'2019-2022'!Y$3</f>
        <v>-1.2618166481353468</v>
      </c>
      <c r="M87" s="22">
        <f>('2019-2022'!M87-'2019-2022'!Z$2)/'2019-2022'!Z$3</f>
        <v>0.26615390273656203</v>
      </c>
      <c r="N87" s="22">
        <f>('2019-2022'!N87-'2019-2022'!AA$2)/'2019-2022'!AA$3</f>
        <v>0.37902973524852207</v>
      </c>
      <c r="O87" s="22">
        <f>('2019-2022'!O87-'2019-2022'!AB$2)/'2019-2022'!AB$3</f>
        <v>0.58006179108012113</v>
      </c>
      <c r="P87" s="22">
        <f>('2019-2022'!P87-'2019-2022'!AC$2)/'2019-2022'!AC$3</f>
        <v>-0.77641357058045923</v>
      </c>
    </row>
    <row r="88" spans="1:16">
      <c r="A88" s="4" t="s">
        <v>25</v>
      </c>
      <c r="B88" s="5">
        <v>2021</v>
      </c>
      <c r="C88" s="14" t="s">
        <v>60</v>
      </c>
      <c r="D88" s="14" t="s">
        <v>52</v>
      </c>
      <c r="E88" s="22">
        <f>('2019-2022'!E88-'2019-2022'!R$2)/'2019-2022'!R$3</f>
        <v>0.62205960130154803</v>
      </c>
      <c r="F88" s="22">
        <f>('2019-2022'!F88-'2019-2022'!S$2)/'2019-2022'!S$3</f>
        <v>1.3331700599133185</v>
      </c>
      <c r="G88" s="22">
        <f>('2019-2022'!G88-'2019-2022'!T$2)/'2019-2022'!T$3</f>
        <v>0.58397245544660281</v>
      </c>
      <c r="H88" s="22">
        <f>('2019-2022'!H88-'2019-2022'!U$2)/'2019-2022'!U$3</f>
        <v>0.87586015652428029</v>
      </c>
      <c r="I88" s="22">
        <f>('2019-2022'!I88-'2019-2022'!V$2)/'2019-2022'!V$3</f>
        <v>0.43702978086256516</v>
      </c>
      <c r="J88" s="22">
        <f>('2019-2022'!J88-'2019-2022'!W$2)/'2019-2022'!W$3</f>
        <v>0.76891270340683449</v>
      </c>
      <c r="K88" s="22">
        <f>('2019-2022'!K88-'2019-2022'!X$2)/'2019-2022'!X$3</f>
        <v>0.16176025719683429</v>
      </c>
      <c r="L88" s="22">
        <f>('2019-2022'!L88-'2019-2022'!Y$2)/'2019-2022'!Y$3</f>
        <v>-0.94810684790961508</v>
      </c>
      <c r="M88" s="22">
        <f>('2019-2022'!M88-'2019-2022'!Z$2)/'2019-2022'!Z$3</f>
        <v>0.42222513913824289</v>
      </c>
      <c r="N88" s="22">
        <f>('2019-2022'!N88-'2019-2022'!AA$2)/'2019-2022'!AA$3</f>
        <v>0.31199811347601114</v>
      </c>
      <c r="O88" s="22">
        <f>('2019-2022'!O88-'2019-2022'!AB$2)/'2019-2022'!AB$3</f>
        <v>0.57014400614523242</v>
      </c>
      <c r="P88" s="22">
        <f>('2019-2022'!P88-'2019-2022'!AC$2)/'2019-2022'!AC$3</f>
        <v>-0.87454355432687658</v>
      </c>
    </row>
    <row r="89" spans="1:16">
      <c r="A89" s="4" t="s">
        <v>25</v>
      </c>
      <c r="B89" s="5">
        <v>2022</v>
      </c>
      <c r="C89" s="14" t="s">
        <v>60</v>
      </c>
      <c r="D89" s="14" t="s">
        <v>52</v>
      </c>
      <c r="E89" s="22">
        <f>('2019-2022'!E89-'2019-2022'!R$2)/'2019-2022'!R$3</f>
        <v>-0.65357897500514794</v>
      </c>
      <c r="F89" s="22">
        <f>('2019-2022'!F89-'2019-2022'!S$2)/'2019-2022'!S$3</f>
        <v>0.80753252026017108</v>
      </c>
      <c r="G89" s="22">
        <f>('2019-2022'!G89-'2019-2022'!T$2)/'2019-2022'!T$3</f>
        <v>0.55213089323851561</v>
      </c>
      <c r="H89" s="22">
        <f>('2019-2022'!H89-'2019-2022'!U$2)/'2019-2022'!U$3</f>
        <v>-0.56670732503592125</v>
      </c>
      <c r="I89" s="22">
        <f>('2019-2022'!I89-'2019-2022'!V$2)/'2019-2022'!V$3</f>
        <v>-0.65671853407540326</v>
      </c>
      <c r="J89" s="22">
        <f>('2019-2022'!J89-'2019-2022'!W$2)/'2019-2022'!W$3</f>
        <v>0.36218564593897662</v>
      </c>
      <c r="K89" s="22">
        <f>('2019-2022'!K89-'2019-2022'!X$2)/'2019-2022'!X$3</f>
        <v>-1.0681866055363025</v>
      </c>
      <c r="L89" s="22">
        <f>('2019-2022'!L89-'2019-2022'!Y$2)/'2019-2022'!Y$3</f>
        <v>-1.220926788438605</v>
      </c>
      <c r="M89" s="22">
        <f>('2019-2022'!M89-'2019-2022'!Z$2)/'2019-2022'!Z$3</f>
        <v>0.64175325316349319</v>
      </c>
      <c r="N89" s="22">
        <f>('2019-2022'!N89-'2019-2022'!AA$2)/'2019-2022'!AA$3</f>
        <v>0.49394861954827957</v>
      </c>
      <c r="O89" s="22">
        <f>('2019-2022'!O89-'2019-2022'!AB$2)/'2019-2022'!AB$3</f>
        <v>0.39213128112527135</v>
      </c>
      <c r="P89" s="22">
        <f>('2019-2022'!P89-'2019-2022'!AC$2)/'2019-2022'!AC$3</f>
        <v>-0.98337437242401626</v>
      </c>
    </row>
    <row r="90" spans="1:16">
      <c r="A90" s="4" t="s">
        <v>26</v>
      </c>
      <c r="B90" s="5">
        <v>2019</v>
      </c>
      <c r="C90" s="14" t="s">
        <v>59</v>
      </c>
      <c r="D90" s="14" t="s">
        <v>54</v>
      </c>
      <c r="E90" s="22">
        <f>('2019-2022'!E90-'2019-2022'!R$2)/'2019-2022'!R$3</f>
        <v>-0.61214472054600622</v>
      </c>
      <c r="F90" s="22">
        <f>('2019-2022'!F90-'2019-2022'!S$2)/'2019-2022'!S$3</f>
        <v>-1.7214710194545857</v>
      </c>
      <c r="G90" s="22">
        <f>('2019-2022'!G90-'2019-2022'!T$2)/'2019-2022'!T$3</f>
        <v>-1.9766661465481201</v>
      </c>
      <c r="H90" s="22">
        <f>('2019-2022'!H90-'2019-2022'!U$2)/'2019-2022'!U$3</f>
        <v>-1.0312355658154566</v>
      </c>
      <c r="I90" s="22">
        <f>('2019-2022'!I90-'2019-2022'!V$2)/'2019-2022'!V$3</f>
        <v>-0.27212781611467241</v>
      </c>
      <c r="J90" s="22">
        <f>('2019-2022'!J90-'2019-2022'!W$2)/'2019-2022'!W$3</f>
        <v>-0.45842077682448978</v>
      </c>
      <c r="K90" s="22">
        <f>('2019-2022'!K90-'2019-2022'!X$2)/'2019-2022'!X$3</f>
        <v>0.36595845244596464</v>
      </c>
      <c r="L90" s="22">
        <f>('2019-2022'!L90-'2019-2022'!Y$2)/'2019-2022'!Y$3</f>
        <v>-0.98099044223675236</v>
      </c>
      <c r="M90" s="22">
        <f>('2019-2022'!M90-'2019-2022'!Z$2)/'2019-2022'!Z$3</f>
        <v>-3.2353866639847184</v>
      </c>
      <c r="N90" s="22">
        <f>('2019-2022'!N90-'2019-2022'!AA$2)/'2019-2022'!AA$3</f>
        <v>-0.48149846148636327</v>
      </c>
      <c r="O90" s="22">
        <f>('2019-2022'!O90-'2019-2022'!AB$2)/'2019-2022'!AB$3</f>
        <v>0.9149844052508167</v>
      </c>
      <c r="P90" s="22">
        <f>('2019-2022'!P90-'2019-2022'!AC$2)/'2019-2022'!AC$3</f>
        <v>0.34144989144109544</v>
      </c>
    </row>
    <row r="91" spans="1:16">
      <c r="A91" s="4" t="s">
        <v>26</v>
      </c>
      <c r="B91" s="5">
        <v>2020</v>
      </c>
      <c r="C91" s="14" t="s">
        <v>59</v>
      </c>
      <c r="D91" s="14" t="s">
        <v>54</v>
      </c>
      <c r="E91" s="22">
        <f>('2019-2022'!E91-'2019-2022'!R$2)/'2019-2022'!R$3</f>
        <v>-0.53013163792063023</v>
      </c>
      <c r="F91" s="22">
        <f>('2019-2022'!F91-'2019-2022'!S$2)/'2019-2022'!S$3</f>
        <v>-1.2612712220595179</v>
      </c>
      <c r="G91" s="22">
        <f>('2019-2022'!G91-'2019-2022'!T$2)/'2019-2022'!T$3</f>
        <v>-1.8204650014515014</v>
      </c>
      <c r="H91" s="22">
        <f>('2019-2022'!H91-'2019-2022'!U$2)/'2019-2022'!U$3</f>
        <v>-0.67308574305674029</v>
      </c>
      <c r="I91" s="22">
        <f>('2019-2022'!I91-'2019-2022'!V$2)/'2019-2022'!V$3</f>
        <v>-0.39647564556238696</v>
      </c>
      <c r="J91" s="22">
        <f>('2019-2022'!J91-'2019-2022'!W$2)/'2019-2022'!W$3</f>
        <v>-0.36901931095889468</v>
      </c>
      <c r="K91" s="22">
        <f>('2019-2022'!K91-'2019-2022'!X$2)/'2019-2022'!X$3</f>
        <v>0.45165737352231355</v>
      </c>
      <c r="L91" s="22">
        <f>('2019-2022'!L91-'2019-2022'!Y$2)/'2019-2022'!Y$3</f>
        <v>-0.79140093537786971</v>
      </c>
      <c r="M91" s="22">
        <f>('2019-2022'!M91-'2019-2022'!Z$2)/'2019-2022'!Z$3</f>
        <v>-2.8770754864009764</v>
      </c>
      <c r="N91" s="22">
        <f>('2019-2022'!N91-'2019-2022'!AA$2)/'2019-2022'!AA$3</f>
        <v>-0.38880586356873581</v>
      </c>
      <c r="O91" s="22">
        <f>('2019-2022'!O91-'2019-2022'!AB$2)/'2019-2022'!AB$3</f>
        <v>1.0625390326818511</v>
      </c>
      <c r="P91" s="22">
        <f>('2019-2022'!P91-'2019-2022'!AC$2)/'2019-2022'!AC$3</f>
        <v>0.33642479475043002</v>
      </c>
    </row>
    <row r="92" spans="1:16">
      <c r="A92" s="4" t="s">
        <v>26</v>
      </c>
      <c r="B92" s="5">
        <v>2021</v>
      </c>
      <c r="C92" s="14" t="s">
        <v>59</v>
      </c>
      <c r="D92" s="14" t="s">
        <v>54</v>
      </c>
      <c r="E92" s="22">
        <f>('2019-2022'!E92-'2019-2022'!R$2)/'2019-2022'!R$3</f>
        <v>-0.45552242052231484</v>
      </c>
      <c r="F92" s="22">
        <f>('2019-2022'!F92-'2019-2022'!S$2)/'2019-2022'!S$3</f>
        <v>-1.1717801106417416</v>
      </c>
      <c r="G92" s="22">
        <f>('2019-2022'!G92-'2019-2022'!T$2)/'2019-2022'!T$3</f>
        <v>-1.8452652553776436</v>
      </c>
      <c r="H92" s="22">
        <f>('2019-2022'!H92-'2019-2022'!U$2)/'2019-2022'!U$3</f>
        <v>-0.52526068008881055</v>
      </c>
      <c r="I92" s="22">
        <f>('2019-2022'!I92-'2019-2022'!V$2)/'2019-2022'!V$3</f>
        <v>-0.38484020350834591</v>
      </c>
      <c r="J92" s="22">
        <f>('2019-2022'!J92-'2019-2022'!W$2)/'2019-2022'!W$3</f>
        <v>-0.30500604349377636</v>
      </c>
      <c r="K92" s="22">
        <f>('2019-2022'!K92-'2019-2022'!X$2)/'2019-2022'!X$3</f>
        <v>0.50486870361875635</v>
      </c>
      <c r="L92" s="22">
        <f>('2019-2022'!L92-'2019-2022'!Y$2)/'2019-2022'!Y$3</f>
        <v>-0.75538634269597549</v>
      </c>
      <c r="M92" s="22">
        <f>('2019-2022'!M92-'2019-2022'!Z$2)/'2019-2022'!Z$3</f>
        <v>-2.7127135134609892</v>
      </c>
      <c r="N92" s="22">
        <f>('2019-2022'!N92-'2019-2022'!AA$2)/'2019-2022'!AA$3</f>
        <v>-0.42296973203714883</v>
      </c>
      <c r="O92" s="22">
        <f>('2019-2022'!O92-'2019-2022'!AB$2)/'2019-2022'!AB$3</f>
        <v>1.2066394273528662</v>
      </c>
      <c r="P92" s="22">
        <f>('2019-2022'!P92-'2019-2022'!AC$2)/'2019-2022'!AC$3</f>
        <v>0.44476922982823558</v>
      </c>
    </row>
    <row r="93" spans="1:16">
      <c r="A93" s="4" t="s">
        <v>26</v>
      </c>
      <c r="B93" s="5">
        <v>2022</v>
      </c>
      <c r="C93" s="14" t="s">
        <v>59</v>
      </c>
      <c r="D93" s="14" t="s">
        <v>54</v>
      </c>
      <c r="E93" s="22">
        <f>('2019-2022'!E93-'2019-2022'!R$2)/'2019-2022'!R$3</f>
        <v>-0.47205213527456064</v>
      </c>
      <c r="F93" s="22">
        <f>('2019-2022'!F93-'2019-2022'!S$2)/'2019-2022'!S$3</f>
        <v>-0.91479613583327846</v>
      </c>
      <c r="G93" s="22">
        <f>('2019-2022'!G93-'2019-2022'!T$2)/'2019-2022'!T$3</f>
        <v>-1.7292538466799008</v>
      </c>
      <c r="H93" s="22">
        <f>('2019-2022'!H93-'2019-2022'!U$2)/'2019-2022'!U$3</f>
        <v>-0.38130926940635784</v>
      </c>
      <c r="I93" s="22">
        <f>('2019-2022'!I93-'2019-2022'!V$2)/'2019-2022'!V$3</f>
        <v>-0.50921076925391195</v>
      </c>
      <c r="J93" s="22">
        <f>('2019-2022'!J93-'2019-2022'!W$2)/'2019-2022'!W$3</f>
        <v>-0.24631009303171633</v>
      </c>
      <c r="K93" s="22">
        <f>('2019-2022'!K93-'2019-2022'!X$2)/'2019-2022'!X$3</f>
        <v>0.44250491384775226</v>
      </c>
      <c r="L93" s="22">
        <f>('2019-2022'!L93-'2019-2022'!Y$2)/'2019-2022'!Y$3</f>
        <v>-0.82353510723394963</v>
      </c>
      <c r="M93" s="22">
        <f>('2019-2022'!M93-'2019-2022'!Z$2)/'2019-2022'!Z$3</f>
        <v>-2.6883868908078439</v>
      </c>
      <c r="N93" s="22">
        <f>('2019-2022'!N93-'2019-2022'!AA$2)/'2019-2022'!AA$3</f>
        <v>-0.57963929225873689</v>
      </c>
      <c r="O93" s="22">
        <f>('2019-2022'!O93-'2019-2022'!AB$2)/'2019-2022'!AB$3</f>
        <v>1.2699954258548807</v>
      </c>
      <c r="P93" s="22">
        <f>('2019-2022'!P93-'2019-2022'!AC$2)/'2019-2022'!AC$3</f>
        <v>0.48458342607540161</v>
      </c>
    </row>
    <row r="94" spans="1:16">
      <c r="A94" s="4" t="s">
        <v>27</v>
      </c>
      <c r="B94" s="5">
        <v>2019</v>
      </c>
      <c r="C94" s="14" t="s">
        <v>55</v>
      </c>
      <c r="D94" s="14" t="s">
        <v>54</v>
      </c>
      <c r="E94" s="22">
        <f>('2019-2022'!E94-'2019-2022'!R$2)/'2019-2022'!R$3</f>
        <v>-0.93202482767492556</v>
      </c>
      <c r="F94" s="22">
        <f>('2019-2022'!F94-'2019-2022'!S$2)/'2019-2022'!S$3</f>
        <v>-1.0057704371512979</v>
      </c>
      <c r="G94" s="22">
        <f>('2019-2022'!G94-'2019-2022'!T$2)/'2019-2022'!T$3</f>
        <v>-0.88537513964252601</v>
      </c>
      <c r="H94" s="22">
        <f>('2019-2022'!H94-'2019-2022'!U$2)/'2019-2022'!U$3</f>
        <v>-0.94266564334520442</v>
      </c>
      <c r="I94" s="22">
        <f>('2019-2022'!I94-'2019-2022'!V$2)/'2019-2022'!V$3</f>
        <v>-0.89643271943531977</v>
      </c>
      <c r="J94" s="22">
        <f>('2019-2022'!J94-'2019-2022'!W$2)/'2019-2022'!W$3</f>
        <v>-0.51870676998602094</v>
      </c>
      <c r="K94" s="22">
        <f>('2019-2022'!K94-'2019-2022'!X$2)/'2019-2022'!X$3</f>
        <v>-1.1933130328128252</v>
      </c>
      <c r="L94" s="22">
        <f>('2019-2022'!L94-'2019-2022'!Y$2)/'2019-2022'!Y$3</f>
        <v>-0.64526704160952875</v>
      </c>
      <c r="M94" s="22">
        <f>('2019-2022'!M94-'2019-2022'!Z$2)/'2019-2022'!Z$3</f>
        <v>1.0827553704001021</v>
      </c>
      <c r="N94" s="22">
        <f>('2019-2022'!N94-'2019-2022'!AA$2)/'2019-2022'!AA$3</f>
        <v>-0.83915003380474396</v>
      </c>
      <c r="O94" s="22">
        <f>('2019-2022'!O94-'2019-2022'!AB$2)/'2019-2022'!AB$3</f>
        <v>-1.4845982320518982</v>
      </c>
      <c r="P94" s="22">
        <f>('2019-2022'!P94-'2019-2022'!AC$2)/'2019-2022'!AC$3</f>
        <v>0.38583461953866005</v>
      </c>
    </row>
    <row r="95" spans="1:16">
      <c r="A95" s="4" t="s">
        <v>27</v>
      </c>
      <c r="B95" s="5">
        <v>2020</v>
      </c>
      <c r="C95" s="14" t="s">
        <v>55</v>
      </c>
      <c r="D95" s="14" t="s">
        <v>54</v>
      </c>
      <c r="E95" s="22">
        <f>('2019-2022'!E95-'2019-2022'!R$2)/'2019-2022'!R$3</f>
        <v>-1.2413804687066097</v>
      </c>
      <c r="F95" s="22">
        <f>('2019-2022'!F95-'2019-2022'!S$2)/'2019-2022'!S$3</f>
        <v>-0.87995304053253842</v>
      </c>
      <c r="G95" s="22">
        <f>('2019-2022'!G95-'2019-2022'!T$2)/'2019-2022'!T$3</f>
        <v>-1.8480541713553515</v>
      </c>
      <c r="H95" s="22">
        <f>('2019-2022'!H95-'2019-2022'!U$2)/'2019-2022'!U$3</f>
        <v>-0.99875533892125934</v>
      </c>
      <c r="I95" s="22">
        <f>('2019-2022'!I95-'2019-2022'!V$2)/'2019-2022'!V$3</f>
        <v>-1.3392388861450171</v>
      </c>
      <c r="J95" s="22">
        <f>('2019-2022'!J95-'2019-2022'!W$2)/'2019-2022'!W$3</f>
        <v>-0.4468798829487145</v>
      </c>
      <c r="K95" s="22">
        <f>('2019-2022'!K95-'2019-2022'!X$2)/'2019-2022'!X$3</f>
        <v>-1.2605507325644552</v>
      </c>
      <c r="L95" s="22">
        <f>('2019-2022'!L95-'2019-2022'!Y$2)/'2019-2022'!Y$3</f>
        <v>-0.96521273502921956</v>
      </c>
      <c r="M95" s="22">
        <f>('2019-2022'!M95-'2019-2022'!Z$2)/'2019-2022'!Z$3</f>
        <v>2.088420710182016</v>
      </c>
      <c r="N95" s="22">
        <f>('2019-2022'!N95-'2019-2022'!AA$2)/'2019-2022'!AA$3</f>
        <v>-1.8797210843422916</v>
      </c>
      <c r="O95" s="22">
        <f>('2019-2022'!O95-'2019-2022'!AB$2)/'2019-2022'!AB$3</f>
        <v>-1.2031521693292835</v>
      </c>
      <c r="P95" s="22">
        <f>('2019-2022'!P95-'2019-2022'!AC$2)/'2019-2022'!AC$3</f>
        <v>0.23957365704729944</v>
      </c>
    </row>
    <row r="96" spans="1:16">
      <c r="A96" s="4" t="s">
        <v>27</v>
      </c>
      <c r="B96" s="5">
        <v>2021</v>
      </c>
      <c r="C96" s="14" t="s">
        <v>55</v>
      </c>
      <c r="D96" s="14" t="s">
        <v>54</v>
      </c>
      <c r="E96" s="22">
        <f>('2019-2022'!E96-'2019-2022'!R$2)/'2019-2022'!R$3</f>
        <v>-1.1712564866237087</v>
      </c>
      <c r="F96" s="22">
        <f>('2019-2022'!F96-'2019-2022'!S$2)/'2019-2022'!S$3</f>
        <v>-1.4054156706164411</v>
      </c>
      <c r="G96" s="22">
        <f>('2019-2022'!G96-'2019-2022'!T$2)/'2019-2022'!T$3</f>
        <v>-1.2481038032810625</v>
      </c>
      <c r="H96" s="22">
        <f>('2019-2022'!H96-'2019-2022'!U$2)/'2019-2022'!U$3</f>
        <v>-1.2009242829640194</v>
      </c>
      <c r="I96" s="22">
        <f>('2019-2022'!I96-'2019-2022'!V$2)/'2019-2022'!V$3</f>
        <v>-1.1057513406398198</v>
      </c>
      <c r="J96" s="22">
        <f>('2019-2022'!J96-'2019-2022'!W$2)/'2019-2022'!W$3</f>
        <v>-0.59149108643662418</v>
      </c>
      <c r="K96" s="22">
        <f>('2019-2022'!K96-'2019-2022'!X$2)/'2019-2022'!X$3</f>
        <v>-1.1349985560300935</v>
      </c>
      <c r="L96" s="22">
        <f>('2019-2022'!L96-'2019-2022'!Y$2)/'2019-2022'!Y$3</f>
        <v>-0.91431802109096383</v>
      </c>
      <c r="M96" s="22">
        <f>('2019-2022'!M96-'2019-2022'!Z$2)/'2019-2022'!Z$3</f>
        <v>1.4576487793297672</v>
      </c>
      <c r="N96" s="22">
        <f>('2019-2022'!N96-'2019-2022'!AA$2)/'2019-2022'!AA$3</f>
        <v>-1.1626684291201692</v>
      </c>
      <c r="O96" s="22">
        <f>('2019-2022'!O96-'2019-2022'!AB$2)/'2019-2022'!AB$3</f>
        <v>-1.2412713637151354</v>
      </c>
      <c r="P96" s="22">
        <f>('2019-2022'!P96-'2019-2022'!AC$2)/'2019-2022'!AC$3</f>
        <v>0.353897054312172</v>
      </c>
    </row>
    <row r="97" spans="1:16">
      <c r="A97" s="4" t="s">
        <v>27</v>
      </c>
      <c r="B97" s="5">
        <v>2022</v>
      </c>
      <c r="C97" s="14" t="s">
        <v>55</v>
      </c>
      <c r="D97" s="14" t="s">
        <v>54</v>
      </c>
      <c r="E97" s="22">
        <f>('2019-2022'!E97-'2019-2022'!R$2)/'2019-2022'!R$3</f>
        <v>-1.0919417086210843</v>
      </c>
      <c r="F97" s="22">
        <f>('2019-2022'!F97-'2019-2022'!S$2)/'2019-2022'!S$3</f>
        <v>-1.3488562871660374</v>
      </c>
      <c r="G97" s="22">
        <f>('2019-2022'!G97-'2019-2022'!T$2)/'2019-2022'!T$3</f>
        <v>-1.2071518891538793</v>
      </c>
      <c r="H97" s="22">
        <f>('2019-2022'!H97-'2019-2022'!U$2)/'2019-2022'!U$3</f>
        <v>-1.1479455306361577</v>
      </c>
      <c r="I97" s="22">
        <f>('2019-2022'!I97-'2019-2022'!V$2)/'2019-2022'!V$3</f>
        <v>-1.0092354164220876</v>
      </c>
      <c r="J97" s="22">
        <f>('2019-2022'!J97-'2019-2022'!W$2)/'2019-2022'!W$3</f>
        <v>-0.81200454545979428</v>
      </c>
      <c r="K97" s="22">
        <f>('2019-2022'!K97-'2019-2022'!X$2)/'2019-2022'!X$3</f>
        <v>-1.1116841537899509</v>
      </c>
      <c r="L97" s="22">
        <f>('2019-2022'!L97-'2019-2022'!Y$2)/'2019-2022'!Y$3</f>
        <v>-0.69988180297114955</v>
      </c>
      <c r="M97" s="22">
        <f>('2019-2022'!M97-'2019-2022'!Z$2)/'2019-2022'!Z$3</f>
        <v>1.4601780968791183</v>
      </c>
      <c r="N97" s="22">
        <f>('2019-2022'!N97-'2019-2022'!AA$2)/'2019-2022'!AA$3</f>
        <v>-1.3742059892610261</v>
      </c>
      <c r="O97" s="22">
        <f>('2019-2022'!O97-'2019-2022'!AB$2)/'2019-2022'!AB$3</f>
        <v>-1.6895750944145698</v>
      </c>
      <c r="P97" s="22">
        <f>('2019-2022'!P97-'2019-2022'!AC$2)/'2019-2022'!AC$3</f>
        <v>0.24068199028481463</v>
      </c>
    </row>
    <row r="98" spans="1:16">
      <c r="A98" s="4" t="s">
        <v>29</v>
      </c>
      <c r="B98" s="5">
        <v>2019</v>
      </c>
      <c r="C98" s="14" t="s">
        <v>55</v>
      </c>
      <c r="D98" s="14" t="s">
        <v>54</v>
      </c>
      <c r="E98" s="22">
        <f>('2019-2022'!E98-'2019-2022'!R$2)/'2019-2022'!R$3</f>
        <v>-0.3982560797174779</v>
      </c>
      <c r="F98" s="22">
        <f>('2019-2022'!F98-'2019-2022'!S$2)/'2019-2022'!S$3</f>
        <v>-3.7503997326452432E-2</v>
      </c>
      <c r="G98" s="22">
        <f>('2019-2022'!G98-'2019-2022'!T$2)/'2019-2022'!T$3</f>
        <v>-1.0468886546449581</v>
      </c>
      <c r="H98" s="22">
        <f>('2019-2022'!H98-'2019-2022'!U$2)/'2019-2022'!U$3</f>
        <v>-3.7634923867524803E-2</v>
      </c>
      <c r="I98" s="22">
        <f>('2019-2022'!I98-'2019-2022'!V$2)/'2019-2022'!V$3</f>
        <v>-0.59943647075880435</v>
      </c>
      <c r="J98" s="22">
        <f>('2019-2022'!J98-'2019-2022'!W$2)/'2019-2022'!W$3</f>
        <v>-0.63277439015801784</v>
      </c>
      <c r="K98" s="22">
        <f>('2019-2022'!K98-'2019-2022'!X$2)/'2019-2022'!X$3</f>
        <v>-0.75528110269858539</v>
      </c>
      <c r="L98" s="22">
        <f>('2019-2022'!L98-'2019-2022'!Y$2)/'2019-2022'!Y$3</f>
        <v>0.20429711891525679</v>
      </c>
      <c r="M98" s="22">
        <f>('2019-2022'!M98-'2019-2022'!Z$2)/'2019-2022'!Z$3</f>
        <v>-2.0960717438153069</v>
      </c>
      <c r="N98" s="22">
        <f>('2019-2022'!N98-'2019-2022'!AA$2)/'2019-2022'!AA$3</f>
        <v>-0.59933887748921444</v>
      </c>
      <c r="O98" s="22">
        <f>('2019-2022'!O98-'2019-2022'!AB$2)/'2019-2022'!AB$3</f>
        <v>8.0319011666970877E-2</v>
      </c>
      <c r="P98" s="22">
        <f>('2019-2022'!P98-'2019-2022'!AC$2)/'2019-2022'!AC$3</f>
        <v>1.5041806572760705</v>
      </c>
    </row>
    <row r="99" spans="1:16">
      <c r="A99" s="4" t="s">
        <v>29</v>
      </c>
      <c r="B99" s="5">
        <v>2020</v>
      </c>
      <c r="C99" s="14" t="s">
        <v>55</v>
      </c>
      <c r="D99" s="14" t="s">
        <v>54</v>
      </c>
      <c r="E99" s="22">
        <f>('2019-2022'!E99-'2019-2022'!R$2)/'2019-2022'!R$3</f>
        <v>-0.92838022975692336</v>
      </c>
      <c r="F99" s="22">
        <f>('2019-2022'!F99-'2019-2022'!S$2)/'2019-2022'!S$3</f>
        <v>-1.0906038976566914</v>
      </c>
      <c r="G99" s="22">
        <f>('2019-2022'!G99-'2019-2022'!T$2)/'2019-2022'!T$3</f>
        <v>-1.7258585252491041</v>
      </c>
      <c r="H99" s="22">
        <f>('2019-2022'!H99-'2019-2022'!U$2)/'2019-2022'!U$3</f>
        <v>-0.81041990643553086</v>
      </c>
      <c r="I99" s="22">
        <f>('2019-2022'!I99-'2019-2022'!V$2)/'2019-2022'!V$3</f>
        <v>-0.96929644652187907</v>
      </c>
      <c r="J99" s="22">
        <f>('2019-2022'!J99-'2019-2022'!W$2)/'2019-2022'!W$3</f>
        <v>-0.94811282188214907</v>
      </c>
      <c r="K99" s="22">
        <f>('2019-2022'!K99-'2019-2022'!X$2)/'2019-2022'!X$3</f>
        <v>-1.0654123455475688</v>
      </c>
      <c r="L99" s="22">
        <f>('2019-2022'!L99-'2019-2022'!Y$2)/'2019-2022'!Y$3</f>
        <v>-0.47784165018679325</v>
      </c>
      <c r="M99" s="22">
        <f>('2019-2022'!M99-'2019-2022'!Z$2)/'2019-2022'!Z$3</f>
        <v>-1.6266698808269166E-2</v>
      </c>
      <c r="N99" s="22">
        <f>('2019-2022'!N99-'2019-2022'!AA$2)/'2019-2022'!AA$3</f>
        <v>-1.3374673046672731</v>
      </c>
      <c r="O99" s="22">
        <f>('2019-2022'!O99-'2019-2022'!AB$2)/'2019-2022'!AB$3</f>
        <v>-0.28327281882523869</v>
      </c>
      <c r="P99" s="22">
        <f>('2019-2022'!P99-'2019-2022'!AC$2)/'2019-2022'!AC$3</f>
        <v>1.3356540401439732</v>
      </c>
    </row>
    <row r="100" spans="1:16">
      <c r="A100" s="4" t="s">
        <v>29</v>
      </c>
      <c r="B100" s="5">
        <v>2021</v>
      </c>
      <c r="C100" s="14" t="s">
        <v>55</v>
      </c>
      <c r="D100" s="14" t="s">
        <v>54</v>
      </c>
      <c r="E100" s="22">
        <f>('2019-2022'!E100-'2019-2022'!R$2)/'2019-2022'!R$3</f>
        <v>-0.71600818373378849</v>
      </c>
      <c r="F100" s="22">
        <f>('2019-2022'!F100-'2019-2022'!S$2)/'2019-2022'!S$3</f>
        <v>-0.80944532848346551</v>
      </c>
      <c r="G100" s="22">
        <f>('2019-2022'!G100-'2019-2022'!T$2)/'2019-2022'!T$3</f>
        <v>-1.4974198601471396</v>
      </c>
      <c r="H100" s="22">
        <f>('2019-2022'!H100-'2019-2022'!U$2)/'2019-2022'!U$3</f>
        <v>-0.53971416979014397</v>
      </c>
      <c r="I100" s="22">
        <f>('2019-2022'!I100-'2019-2022'!V$2)/'2019-2022'!V$3</f>
        <v>-0.80031886982506328</v>
      </c>
      <c r="J100" s="22">
        <f>('2019-2022'!J100-'2019-2022'!W$2)/'2019-2022'!W$3</f>
        <v>-0.60392771910274223</v>
      </c>
      <c r="K100" s="22">
        <f>('2019-2022'!K100-'2019-2022'!X$2)/'2019-2022'!X$3</f>
        <v>-0.54770104538532116</v>
      </c>
      <c r="L100" s="22">
        <f>('2019-2022'!L100-'2019-2022'!Y$2)/'2019-2022'!Y$3</f>
        <v>0.20512263051615454</v>
      </c>
      <c r="M100" s="22">
        <f>('2019-2022'!M100-'2019-2022'!Z$2)/'2019-2022'!Z$3</f>
        <v>-0.84453425955612715</v>
      </c>
      <c r="N100" s="22">
        <f>('2019-2022'!N100-'2019-2022'!AA$2)/'2019-2022'!AA$3</f>
        <v>0.14427721970458438</v>
      </c>
      <c r="O100" s="22">
        <f>('2019-2022'!O100-'2019-2022'!AB$2)/'2019-2022'!AB$3</f>
        <v>4.6977664491831161E-2</v>
      </c>
      <c r="P100" s="22">
        <f>('2019-2022'!P100-'2019-2022'!AC$2)/'2019-2022'!AC$3</f>
        <v>1.494355638700448</v>
      </c>
    </row>
    <row r="101" spans="1:16">
      <c r="A101" s="4" t="s">
        <v>29</v>
      </c>
      <c r="B101" s="5">
        <v>2022</v>
      </c>
      <c r="C101" s="14" t="s">
        <v>55</v>
      </c>
      <c r="D101" s="14" t="s">
        <v>54</v>
      </c>
      <c r="E101" s="22">
        <f>('2019-2022'!E101-'2019-2022'!R$2)/'2019-2022'!R$3</f>
        <v>-1.0129126764332121</v>
      </c>
      <c r="F101" s="22">
        <f>('2019-2022'!F101-'2019-2022'!S$2)/'2019-2022'!S$3</f>
        <v>-0.74742935694486712</v>
      </c>
      <c r="G101" s="22">
        <f>('2019-2022'!G101-'2019-2022'!T$2)/'2019-2022'!T$3</f>
        <v>-1.6024890523174529</v>
      </c>
      <c r="H101" s="22">
        <f>('2019-2022'!H101-'2019-2022'!U$2)/'2019-2022'!U$3</f>
        <v>-0.76207307222181764</v>
      </c>
      <c r="I101" s="22">
        <f>('2019-2022'!I101-'2019-2022'!V$2)/'2019-2022'!V$3</f>
        <v>-1.1262238145822294</v>
      </c>
      <c r="J101" s="22">
        <f>('2019-2022'!J101-'2019-2022'!W$2)/'2019-2022'!W$3</f>
        <v>-0.74092891685443651</v>
      </c>
      <c r="K101" s="22">
        <f>('2019-2022'!K101-'2019-2022'!X$2)/'2019-2022'!X$3</f>
        <v>-0.80727744369282795</v>
      </c>
      <c r="L101" s="22">
        <f>('2019-2022'!L101-'2019-2022'!Y$2)/'2019-2022'!Y$3</f>
        <v>2.6944493433559862E-2</v>
      </c>
      <c r="M101" s="22">
        <f>('2019-2022'!M101-'2019-2022'!Z$2)/'2019-2022'!Z$3</f>
        <v>-0.42396061998351581</v>
      </c>
      <c r="N101" s="22">
        <f>('2019-2022'!N101-'2019-2022'!AA$2)/'2019-2022'!AA$3</f>
        <v>-0.26659625593882497</v>
      </c>
      <c r="O101" s="22">
        <f>('2019-2022'!O101-'2019-2022'!AB$2)/'2019-2022'!AB$3</f>
        <v>-0.1003558246489234</v>
      </c>
      <c r="P101" s="22">
        <f>('2019-2022'!P101-'2019-2022'!AC$2)/'2019-2022'!AC$3</f>
        <v>1.4972192748165158</v>
      </c>
    </row>
    <row r="102" spans="1:16">
      <c r="A102" s="4" t="s">
        <v>30</v>
      </c>
      <c r="B102" s="5">
        <v>2019</v>
      </c>
      <c r="C102" s="14" t="s">
        <v>59</v>
      </c>
      <c r="D102" s="14" t="s">
        <v>54</v>
      </c>
      <c r="E102" s="22">
        <f>('2019-2022'!E102-'2019-2022'!R$2)/'2019-2022'!R$3</f>
        <v>-0.62830379389490587</v>
      </c>
      <c r="F102" s="22">
        <f>('2019-2022'!F102-'2019-2022'!S$2)/'2019-2022'!S$3</f>
        <v>-0.84210373393038529</v>
      </c>
      <c r="G102" s="22">
        <f>('2019-2022'!G102-'2019-2022'!T$2)/'2019-2022'!T$3</f>
        <v>-0.59268664556524309</v>
      </c>
      <c r="H102" s="22">
        <f>('2019-2022'!H102-'2019-2022'!U$2)/'2019-2022'!U$3</f>
        <v>-0.77984127647801682</v>
      </c>
      <c r="I102" s="22">
        <f>('2019-2022'!I102-'2019-2022'!V$2)/'2019-2022'!V$3</f>
        <v>-0.49197572194435518</v>
      </c>
      <c r="J102" s="22">
        <f>('2019-2022'!J102-'2019-2022'!W$2)/'2019-2022'!W$3</f>
        <v>-1.1220347417687251</v>
      </c>
      <c r="K102" s="22">
        <f>('2019-2022'!K102-'2019-2022'!X$2)/'2019-2022'!X$3</f>
        <v>-0.64540192953251441</v>
      </c>
      <c r="L102" s="22">
        <f>('2019-2022'!L102-'2019-2022'!Y$2)/'2019-2022'!Y$3</f>
        <v>-1.0850160080485527</v>
      </c>
      <c r="M102" s="22">
        <f>('2019-2022'!M102-'2019-2022'!Z$2)/'2019-2022'!Z$3</f>
        <v>-1.0795878712539424</v>
      </c>
      <c r="N102" s="22">
        <f>('2019-2022'!N102-'2019-2022'!AA$2)/'2019-2022'!AA$3</f>
        <v>-0.57291269776054066</v>
      </c>
      <c r="O102" s="22">
        <f>('2019-2022'!O102-'2019-2022'!AB$2)/'2019-2022'!AB$3</f>
        <v>-1.2101145766970729</v>
      </c>
      <c r="P102" s="22">
        <f>('2019-2022'!P102-'2019-2022'!AC$2)/'2019-2022'!AC$3</f>
        <v>0.8719399776690745</v>
      </c>
    </row>
    <row r="103" spans="1:16">
      <c r="A103" s="4" t="s">
        <v>30</v>
      </c>
      <c r="B103" s="5">
        <v>2020</v>
      </c>
      <c r="C103" s="14" t="s">
        <v>59</v>
      </c>
      <c r="D103" s="14" t="s">
        <v>54</v>
      </c>
      <c r="E103" s="22">
        <f>('2019-2022'!E103-'2019-2022'!R$2)/'2019-2022'!R$3</f>
        <v>-0.6900481948003867</v>
      </c>
      <c r="F103" s="22">
        <f>('2019-2022'!F103-'2019-2022'!S$2)/'2019-2022'!S$3</f>
        <v>-0.84686923460670849</v>
      </c>
      <c r="G103" s="22">
        <f>('2019-2022'!G103-'2019-2022'!T$2)/'2019-2022'!T$3</f>
        <v>-0.91942744453957459</v>
      </c>
      <c r="H103" s="22">
        <f>('2019-2022'!H103-'2019-2022'!U$2)/'2019-2022'!U$3</f>
        <v>-0.75639322363941619</v>
      </c>
      <c r="I103" s="22">
        <f>('2019-2022'!I103-'2019-2022'!V$2)/'2019-2022'!V$3</f>
        <v>-0.61043161030266191</v>
      </c>
      <c r="J103" s="22">
        <f>('2019-2022'!J103-'2019-2022'!W$2)/'2019-2022'!W$3</f>
        <v>-0.92875017463611997</v>
      </c>
      <c r="K103" s="22">
        <f>('2019-2022'!K103-'2019-2022'!X$2)/'2019-2022'!X$3</f>
        <v>-0.61104549787415396</v>
      </c>
      <c r="L103" s="22">
        <f>('2019-2022'!L103-'2019-2022'!Y$2)/'2019-2022'!Y$3</f>
        <v>-1.303098868686313</v>
      </c>
      <c r="M103" s="22">
        <f>('2019-2022'!M103-'2019-2022'!Z$2)/'2019-2022'!Z$3</f>
        <v>-0.40517242074034043</v>
      </c>
      <c r="N103" s="22">
        <f>('2019-2022'!N103-'2019-2022'!AA$2)/'2019-2022'!AA$3</f>
        <v>-0.67398722429587721</v>
      </c>
      <c r="O103" s="22">
        <f>('2019-2022'!O103-'2019-2022'!AB$2)/'2019-2022'!AB$3</f>
        <v>-1.2666802541354789</v>
      </c>
      <c r="P103" s="22">
        <f>('2019-2022'!P103-'2019-2022'!AC$2)/'2019-2022'!AC$3</f>
        <v>0.82858893246582854</v>
      </c>
    </row>
    <row r="104" spans="1:16">
      <c r="A104" s="4" t="s">
        <v>30</v>
      </c>
      <c r="B104" s="5">
        <v>2021</v>
      </c>
      <c r="C104" s="14" t="s">
        <v>59</v>
      </c>
      <c r="D104" s="14" t="s">
        <v>54</v>
      </c>
      <c r="E104" s="22">
        <f>('2019-2022'!E104-'2019-2022'!R$2)/'2019-2022'!R$3</f>
        <v>-0.78433702604781996</v>
      </c>
      <c r="F104" s="22">
        <f>('2019-2022'!F104-'2019-2022'!S$2)/'2019-2022'!S$3</f>
        <v>-0.87938272653554517</v>
      </c>
      <c r="G104" s="22">
        <f>('2019-2022'!G104-'2019-2022'!T$2)/'2019-2022'!T$3</f>
        <v>-0.36449185385543359</v>
      </c>
      <c r="H104" s="22">
        <f>('2019-2022'!H104-'2019-2022'!U$2)/'2019-2022'!U$3</f>
        <v>-0.88884211270127489</v>
      </c>
      <c r="I104" s="22">
        <f>('2019-2022'!I104-'2019-2022'!V$2)/'2019-2022'!V$3</f>
        <v>-0.6929069423900126</v>
      </c>
      <c r="J104" s="22">
        <f>('2019-2022'!J104-'2019-2022'!W$2)/'2019-2022'!W$3</f>
        <v>-1.0948286007430141</v>
      </c>
      <c r="K104" s="22">
        <f>('2019-2022'!K104-'2019-2022'!X$2)/'2019-2022'!X$3</f>
        <v>-0.62813489316285709</v>
      </c>
      <c r="L104" s="22">
        <f>('2019-2022'!L104-'2019-2022'!Y$2)/'2019-2022'!Y$3</f>
        <v>-1.4163993409238269</v>
      </c>
      <c r="M104" s="22">
        <f>('2019-2022'!M104-'2019-2022'!Z$2)/'2019-2022'!Z$3</f>
        <v>-0.26320930442891571</v>
      </c>
      <c r="N104" s="22">
        <f>('2019-2022'!N104-'2019-2022'!AA$2)/'2019-2022'!AA$3</f>
        <v>-0.47387211086433983</v>
      </c>
      <c r="O104" s="22">
        <f>('2019-2022'!O104-'2019-2022'!AB$2)/'2019-2022'!AB$3</f>
        <v>-1.3703664863960525</v>
      </c>
      <c r="P104" s="22">
        <f>('2019-2022'!P104-'2019-2022'!AC$2)/'2019-2022'!AC$3</f>
        <v>0.92490296842829089</v>
      </c>
    </row>
    <row r="105" spans="1:16">
      <c r="A105" s="4" t="s">
        <v>30</v>
      </c>
      <c r="B105" s="5">
        <v>2022</v>
      </c>
      <c r="C105" s="14" t="s">
        <v>59</v>
      </c>
      <c r="D105" s="14" t="s">
        <v>54</v>
      </c>
      <c r="E105" s="22">
        <f>('2019-2022'!E105-'2019-2022'!R$2)/'2019-2022'!R$3</f>
        <v>-0.88579557549057608</v>
      </c>
      <c r="F105" s="22">
        <f>('2019-2022'!F105-'2019-2022'!S$2)/'2019-2022'!S$3</f>
        <v>-0.91189621846438151</v>
      </c>
      <c r="G105" s="22">
        <f>('2019-2022'!G105-'2019-2022'!T$2)/'2019-2022'!T$3</f>
        <v>0.19044373682870738</v>
      </c>
      <c r="H105" s="22">
        <f>('2019-2022'!H105-'2019-2022'!U$2)/'2019-2022'!U$3</f>
        <v>-1.0212910017631336</v>
      </c>
      <c r="I105" s="22">
        <f>('2019-2022'!I105-'2019-2022'!V$2)/'2019-2022'!V$3</f>
        <v>-0.77538227447736296</v>
      </c>
      <c r="J105" s="22">
        <f>('2019-2022'!J105-'2019-2022'!W$2)/'2019-2022'!W$3</f>
        <v>-1.2609070268499076</v>
      </c>
      <c r="K105" s="22">
        <f>('2019-2022'!K105-'2019-2022'!X$2)/'2019-2022'!X$3</f>
        <v>-0.64522428845156055</v>
      </c>
      <c r="L105" s="22">
        <f>('2019-2022'!L105-'2019-2022'!Y$2)/'2019-2022'!Y$3</f>
        <v>-1.5296998131613411</v>
      </c>
      <c r="M105" s="22">
        <f>('2019-2022'!M105-'2019-2022'!Z$2)/'2019-2022'!Z$3</f>
        <v>-0.12124618811749105</v>
      </c>
      <c r="N105" s="22">
        <f>('2019-2022'!N105-'2019-2022'!AA$2)/'2019-2022'!AA$3</f>
        <v>-0.27375699743280246</v>
      </c>
      <c r="O105" s="22">
        <f>('2019-2022'!O105-'2019-2022'!AB$2)/'2019-2022'!AB$3</f>
        <v>-1.4740527186566259</v>
      </c>
      <c r="P105" s="22">
        <f>('2019-2022'!P105-'2019-2022'!AC$2)/'2019-2022'!AC$3</f>
        <v>0.86684063856058513</v>
      </c>
    </row>
    <row r="106" spans="1:16">
      <c r="A106" s="4" t="s">
        <v>31</v>
      </c>
      <c r="B106" s="5">
        <v>2019</v>
      </c>
      <c r="C106" s="14" t="s">
        <v>56</v>
      </c>
      <c r="D106" s="14" t="s">
        <v>54</v>
      </c>
      <c r="E106" s="22">
        <f>('2019-2022'!E106-'2019-2022'!R$2)/'2019-2022'!R$3</f>
        <v>0.10804697707540685</v>
      </c>
      <c r="F106" s="22">
        <f>('2019-2022'!F106-'2019-2022'!S$2)/'2019-2022'!S$3</f>
        <v>-0.77268952106177113</v>
      </c>
      <c r="G106" s="22">
        <f>('2019-2022'!G106-'2019-2022'!T$2)/'2019-2022'!T$3</f>
        <v>1.169437835276399</v>
      </c>
      <c r="H106" s="22">
        <f>('2019-2022'!H106-'2019-2022'!U$2)/'2019-2022'!U$3</f>
        <v>-7.471394764090456E-3</v>
      </c>
      <c r="I106" s="22">
        <f>('2019-2022'!I106-'2019-2022'!V$2)/'2019-2022'!V$3</f>
        <v>6.6084714801928179E-2</v>
      </c>
      <c r="J106" s="22">
        <f>('2019-2022'!J106-'2019-2022'!W$2)/'2019-2022'!W$3</f>
        <v>0.25504879121727048</v>
      </c>
      <c r="K106" s="22">
        <f>('2019-2022'!K106-'2019-2022'!X$2)/'2019-2022'!X$3</f>
        <v>1.2469538094484376</v>
      </c>
      <c r="L106" s="22">
        <f>('2019-2022'!L106-'2019-2022'!Y$2)/'2019-2022'!Y$3</f>
        <v>0.66332564311048148</v>
      </c>
      <c r="M106" s="22">
        <f>('2019-2022'!M106-'2019-2022'!Z$2)/'2019-2022'!Z$3</f>
        <v>-0.37709853747563399</v>
      </c>
      <c r="N106" s="22">
        <f>('2019-2022'!N106-'2019-2022'!AA$2)/'2019-2022'!AA$3</f>
        <v>0.74766598328177936</v>
      </c>
      <c r="O106" s="22">
        <f>('2019-2022'!O106-'2019-2022'!AB$2)/'2019-2022'!AB$3</f>
        <v>0.32273312121268294</v>
      </c>
      <c r="P106" s="22">
        <f>('2019-2022'!P106-'2019-2022'!AC$2)/'2019-2022'!AC$3</f>
        <v>0.65922620429490386</v>
      </c>
    </row>
    <row r="107" spans="1:16">
      <c r="A107" s="4" t="s">
        <v>31</v>
      </c>
      <c r="B107" s="5">
        <v>2020</v>
      </c>
      <c r="C107" s="14" t="s">
        <v>56</v>
      </c>
      <c r="D107" s="14" t="s">
        <v>54</v>
      </c>
      <c r="E107" s="22">
        <f>('2019-2022'!E107-'2019-2022'!R$2)/'2019-2022'!R$3</f>
        <v>0.51600761028478426</v>
      </c>
      <c r="F107" s="22">
        <f>('2019-2022'!F107-'2019-2022'!S$2)/'2019-2022'!S$3</f>
        <v>9.8219458680491506E-2</v>
      </c>
      <c r="G107" s="22">
        <f>('2019-2022'!G107-'2019-2022'!T$2)/'2019-2022'!T$3</f>
        <v>2.2763484859088594</v>
      </c>
      <c r="H107" s="22">
        <f>('2019-2022'!H107-'2019-2022'!U$2)/'2019-2022'!U$3</f>
        <v>0.75747410295349715</v>
      </c>
      <c r="I107" s="22">
        <f>('2019-2022'!I107-'2019-2022'!V$2)/'2019-2022'!V$3</f>
        <v>0.34620769770677895</v>
      </c>
      <c r="J107" s="22">
        <f>('2019-2022'!J107-'2019-2022'!W$2)/'2019-2022'!W$3</f>
        <v>-0.25380705213409416</v>
      </c>
      <c r="K107" s="22">
        <f>('2019-2022'!K107-'2019-2022'!X$2)/'2019-2022'!X$3</f>
        <v>0.56924724037288599</v>
      </c>
      <c r="L107" s="22">
        <f>('2019-2022'!L107-'2019-2022'!Y$2)/'2019-2022'!Y$3</f>
        <v>0.92842909815576391</v>
      </c>
      <c r="M107" s="22">
        <f>('2019-2022'!M107-'2019-2022'!Z$2)/'2019-2022'!Z$3</f>
        <v>-0.40186738370648695</v>
      </c>
      <c r="N107" s="22">
        <f>('2019-2022'!N107-'2019-2022'!AA$2)/'2019-2022'!AA$3</f>
        <v>0.53335643881956507</v>
      </c>
      <c r="O107" s="22">
        <f>('2019-2022'!O107-'2019-2022'!AB$2)/'2019-2022'!AB$3</f>
        <v>0.75695807863393172</v>
      </c>
      <c r="P107" s="22">
        <f>('2019-2022'!P107-'2019-2022'!AC$2)/'2019-2022'!AC$3</f>
        <v>0.55126644284351567</v>
      </c>
    </row>
    <row r="108" spans="1:16">
      <c r="A108" s="4" t="s">
        <v>31</v>
      </c>
      <c r="B108" s="5">
        <v>2021</v>
      </c>
      <c r="C108" s="14" t="s">
        <v>56</v>
      </c>
      <c r="D108" s="14" t="s">
        <v>54</v>
      </c>
      <c r="E108" s="22">
        <f>('2019-2022'!E108-'2019-2022'!R$2)/'2019-2022'!R$3</f>
        <v>0.22587400545327341</v>
      </c>
      <c r="F108" s="22">
        <f>('2019-2022'!F108-'2019-2022'!S$2)/'2019-2022'!S$3</f>
        <v>-0.18072172279383161</v>
      </c>
      <c r="G108" s="22">
        <f>('2019-2022'!G108-'2019-2022'!T$2)/'2019-2022'!T$3</f>
        <v>1.0092943803949783</v>
      </c>
      <c r="H108" s="22">
        <f>('2019-2022'!H108-'2019-2022'!U$2)/'2019-2022'!U$3</f>
        <v>0.63011068564668371</v>
      </c>
      <c r="I108" s="22">
        <f>('2019-2022'!I108-'2019-2022'!V$2)/'2019-2022'!V$3</f>
        <v>1.4679404323284006E-2</v>
      </c>
      <c r="J108" s="22">
        <f>('2019-2022'!J108-'2019-2022'!W$2)/'2019-2022'!W$3</f>
        <v>0.45686742431464744</v>
      </c>
      <c r="K108" s="22">
        <f>('2019-2022'!K108-'2019-2022'!X$2)/'2019-2022'!X$3</f>
        <v>0.9708887287811</v>
      </c>
      <c r="L108" s="22">
        <f>('2019-2022'!L108-'2019-2022'!Y$2)/'2019-2022'!Y$3</f>
        <v>0.19420344206538176</v>
      </c>
      <c r="M108" s="22">
        <f>('2019-2022'!M108-'2019-2022'!Z$2)/'2019-2022'!Z$3</f>
        <v>0.1843143394220299</v>
      </c>
      <c r="N108" s="22">
        <f>('2019-2022'!N108-'2019-2022'!AA$2)/'2019-2022'!AA$3</f>
        <v>1.1376020879547368</v>
      </c>
      <c r="O108" s="22">
        <f>('2019-2022'!O108-'2019-2022'!AB$2)/'2019-2022'!AB$3</f>
        <v>0.33275624545916055</v>
      </c>
      <c r="P108" s="22">
        <f>('2019-2022'!P108-'2019-2022'!AC$2)/'2019-2022'!AC$3</f>
        <v>0.54448685912504302</v>
      </c>
    </row>
    <row r="109" spans="1:16">
      <c r="A109" s="4" t="s">
        <v>31</v>
      </c>
      <c r="B109" s="5">
        <v>2022</v>
      </c>
      <c r="C109" s="14" t="s">
        <v>56</v>
      </c>
      <c r="D109" s="14" t="s">
        <v>54</v>
      </c>
      <c r="E109" s="22">
        <f>('2019-2022'!E109-'2019-2022'!R$2)/'2019-2022'!R$3</f>
        <v>1.3459261390182522</v>
      </c>
      <c r="F109" s="22">
        <f>('2019-2022'!F109-'2019-2022'!S$2)/'2019-2022'!S$3</f>
        <v>-0.59145381896995819</v>
      </c>
      <c r="G109" s="22">
        <f>('2019-2022'!G109-'2019-2022'!T$2)/'2019-2022'!T$3</f>
        <v>1.3149359272903067</v>
      </c>
      <c r="H109" s="22">
        <f>('2019-2022'!H109-'2019-2022'!U$2)/'2019-2022'!U$3</f>
        <v>1.1574570471113108</v>
      </c>
      <c r="I109" s="22">
        <f>('2019-2022'!I109-'2019-2022'!V$2)/'2019-2022'!V$3</f>
        <v>1.2832083933742264</v>
      </c>
      <c r="J109" s="22">
        <f>('2019-2022'!J109-'2019-2022'!W$2)/'2019-2022'!W$3</f>
        <v>0.90333788442300933</v>
      </c>
      <c r="K109" s="22">
        <f>('2019-2022'!K109-'2019-2022'!X$2)/'2019-2022'!X$3</f>
        <v>1.7993262018211846</v>
      </c>
      <c r="L109" s="22">
        <f>('2019-2022'!L109-'2019-2022'!Y$2)/'2019-2022'!Y$3</f>
        <v>0.56353520467182094</v>
      </c>
      <c r="M109" s="22">
        <f>('2019-2022'!M109-'2019-2022'!Z$2)/'2019-2022'!Z$3</f>
        <v>-1.012562728301333</v>
      </c>
      <c r="N109" s="22">
        <f>('2019-2022'!N109-'2019-2022'!AA$2)/'2019-2022'!AA$3</f>
        <v>1.0685521423493549</v>
      </c>
      <c r="O109" s="22">
        <f>('2019-2022'!O109-'2019-2022'!AB$2)/'2019-2022'!AB$3</f>
        <v>1.0046826352494513</v>
      </c>
      <c r="P109" s="22">
        <f>('2019-2022'!P109-'2019-2022'!AC$2)/'2019-2022'!AC$3</f>
        <v>0.53943062413093135</v>
      </c>
    </row>
    <row r="110" spans="1:16">
      <c r="A110" s="4" t="s">
        <v>32</v>
      </c>
      <c r="B110" s="5">
        <v>2019</v>
      </c>
      <c r="C110" s="14" t="s">
        <v>55</v>
      </c>
      <c r="D110" s="14" t="s">
        <v>54</v>
      </c>
      <c r="E110" s="22">
        <f>('2019-2022'!E110-'2019-2022'!R$2)/'2019-2022'!R$3</f>
        <v>-0.45520319398770243</v>
      </c>
      <c r="F110" s="22">
        <f>('2019-2022'!F110-'2019-2022'!S$2)/'2019-2022'!S$3</f>
        <v>0.42076962996613604</v>
      </c>
      <c r="G110" s="22">
        <f>('2019-2022'!G110-'2019-2022'!T$2)/'2019-2022'!T$3</f>
        <v>-1.0338847593265734</v>
      </c>
      <c r="H110" s="22">
        <f>('2019-2022'!H110-'2019-2022'!U$2)/'2019-2022'!U$3</f>
        <v>-3.2010389443482043E-2</v>
      </c>
      <c r="I110" s="22">
        <f>('2019-2022'!I110-'2019-2022'!V$2)/'2019-2022'!V$3</f>
        <v>-0.69984078733581889</v>
      </c>
      <c r="J110" s="22">
        <f>('2019-2022'!J110-'2019-2022'!W$2)/'2019-2022'!W$3</f>
        <v>-0.22114782320551629</v>
      </c>
      <c r="K110" s="22">
        <f>('2019-2022'!K110-'2019-2022'!X$2)/'2019-2022'!X$3</f>
        <v>-1.0788428633605254</v>
      </c>
      <c r="L110" s="22">
        <f>('2019-2022'!L110-'2019-2022'!Y$2)/'2019-2022'!Y$3</f>
        <v>-0.17431911143875484</v>
      </c>
      <c r="M110" s="22">
        <f>('2019-2022'!M110-'2019-2022'!Z$2)/'2019-2022'!Z$3</f>
        <v>0.3476549314118394</v>
      </c>
      <c r="N110" s="22">
        <f>('2019-2022'!N110-'2019-2022'!AA$2)/'2019-2022'!AA$3</f>
        <v>-0.43117913159898186</v>
      </c>
      <c r="O110" s="22">
        <f>('2019-2022'!O110-'2019-2022'!AB$2)/'2019-2022'!AB$3</f>
        <v>0.12172515993881187</v>
      </c>
      <c r="P110" s="22">
        <f>('2019-2022'!P110-'2019-2022'!AC$2)/'2019-2022'!AC$3</f>
        <v>1.4312581499828843</v>
      </c>
    </row>
    <row r="111" spans="1:16">
      <c r="A111" s="4" t="s">
        <v>32</v>
      </c>
      <c r="B111" s="5">
        <v>2020</v>
      </c>
      <c r="C111" s="14" t="s">
        <v>55</v>
      </c>
      <c r="D111" s="14" t="s">
        <v>54</v>
      </c>
      <c r="E111" s="22">
        <f>('2019-2022'!E111-'2019-2022'!R$2)/'2019-2022'!R$3</f>
        <v>-0.37480238623721196</v>
      </c>
      <c r="F111" s="22">
        <f>('2019-2022'!F111-'2019-2022'!S$2)/'2019-2022'!S$3</f>
        <v>0.26656319270480117</v>
      </c>
      <c r="G111" s="22">
        <f>('2019-2022'!G111-'2019-2022'!T$2)/'2019-2022'!T$3</f>
        <v>0.42607158461183886</v>
      </c>
      <c r="H111" s="22">
        <f>('2019-2022'!H111-'2019-2022'!U$2)/'2019-2022'!U$3</f>
        <v>-0.33935423124929293</v>
      </c>
      <c r="I111" s="22">
        <f>('2019-2022'!I111-'2019-2022'!V$2)/'2019-2022'!V$3</f>
        <v>-0.37948513507115478</v>
      </c>
      <c r="J111" s="22">
        <f>('2019-2022'!J111-'2019-2022'!W$2)/'2019-2022'!W$3</f>
        <v>-0.26711099734974775</v>
      </c>
      <c r="K111" s="22">
        <f>('2019-2022'!K111-'2019-2022'!X$2)/'2019-2022'!X$3</f>
        <v>-1.0470036923351242</v>
      </c>
      <c r="L111" s="22">
        <f>('2019-2022'!L111-'2019-2022'!Y$2)/'2019-2022'!Y$3</f>
        <v>-0.12590822083795955</v>
      </c>
      <c r="M111" s="22">
        <f>('2019-2022'!M111-'2019-2022'!Z$2)/'2019-2022'!Z$3</f>
        <v>1.2026668578689734</v>
      </c>
      <c r="N111" s="22">
        <f>('2019-2022'!N111-'2019-2022'!AA$2)/'2019-2022'!AA$3</f>
        <v>-1.3046424751255008</v>
      </c>
      <c r="O111" s="22">
        <f>('2019-2022'!O111-'2019-2022'!AB$2)/'2019-2022'!AB$3</f>
        <v>0.15855608395772533</v>
      </c>
      <c r="P111" s="22">
        <f>('2019-2022'!P111-'2019-2022'!AC$2)/'2019-2022'!AC$3</f>
        <v>1.2787922346480036</v>
      </c>
    </row>
    <row r="112" spans="1:16">
      <c r="A112" s="4" t="s">
        <v>32</v>
      </c>
      <c r="B112" s="5">
        <v>2021</v>
      </c>
      <c r="C112" s="14" t="s">
        <v>55</v>
      </c>
      <c r="D112" s="14" t="s">
        <v>54</v>
      </c>
      <c r="E112" s="22">
        <f>('2019-2022'!E112-'2019-2022'!R$2)/'2019-2022'!R$3</f>
        <v>0.21483789150960084</v>
      </c>
      <c r="F112" s="22">
        <f>('2019-2022'!F112-'2019-2022'!S$2)/'2019-2022'!S$3</f>
        <v>0.48574193757903095</v>
      </c>
      <c r="G112" s="22">
        <f>('2019-2022'!G112-'2019-2022'!T$2)/'2019-2022'!T$3</f>
        <v>-0.62140402342026968</v>
      </c>
      <c r="H112" s="22">
        <f>('2019-2022'!H112-'2019-2022'!U$2)/'2019-2022'!U$3</f>
        <v>0.57725486315492092</v>
      </c>
      <c r="I112" s="22">
        <f>('2019-2022'!I112-'2019-2022'!V$2)/'2019-2022'!V$3</f>
        <v>-1.9820003078767655E-2</v>
      </c>
      <c r="J112" s="22">
        <f>('2019-2022'!J112-'2019-2022'!W$2)/'2019-2022'!W$3</f>
        <v>-0.50268898960663411</v>
      </c>
      <c r="K112" s="22">
        <f>('2019-2022'!K112-'2019-2022'!X$2)/'2019-2022'!X$3</f>
        <v>-0.93890941672672779</v>
      </c>
      <c r="L112" s="22">
        <f>('2019-2022'!L112-'2019-2022'!Y$2)/'2019-2022'!Y$3</f>
        <v>-0.12710431684544324</v>
      </c>
      <c r="M112" s="22">
        <f>('2019-2022'!M112-'2019-2022'!Z$2)/'2019-2022'!Z$3</f>
        <v>1.4492054542258224</v>
      </c>
      <c r="N112" s="22">
        <f>('2019-2022'!N112-'2019-2022'!AA$2)/'2019-2022'!AA$3</f>
        <v>0.48916416859656092</v>
      </c>
      <c r="O112" s="22">
        <f>('2019-2022'!O112-'2019-2022'!AB$2)/'2019-2022'!AB$3</f>
        <v>0.70333725454401386</v>
      </c>
      <c r="P112" s="22">
        <f>('2019-2022'!P112-'2019-2022'!AC$2)/'2019-2022'!AC$3</f>
        <v>1.2779683613703561</v>
      </c>
    </row>
    <row r="113" spans="1:16">
      <c r="A113" s="4" t="s">
        <v>32</v>
      </c>
      <c r="B113" s="5">
        <v>2022</v>
      </c>
      <c r="C113" s="14" t="s">
        <v>55</v>
      </c>
      <c r="D113" s="14" t="s">
        <v>54</v>
      </c>
      <c r="E113" s="22">
        <f>('2019-2022'!E113-'2019-2022'!R$2)/'2019-2022'!R$3</f>
        <v>0.19594820214012759</v>
      </c>
      <c r="F113" s="22">
        <f>('2019-2022'!F113-'2019-2022'!S$2)/'2019-2022'!S$3</f>
        <v>5.3194290144550446E-2</v>
      </c>
      <c r="G113" s="22">
        <f>('2019-2022'!G113-'2019-2022'!T$2)/'2019-2022'!T$3</f>
        <v>-0.47746644565881285</v>
      </c>
      <c r="H113" s="22">
        <f>('2019-2022'!H113-'2019-2022'!U$2)/'2019-2022'!U$3</f>
        <v>0.30305035205086844</v>
      </c>
      <c r="I113" s="22">
        <f>('2019-2022'!I113-'2019-2022'!V$2)/'2019-2022'!V$3</f>
        <v>0.12117254682616811</v>
      </c>
      <c r="J113" s="22">
        <f>('2019-2022'!J113-'2019-2022'!W$2)/'2019-2022'!W$3</f>
        <v>-0.33667979075208038</v>
      </c>
      <c r="K113" s="22">
        <f>('2019-2022'!K113-'2019-2022'!X$2)/'2019-2022'!X$3</f>
        <v>-0.8831780209184743</v>
      </c>
      <c r="L113" s="22">
        <f>('2019-2022'!L113-'2019-2022'!Y$2)/'2019-2022'!Y$3</f>
        <v>-0.27562779867470732</v>
      </c>
      <c r="M113" s="22">
        <f>('2019-2022'!M113-'2019-2022'!Z$2)/'2019-2022'!Z$3</f>
        <v>1.5913186528220975</v>
      </c>
      <c r="N113" s="22">
        <f>('2019-2022'!N113-'2019-2022'!AA$2)/'2019-2022'!AA$3</f>
        <v>-0.4039214044191759</v>
      </c>
      <c r="O113" s="22">
        <f>('2019-2022'!O113-'2019-2022'!AB$2)/'2019-2022'!AB$3</f>
        <v>0.6172380527907172</v>
      </c>
      <c r="P113" s="22">
        <f>('2019-2022'!P113-'2019-2022'!AC$2)/'2019-2022'!AC$3</f>
        <v>1.3438280487613197</v>
      </c>
    </row>
    <row r="114" spans="1:16">
      <c r="A114" s="4" t="s">
        <v>33</v>
      </c>
      <c r="B114" s="5">
        <v>2019</v>
      </c>
      <c r="C114" s="14" t="s">
        <v>53</v>
      </c>
      <c r="D114" s="14" t="s">
        <v>54</v>
      </c>
      <c r="E114" s="22">
        <f>('2019-2022'!E114-'2019-2022'!R$2)/'2019-2022'!R$3</f>
        <v>0.6542663060471865</v>
      </c>
      <c r="F114" s="22">
        <f>('2019-2022'!F114-'2019-2022'!S$2)/'2019-2022'!S$3</f>
        <v>-0.20604070110630937</v>
      </c>
      <c r="G114" s="22">
        <f>('2019-2022'!G114-'2019-2022'!T$2)/'2019-2022'!T$3</f>
        <v>-0.6996095586942791</v>
      </c>
      <c r="H114" s="22">
        <f>('2019-2022'!H114-'2019-2022'!U$2)/'2019-2022'!U$3</f>
        <v>0.42886560552699715</v>
      </c>
      <c r="I114" s="22">
        <f>('2019-2022'!I114-'2019-2022'!V$2)/'2019-2022'!V$3</f>
        <v>0.81814258443647614</v>
      </c>
      <c r="J114" s="22">
        <f>('2019-2022'!J114-'2019-2022'!W$2)/'2019-2022'!W$3</f>
        <v>0.48324250667986013</v>
      </c>
      <c r="K114" s="22">
        <f>('2019-2022'!K114-'2019-2022'!X$2)/'2019-2022'!X$3</f>
        <v>-0.41866352550453029</v>
      </c>
      <c r="L114" s="22">
        <f>('2019-2022'!L114-'2019-2022'!Y$2)/'2019-2022'!Y$3</f>
        <v>0.61745788188558304</v>
      </c>
      <c r="M114" s="22">
        <f>('2019-2022'!M114-'2019-2022'!Z$2)/'2019-2022'!Z$3</f>
        <v>-0.24000974496173463</v>
      </c>
      <c r="N114" s="22">
        <f>('2019-2022'!N114-'2019-2022'!AA$2)/'2019-2022'!AA$3</f>
        <v>0.80772972718731684</v>
      </c>
      <c r="O114" s="22">
        <f>('2019-2022'!O114-'2019-2022'!AB$2)/'2019-2022'!AB$3</f>
        <v>0.37714142612195611</v>
      </c>
      <c r="P114" s="22">
        <f>('2019-2022'!P114-'2019-2022'!AC$2)/'2019-2022'!AC$3</f>
        <v>0.96087382778938568</v>
      </c>
    </row>
    <row r="115" spans="1:16">
      <c r="A115" s="4" t="s">
        <v>33</v>
      </c>
      <c r="B115" s="5">
        <v>2020</v>
      </c>
      <c r="C115" s="14" t="s">
        <v>53</v>
      </c>
      <c r="D115" s="14" t="s">
        <v>54</v>
      </c>
      <c r="E115" s="22">
        <f>('2019-2022'!E115-'2019-2022'!R$2)/'2019-2022'!R$3</f>
        <v>0.34817153890420138</v>
      </c>
      <c r="F115" s="22">
        <f>('2019-2022'!F115-'2019-2022'!S$2)/'2019-2022'!S$3</f>
        <v>-4.0555946601196748E-2</v>
      </c>
      <c r="G115" s="22">
        <f>('2019-2022'!G115-'2019-2022'!T$2)/'2019-2022'!T$3</f>
        <v>-0.87151905682305164</v>
      </c>
      <c r="H115" s="22">
        <f>('2019-2022'!H115-'2019-2022'!U$2)/'2019-2022'!U$3</f>
        <v>0.33373711001772594</v>
      </c>
      <c r="I115" s="22">
        <f>('2019-2022'!I115-'2019-2022'!V$2)/'2019-2022'!V$3</f>
        <v>0.37205417910137339</v>
      </c>
      <c r="J115" s="22">
        <f>('2019-2022'!J115-'2019-2022'!W$2)/'2019-2022'!W$3</f>
        <v>0.38035841894037514</v>
      </c>
      <c r="K115" s="22">
        <f>('2019-2022'!K115-'2019-2022'!X$2)/'2019-2022'!X$3</f>
        <v>-0.53702023801957965</v>
      </c>
      <c r="L115" s="22">
        <f>('2019-2022'!L115-'2019-2022'!Y$2)/'2019-2022'!Y$3</f>
        <v>0.62259467747480302</v>
      </c>
      <c r="M115" s="22">
        <f>('2019-2022'!M115-'2019-2022'!Z$2)/'2019-2022'!Z$3</f>
        <v>0.55917800984067145</v>
      </c>
      <c r="N115" s="22">
        <f>('2019-2022'!N115-'2019-2022'!AA$2)/'2019-2022'!AA$3</f>
        <v>-0.17861549942148533</v>
      </c>
      <c r="O115" s="22">
        <f>('2019-2022'!O115-'2019-2022'!AB$2)/'2019-2022'!AB$3</f>
        <v>0.26310666078443956</v>
      </c>
      <c r="P115" s="22">
        <f>('2019-2022'!P115-'2019-2022'!AC$2)/'2019-2022'!AC$3</f>
        <v>0.83891270779708949</v>
      </c>
    </row>
    <row r="116" spans="1:16">
      <c r="A116" s="4" t="s">
        <v>33</v>
      </c>
      <c r="B116" s="5">
        <v>2021</v>
      </c>
      <c r="C116" s="14" t="s">
        <v>53</v>
      </c>
      <c r="D116" s="14" t="s">
        <v>54</v>
      </c>
      <c r="E116" s="22">
        <f>('2019-2022'!E116-'2019-2022'!R$2)/'2019-2022'!R$3</f>
        <v>0.59072051437225992</v>
      </c>
      <c r="F116" s="22">
        <f>('2019-2022'!F116-'2019-2022'!S$2)/'2019-2022'!S$3</f>
        <v>0.22931690688000428</v>
      </c>
      <c r="G116" s="22">
        <f>('2019-2022'!G116-'2019-2022'!T$2)/'2019-2022'!T$3</f>
        <v>-0.77944016139103611</v>
      </c>
      <c r="H116" s="22">
        <f>('2019-2022'!H116-'2019-2022'!U$2)/'2019-2022'!U$3</f>
        <v>0.82613593804851126</v>
      </c>
      <c r="I116" s="22">
        <f>('2019-2022'!I116-'2019-2022'!V$2)/'2019-2022'!V$3</f>
        <v>0.41912330618130872</v>
      </c>
      <c r="J116" s="22">
        <f>('2019-2022'!J116-'2019-2022'!W$2)/'2019-2022'!W$3</f>
        <v>0.41796386513371714</v>
      </c>
      <c r="K116" s="22">
        <f>('2019-2022'!K116-'2019-2022'!X$2)/'2019-2022'!X$3</f>
        <v>-0.4140894071674695</v>
      </c>
      <c r="L116" s="22">
        <f>('2019-2022'!L116-'2019-2022'!Y$2)/'2019-2022'!Y$3</f>
        <v>0.4809951174557282</v>
      </c>
      <c r="M116" s="22">
        <f>('2019-2022'!M116-'2019-2022'!Z$2)/'2019-2022'!Z$3</f>
        <v>0.31370045516145001</v>
      </c>
      <c r="N116" s="22">
        <f>('2019-2022'!N116-'2019-2022'!AA$2)/'2019-2022'!AA$3</f>
        <v>0.59140515080547384</v>
      </c>
      <c r="O116" s="22">
        <f>('2019-2022'!O116-'2019-2022'!AB$2)/'2019-2022'!AB$3</f>
        <v>0.43813685924850565</v>
      </c>
      <c r="P116" s="22">
        <f>('2019-2022'!P116-'2019-2022'!AC$2)/'2019-2022'!AC$3</f>
        <v>1.0923404248153883</v>
      </c>
    </row>
    <row r="117" spans="1:16">
      <c r="A117" s="4" t="s">
        <v>33</v>
      </c>
      <c r="B117" s="5">
        <v>2022</v>
      </c>
      <c r="C117" s="14" t="s">
        <v>53</v>
      </c>
      <c r="D117" s="14" t="s">
        <v>54</v>
      </c>
      <c r="E117" s="22">
        <f>('2019-2022'!E117-'2019-2022'!R$2)/'2019-2022'!R$3</f>
        <v>1.6383128243112921</v>
      </c>
      <c r="F117" s="22">
        <f>('2019-2022'!F117-'2019-2022'!S$2)/'2019-2022'!S$3</f>
        <v>0.9162608029430882</v>
      </c>
      <c r="G117" s="22">
        <f>('2019-2022'!G117-'2019-2022'!T$2)/'2019-2022'!T$3</f>
        <v>-0.14503524143855678</v>
      </c>
      <c r="H117" s="22">
        <f>('2019-2022'!H117-'2019-2022'!U$2)/'2019-2022'!U$3</f>
        <v>1.9848472560892791</v>
      </c>
      <c r="I117" s="22">
        <f>('2019-2022'!I117-'2019-2022'!V$2)/'2019-2022'!V$3</f>
        <v>1.3481206462248172</v>
      </c>
      <c r="J117" s="22">
        <f>('2019-2022'!J117-'2019-2022'!W$2)/'2019-2022'!W$3</f>
        <v>0.57150812622365355</v>
      </c>
      <c r="K117" s="22">
        <f>('2019-2022'!K117-'2019-2022'!X$2)/'2019-2022'!X$3</f>
        <v>-0.28919749689758451</v>
      </c>
      <c r="L117" s="22">
        <f>('2019-2022'!L117-'2019-2022'!Y$2)/'2019-2022'!Y$3</f>
        <v>0.265295801999828</v>
      </c>
      <c r="M117" s="22">
        <f>('2019-2022'!M117-'2019-2022'!Z$2)/'2019-2022'!Z$3</f>
        <v>1.0828589755206381</v>
      </c>
      <c r="N117" s="22">
        <f>('2019-2022'!N117-'2019-2022'!AA$2)/'2019-2022'!AA$3</f>
        <v>-0.31602073344484072</v>
      </c>
      <c r="O117" s="22">
        <f>('2019-2022'!O117-'2019-2022'!AB$2)/'2019-2022'!AB$3</f>
        <v>0.39429956506095531</v>
      </c>
      <c r="P117" s="22">
        <f>('2019-2022'!P117-'2019-2022'!AC$2)/'2019-2022'!AC$3</f>
        <v>1.0849809071921181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16"/>
  <sheetViews>
    <sheetView zoomScale="85" zoomScaleNormal="85" workbookViewId="0">
      <selection activeCell="A2" sqref="A2"/>
    </sheetView>
  </sheetViews>
  <sheetFormatPr defaultRowHeight="14.4"/>
  <cols>
    <col min="1" max="1" width="14.33203125" style="7" bestFit="1" customWidth="1"/>
    <col min="2" max="2" width="5.109375" style="7" bestFit="1" customWidth="1"/>
    <col min="3" max="3" width="23.33203125" style="7" bestFit="1" customWidth="1"/>
    <col min="4" max="4" width="18.5546875" style="7" bestFit="1" customWidth="1"/>
    <col min="5" max="15" width="15.77734375" style="7" customWidth="1"/>
    <col min="16" max="16" width="20.6640625" style="7" bestFit="1" customWidth="1"/>
    <col min="17" max="17" width="18.44140625" style="7" bestFit="1" customWidth="1"/>
    <col min="18" max="18" width="18.44140625" style="7" customWidth="1"/>
    <col min="19" max="19" width="20.6640625" style="16" bestFit="1" customWidth="1"/>
    <col min="20" max="20" width="19.33203125" style="7" bestFit="1" customWidth="1"/>
    <col min="21" max="40" width="13" style="7" customWidth="1"/>
    <col min="41" max="16384" width="8.88671875" style="7"/>
  </cols>
  <sheetData>
    <row r="1" spans="1:30" ht="14.4" customHeight="1">
      <c r="A1" s="1" t="s">
        <v>50</v>
      </c>
      <c r="B1" s="1" t="s">
        <v>49</v>
      </c>
      <c r="C1" s="1" t="s">
        <v>47</v>
      </c>
      <c r="D1" s="1" t="s">
        <v>48</v>
      </c>
      <c r="E1" s="13" t="s">
        <v>77</v>
      </c>
      <c r="F1" s="1" t="s">
        <v>34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78</v>
      </c>
      <c r="R1" s="13" t="s">
        <v>46</v>
      </c>
      <c r="S1" s="1" t="s">
        <v>34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5" t="s">
        <v>45</v>
      </c>
    </row>
    <row r="2" spans="1:30" ht="14.4" customHeight="1">
      <c r="A2" s="9" t="s">
        <v>0</v>
      </c>
      <c r="B2" s="3">
        <v>2012</v>
      </c>
      <c r="C2" s="14" t="s">
        <v>51</v>
      </c>
      <c r="D2" s="14" t="s">
        <v>52</v>
      </c>
      <c r="E2" s="3">
        <f>(F2+G2)/((F2/H2)+(G2/I2))</f>
        <v>17.066764413190253</v>
      </c>
      <c r="F2" s="2">
        <v>18.203239791183481</v>
      </c>
      <c r="G2" s="2">
        <v>33.877769772418198</v>
      </c>
      <c r="H2" s="2">
        <v>14.171303216794639</v>
      </c>
      <c r="I2" s="2">
        <v>19.17150210187943</v>
      </c>
      <c r="J2" s="2">
        <v>53.941285308510068</v>
      </c>
      <c r="K2" s="2">
        <v>37.294576212720258</v>
      </c>
      <c r="L2" s="2">
        <v>33.63210536979755</v>
      </c>
      <c r="M2" s="2">
        <v>35.549348060333543</v>
      </c>
      <c r="N2" s="2">
        <v>52.402783344793747</v>
      </c>
      <c r="O2" s="2">
        <v>86.041975123187285</v>
      </c>
      <c r="P2" s="8">
        <v>0.1894102</v>
      </c>
      <c r="R2" s="20">
        <f>AVERAGE(E$2:E$287)</f>
        <v>13.74246013576669</v>
      </c>
      <c r="S2" s="20">
        <f>AVERAGE(F$2:F$287)</f>
        <v>14.452217289173875</v>
      </c>
      <c r="T2" s="20">
        <f t="shared" ref="T2:AC2" si="0">AVERAGE(G$2:G$287)</f>
        <v>30.421211327392676</v>
      </c>
      <c r="U2" s="20">
        <f t="shared" si="0"/>
        <v>11.367640037901493</v>
      </c>
      <c r="V2" s="20">
        <f t="shared" si="0"/>
        <v>15.331570400295648</v>
      </c>
      <c r="W2" s="20">
        <f t="shared" si="0"/>
        <v>51.39827093395418</v>
      </c>
      <c r="X2" s="20">
        <f t="shared" si="0"/>
        <v>22.286854510655854</v>
      </c>
      <c r="Y2" s="20">
        <f t="shared" si="0"/>
        <v>41.728624717688973</v>
      </c>
      <c r="Z2" s="20">
        <f t="shared" si="0"/>
        <v>42.962275754419387</v>
      </c>
      <c r="AA2" s="20">
        <f t="shared" si="0"/>
        <v>44.800200121419344</v>
      </c>
      <c r="AB2" s="20">
        <f>AVERAGE(O$2:O$287)</f>
        <v>69.788942341558752</v>
      </c>
      <c r="AC2" s="20">
        <f t="shared" si="0"/>
        <v>0.82715925489510533</v>
      </c>
      <c r="AD2" s="20"/>
    </row>
    <row r="3" spans="1:30" ht="14.4" customHeight="1">
      <c r="A3" s="9" t="s">
        <v>0</v>
      </c>
      <c r="B3" s="3">
        <v>2013</v>
      </c>
      <c r="C3" s="14" t="s">
        <v>51</v>
      </c>
      <c r="D3" s="14" t="s">
        <v>52</v>
      </c>
      <c r="E3" s="3">
        <f t="shared" ref="E3:E12" si="1">(F3+G3)/((F3/H3)+(G3/I3))</f>
        <v>19.544942024429588</v>
      </c>
      <c r="F3" s="2">
        <v>17.08205618122507</v>
      </c>
      <c r="G3" s="2">
        <v>33.117574705730782</v>
      </c>
      <c r="H3" s="2">
        <v>16.1793118530192</v>
      </c>
      <c r="I3" s="2">
        <v>21.894117219148349</v>
      </c>
      <c r="J3" s="2">
        <v>52.617229500580478</v>
      </c>
      <c r="K3" s="2">
        <v>29.41108752649868</v>
      </c>
      <c r="L3" s="2">
        <v>37.959270652235162</v>
      </c>
      <c r="M3" s="2">
        <v>42.704989725953077</v>
      </c>
      <c r="N3" s="2">
        <v>50.928156550597187</v>
      </c>
      <c r="O3" s="2">
        <v>82.211465304998256</v>
      </c>
      <c r="P3" s="8">
        <v>0.1300154</v>
      </c>
      <c r="R3" s="7">
        <f>_xlfn.STDEV.S(E$2:E$287)</f>
        <v>7.2061988914902217</v>
      </c>
      <c r="S3" s="7">
        <f>_xlfn.STDEV.S(F$2:F$287)</f>
        <v>6.1171025832378785</v>
      </c>
      <c r="T3" s="7">
        <f t="shared" ref="T3:AC3" si="2">_xlfn.STDEV.S(G$2:G$287)</f>
        <v>6.7371674139790523</v>
      </c>
      <c r="U3" s="7">
        <f t="shared" si="2"/>
        <v>7.2438422452810203</v>
      </c>
      <c r="V3" s="7">
        <f t="shared" si="2"/>
        <v>7.6784561117168622</v>
      </c>
      <c r="W3" s="7">
        <f t="shared" si="2"/>
        <v>11.517796926608668</v>
      </c>
      <c r="X3" s="7">
        <f t="shared" si="2"/>
        <v>13.141736608608682</v>
      </c>
      <c r="Y3" s="7">
        <f t="shared" si="2"/>
        <v>12.542962400823294</v>
      </c>
      <c r="Z3" s="7">
        <f t="shared" si="2"/>
        <v>9.7088852980264235</v>
      </c>
      <c r="AA3" s="7">
        <f t="shared" si="2"/>
        <v>16.087291603197745</v>
      </c>
      <c r="AB3" s="7">
        <f>_xlfn.STDEV.S(O$2:O$287)</f>
        <v>10.916338650669223</v>
      </c>
      <c r="AC3" s="7">
        <f t="shared" si="2"/>
        <v>0.79541007881168713</v>
      </c>
    </row>
    <row r="4" spans="1:30" ht="14.4" customHeight="1">
      <c r="A4" s="9" t="s">
        <v>0</v>
      </c>
      <c r="B4" s="3">
        <v>2014</v>
      </c>
      <c r="C4" s="14" t="s">
        <v>51</v>
      </c>
      <c r="D4" s="14" t="s">
        <v>52</v>
      </c>
      <c r="E4" s="3">
        <f t="shared" si="1"/>
        <v>19.64774243865374</v>
      </c>
      <c r="F4" s="2">
        <v>18.429839797591409</v>
      </c>
      <c r="G4" s="2">
        <v>34.29894690676344</v>
      </c>
      <c r="H4" s="2">
        <v>16.184692581250641</v>
      </c>
      <c r="I4" s="2">
        <v>22.200156308417721</v>
      </c>
      <c r="J4" s="2">
        <v>49.957147384394347</v>
      </c>
      <c r="K4" s="2">
        <v>22.184428862999521</v>
      </c>
      <c r="L4" s="2">
        <v>37.705305988359953</v>
      </c>
      <c r="M4" s="2">
        <v>39.07219508215163</v>
      </c>
      <c r="N4" s="2">
        <v>55.540058801197532</v>
      </c>
      <c r="O4" s="2" t="s">
        <v>35</v>
      </c>
      <c r="P4" s="8">
        <v>-3.6499900000000002E-2</v>
      </c>
      <c r="S4" s="21"/>
      <c r="W4" s="14"/>
    </row>
    <row r="5" spans="1:30" ht="14.4" customHeight="1">
      <c r="A5" s="9" t="s">
        <v>0</v>
      </c>
      <c r="B5" s="3">
        <v>2015</v>
      </c>
      <c r="C5" s="14" t="s">
        <v>51</v>
      </c>
      <c r="D5" s="14" t="s">
        <v>52</v>
      </c>
      <c r="E5" s="3">
        <f t="shared" si="1"/>
        <v>23.921188356900704</v>
      </c>
      <c r="F5" s="2">
        <v>19.23118554654247</v>
      </c>
      <c r="G5" s="2">
        <v>32.842858916974052</v>
      </c>
      <c r="H5" s="2">
        <v>20.8356734993706</v>
      </c>
      <c r="I5" s="2">
        <v>26.19241655241018</v>
      </c>
      <c r="J5" s="2">
        <v>58.267440842230677</v>
      </c>
      <c r="K5" s="2">
        <v>23.543799361403622</v>
      </c>
      <c r="L5" s="2">
        <v>51.671579932697263</v>
      </c>
      <c r="M5" s="2">
        <v>49.191412310354693</v>
      </c>
      <c r="N5" s="2">
        <v>42.377662213920793</v>
      </c>
      <c r="O5" s="2">
        <v>80.082322417376588</v>
      </c>
      <c r="P5" s="8">
        <v>-9.6330199999999991E-2</v>
      </c>
      <c r="S5" s="21"/>
      <c r="W5" s="14"/>
    </row>
    <row r="6" spans="1:30" ht="14.4" customHeight="1">
      <c r="A6" s="9" t="s">
        <v>0</v>
      </c>
      <c r="B6" s="3">
        <v>2016</v>
      </c>
      <c r="C6" s="14" t="s">
        <v>51</v>
      </c>
      <c r="D6" s="14" t="s">
        <v>52</v>
      </c>
      <c r="E6" s="3">
        <f t="shared" si="1"/>
        <v>21.705996890183549</v>
      </c>
      <c r="F6" s="2">
        <v>19.681610566706301</v>
      </c>
      <c r="G6" s="2">
        <v>30.339989537316121</v>
      </c>
      <c r="H6" s="2">
        <v>20.11784215072014</v>
      </c>
      <c r="I6" s="2">
        <v>22.877561823181932</v>
      </c>
      <c r="J6" s="2">
        <v>53.57034629592026</v>
      </c>
      <c r="K6" s="2">
        <v>28.062459487013289</v>
      </c>
      <c r="L6" s="2">
        <v>41.290799585924411</v>
      </c>
      <c r="M6" s="2">
        <v>42.371052236117521</v>
      </c>
      <c r="N6" s="2">
        <v>40.230201345670352</v>
      </c>
      <c r="O6" s="2" t="s">
        <v>35</v>
      </c>
      <c r="P6" s="8">
        <v>-9.6229099999999998E-2</v>
      </c>
      <c r="S6" s="21"/>
      <c r="W6" s="14"/>
    </row>
    <row r="7" spans="1:30" ht="14.4" customHeight="1">
      <c r="A7" s="9" t="s">
        <v>0</v>
      </c>
      <c r="B7" s="3">
        <v>2017</v>
      </c>
      <c r="C7" s="14" t="s">
        <v>51</v>
      </c>
      <c r="D7" s="14" t="s">
        <v>52</v>
      </c>
      <c r="E7" s="3">
        <f t="shared" si="1"/>
        <v>26.162667519335791</v>
      </c>
      <c r="F7" s="2">
        <v>18.916384551768271</v>
      </c>
      <c r="G7" s="2">
        <v>38.369648637387108</v>
      </c>
      <c r="H7" s="2">
        <v>20.30036946384795</v>
      </c>
      <c r="I7" s="2">
        <v>30.505725453304429</v>
      </c>
      <c r="J7" s="2">
        <v>55.894600813165418</v>
      </c>
      <c r="K7" s="2">
        <v>18.729809763911831</v>
      </c>
      <c r="L7" s="2">
        <v>42.702898538083332</v>
      </c>
      <c r="M7" s="2">
        <v>43.47799053005992</v>
      </c>
      <c r="N7" s="2">
        <v>46.417547403318217</v>
      </c>
      <c r="O7" s="2" t="s">
        <v>35</v>
      </c>
      <c r="P7" s="8">
        <v>-0.10634139999999999</v>
      </c>
      <c r="S7" s="21"/>
      <c r="W7" s="14"/>
    </row>
    <row r="8" spans="1:30" ht="14.4" customHeight="1">
      <c r="A8" s="9" t="s">
        <v>0</v>
      </c>
      <c r="B8" s="3">
        <v>2018</v>
      </c>
      <c r="C8" s="14" t="s">
        <v>51</v>
      </c>
      <c r="D8" s="14" t="s">
        <v>52</v>
      </c>
      <c r="E8" s="3">
        <f t="shared" si="1"/>
        <v>20.618714209002174</v>
      </c>
      <c r="F8" s="2">
        <v>22.21468645730894</v>
      </c>
      <c r="G8" s="2">
        <v>28.312617285965121</v>
      </c>
      <c r="H8" s="2">
        <v>21.238409651217069</v>
      </c>
      <c r="I8" s="2">
        <v>20.157239884931439</v>
      </c>
      <c r="J8" s="2">
        <v>54.273096315127411</v>
      </c>
      <c r="K8" s="2">
        <v>26.230023365046399</v>
      </c>
      <c r="L8" s="2">
        <v>34.395285604544092</v>
      </c>
      <c r="M8" s="2">
        <v>44.045253801432317</v>
      </c>
      <c r="N8" s="2">
        <v>31.431198440442621</v>
      </c>
      <c r="O8" s="2" t="s">
        <v>35</v>
      </c>
      <c r="P8" s="8">
        <v>-0.24429199999999998</v>
      </c>
      <c r="S8" s="21"/>
      <c r="W8" s="14"/>
    </row>
    <row r="9" spans="1:30" ht="14.4" customHeight="1">
      <c r="A9" s="9" t="s">
        <v>0</v>
      </c>
      <c r="B9" s="3">
        <v>2019</v>
      </c>
      <c r="C9" s="14" t="s">
        <v>51</v>
      </c>
      <c r="D9" s="14" t="s">
        <v>52</v>
      </c>
      <c r="E9" s="3">
        <f t="shared" si="1"/>
        <v>25.366288266103524</v>
      </c>
      <c r="F9" s="2">
        <v>19.307964729258739</v>
      </c>
      <c r="G9" s="2">
        <v>27.735496469729291</v>
      </c>
      <c r="H9" s="2">
        <v>24.332045615163061</v>
      </c>
      <c r="I9" s="2">
        <v>26.13976279472384</v>
      </c>
      <c r="J9" s="2">
        <v>61.991151349105088</v>
      </c>
      <c r="K9" s="2">
        <v>34.235276780752457</v>
      </c>
      <c r="L9" s="2">
        <v>51.644644851784918</v>
      </c>
      <c r="M9" s="2">
        <v>41.865904310562748</v>
      </c>
      <c r="N9" s="2">
        <v>46.368728908012599</v>
      </c>
      <c r="O9" s="2">
        <v>72.246193283552572</v>
      </c>
      <c r="P9" s="8">
        <v>-9.9420999999999995E-2</v>
      </c>
      <c r="S9" s="21"/>
      <c r="W9" s="14"/>
    </row>
    <row r="10" spans="1:30" ht="14.4" customHeight="1">
      <c r="A10" s="9" t="s">
        <v>0</v>
      </c>
      <c r="B10" s="3">
        <v>2020</v>
      </c>
      <c r="C10" s="14" t="s">
        <v>51</v>
      </c>
      <c r="D10" s="14" t="s">
        <v>52</v>
      </c>
      <c r="E10" s="3">
        <f t="shared" si="1"/>
        <v>25.915133631709299</v>
      </c>
      <c r="F10" s="2">
        <v>17.79890778139254</v>
      </c>
      <c r="G10" s="2">
        <v>29.380750819086561</v>
      </c>
      <c r="H10" s="2">
        <v>22.873357517086319</v>
      </c>
      <c r="I10" s="2">
        <v>28.185827458007779</v>
      </c>
      <c r="J10" s="2">
        <v>67.83757926490695</v>
      </c>
      <c r="K10" s="2">
        <v>50.605974461078667</v>
      </c>
      <c r="L10" s="2">
        <v>74.233205510835901</v>
      </c>
      <c r="M10" s="2">
        <v>47.034484492245532</v>
      </c>
      <c r="N10" s="2">
        <v>57.312699879586837</v>
      </c>
      <c r="O10" s="2" t="s">
        <v>35</v>
      </c>
      <c r="P10" s="8">
        <v>-0.1518853</v>
      </c>
      <c r="S10" s="21"/>
      <c r="W10" s="14"/>
    </row>
    <row r="11" spans="1:30" ht="14.4" customHeight="1">
      <c r="A11" s="9" t="s">
        <v>0</v>
      </c>
      <c r="B11" s="3">
        <v>2021</v>
      </c>
      <c r="C11" s="14" t="s">
        <v>51</v>
      </c>
      <c r="D11" s="14" t="s">
        <v>52</v>
      </c>
      <c r="E11" s="3">
        <f t="shared" si="1"/>
        <v>22.93674526839936</v>
      </c>
      <c r="F11" s="2">
        <v>12.58974905322653</v>
      </c>
      <c r="G11" s="2">
        <v>32.839741611802303</v>
      </c>
      <c r="H11" s="2">
        <v>15.650235940671349</v>
      </c>
      <c r="I11" s="2">
        <v>27.9202556687849</v>
      </c>
      <c r="J11" s="2">
        <v>66.723414706190127</v>
      </c>
      <c r="K11" s="2">
        <v>50.04774381709732</v>
      </c>
      <c r="L11" s="2">
        <v>70.628872471935068</v>
      </c>
      <c r="M11" s="2">
        <v>48.409550971135843</v>
      </c>
      <c r="N11" s="2">
        <v>54.80381530514569</v>
      </c>
      <c r="O11" s="2" t="s">
        <v>35</v>
      </c>
      <c r="P11" s="8">
        <v>-0.15107180000000001</v>
      </c>
      <c r="S11" s="21"/>
      <c r="W11" s="14"/>
    </row>
    <row r="12" spans="1:30" ht="14.4" customHeight="1">
      <c r="A12" s="9" t="s">
        <v>0</v>
      </c>
      <c r="B12" s="3">
        <v>2022</v>
      </c>
      <c r="C12" s="14" t="s">
        <v>51</v>
      </c>
      <c r="D12" s="14" t="s">
        <v>52</v>
      </c>
      <c r="E12" s="3">
        <f t="shared" si="1"/>
        <v>22.793865896661078</v>
      </c>
      <c r="F12" s="2">
        <v>18.082403383233199</v>
      </c>
      <c r="G12" s="2">
        <v>28.94817871799312</v>
      </c>
      <c r="H12" s="2">
        <v>21.805409780557088</v>
      </c>
      <c r="I12" s="2">
        <v>23.458099547056321</v>
      </c>
      <c r="J12" s="2">
        <v>69.15817015950897</v>
      </c>
      <c r="K12" s="2">
        <v>51.785096121236961</v>
      </c>
      <c r="L12" s="2">
        <v>75.763086915894306</v>
      </c>
      <c r="M12" s="2">
        <v>50.973724469812147</v>
      </c>
      <c r="N12" s="2">
        <v>67.86716041843782</v>
      </c>
      <c r="O12" s="2" t="s">
        <v>35</v>
      </c>
      <c r="P12" s="8">
        <v>-0.1989311</v>
      </c>
      <c r="S12" s="21"/>
      <c r="W12" s="14"/>
    </row>
    <row r="13" spans="1:30" ht="14.4" customHeight="1">
      <c r="A13" s="23" t="s">
        <v>1</v>
      </c>
      <c r="B13" s="24">
        <v>2012</v>
      </c>
      <c r="C13" s="25" t="s">
        <v>53</v>
      </c>
      <c r="D13" s="25" t="s">
        <v>54</v>
      </c>
      <c r="E13" s="26">
        <f t="shared" ref="E13:E44" si="3">(F13+G13)/((F13/H13)+(G13/I13))</f>
        <v>19.024256786967321</v>
      </c>
      <c r="F13" s="27">
        <f>AVERAGE(F12,F14)</f>
        <v>14.544765616863394</v>
      </c>
      <c r="G13" s="27">
        <f t="shared" ref="G13:O13" si="4">AVERAGE(G12,G14)</f>
        <v>30.056867906182781</v>
      </c>
      <c r="H13" s="27">
        <f t="shared" si="4"/>
        <v>15.675906310489154</v>
      </c>
      <c r="I13" s="27">
        <f t="shared" si="4"/>
        <v>21.217323557368879</v>
      </c>
      <c r="J13" s="27">
        <f t="shared" si="4"/>
        <v>58.805228136268752</v>
      </c>
      <c r="K13" s="27">
        <f t="shared" si="4"/>
        <v>34.415803080679396</v>
      </c>
      <c r="L13" s="27">
        <f t="shared" si="4"/>
        <v>51.863672916061283</v>
      </c>
      <c r="M13" s="27">
        <f t="shared" si="4"/>
        <v>44.155681789404269</v>
      </c>
      <c r="N13" s="27">
        <f t="shared" si="4"/>
        <v>62.610222901375252</v>
      </c>
      <c r="O13" s="27">
        <f t="shared" si="4"/>
        <v>70.125507511475064</v>
      </c>
      <c r="P13" s="28">
        <v>1.7284567</v>
      </c>
      <c r="S13" s="21"/>
      <c r="W13" s="14"/>
    </row>
    <row r="14" spans="1:30" ht="14.4" customHeight="1">
      <c r="A14" s="10" t="s">
        <v>1</v>
      </c>
      <c r="B14" s="11">
        <v>2013</v>
      </c>
      <c r="C14" s="14" t="s">
        <v>53</v>
      </c>
      <c r="D14" s="14" t="s">
        <v>54</v>
      </c>
      <c r="E14" s="3">
        <f t="shared" si="3"/>
        <v>15.086820821509582</v>
      </c>
      <c r="F14" s="12">
        <v>11.007127850493591</v>
      </c>
      <c r="G14" s="12">
        <v>31.165557094372438</v>
      </c>
      <c r="H14" s="12">
        <v>9.5464028404212193</v>
      </c>
      <c r="I14" s="12">
        <v>18.97654756768144</v>
      </c>
      <c r="J14" s="12">
        <v>48.452286113028542</v>
      </c>
      <c r="K14" s="12">
        <v>17.046510040121831</v>
      </c>
      <c r="L14" s="12">
        <v>27.96425891622826</v>
      </c>
      <c r="M14" s="12">
        <v>37.337639108996392</v>
      </c>
      <c r="N14" s="12">
        <v>57.353285384312692</v>
      </c>
      <c r="O14" s="12">
        <v>70.125507511475064</v>
      </c>
      <c r="P14" s="8">
        <v>1.7532264</v>
      </c>
      <c r="S14" s="21"/>
      <c r="W14" s="14"/>
    </row>
    <row r="15" spans="1:30" ht="14.4" customHeight="1">
      <c r="A15" s="10" t="s">
        <v>1</v>
      </c>
      <c r="B15" s="11">
        <v>2014</v>
      </c>
      <c r="C15" s="14" t="s">
        <v>53</v>
      </c>
      <c r="D15" s="14" t="s">
        <v>54</v>
      </c>
      <c r="E15" s="3">
        <f t="shared" si="3"/>
        <v>14.219971200693578</v>
      </c>
      <c r="F15" s="12">
        <v>13.04292336365709</v>
      </c>
      <c r="G15" s="12">
        <v>24.114130106985069</v>
      </c>
      <c r="H15" s="12">
        <v>11.969550514613539</v>
      </c>
      <c r="I15" s="12">
        <v>15.82973788806081</v>
      </c>
      <c r="J15" s="12">
        <v>48.975003591600391</v>
      </c>
      <c r="K15" s="12">
        <v>16.763935082300801</v>
      </c>
      <c r="L15" s="12">
        <v>30.889294664839859</v>
      </c>
      <c r="M15" s="12">
        <v>39.276241520667902</v>
      </c>
      <c r="N15" s="12">
        <v>55.520776853904671</v>
      </c>
      <c r="O15" s="12">
        <v>69.720098945451866</v>
      </c>
      <c r="P15" s="8">
        <v>1.6824306999999998</v>
      </c>
      <c r="S15" s="21"/>
      <c r="W15" s="14"/>
    </row>
    <row r="16" spans="1:30" ht="14.4" customHeight="1">
      <c r="A16" s="10" t="s">
        <v>1</v>
      </c>
      <c r="B16" s="11">
        <v>2015</v>
      </c>
      <c r="C16" s="14" t="s">
        <v>53</v>
      </c>
      <c r="D16" s="14" t="s">
        <v>54</v>
      </c>
      <c r="E16" s="3">
        <f t="shared" si="3"/>
        <v>17.258908806357773</v>
      </c>
      <c r="F16" s="12">
        <v>17.63994510389988</v>
      </c>
      <c r="G16" s="12">
        <v>22.677294196660931</v>
      </c>
      <c r="H16" s="12">
        <v>18.190366681530719</v>
      </c>
      <c r="I16" s="12">
        <v>16.59779217506275</v>
      </c>
      <c r="J16" s="12">
        <v>50.494389783741212</v>
      </c>
      <c r="K16" s="12">
        <v>17.40112843359972</v>
      </c>
      <c r="L16" s="12">
        <v>31.603760474296429</v>
      </c>
      <c r="M16" s="12">
        <v>42.641219631391237</v>
      </c>
      <c r="N16" s="12">
        <v>53.186027977274357</v>
      </c>
      <c r="O16" s="12" t="s">
        <v>35</v>
      </c>
      <c r="P16" s="8">
        <v>1.6588803999999999</v>
      </c>
      <c r="S16" s="21"/>
      <c r="W16" s="14"/>
    </row>
    <row r="17" spans="1:23" ht="14.4" customHeight="1">
      <c r="A17" s="10" t="s">
        <v>1</v>
      </c>
      <c r="B17" s="11">
        <v>2016</v>
      </c>
      <c r="C17" s="14" t="s">
        <v>53</v>
      </c>
      <c r="D17" s="14" t="s">
        <v>54</v>
      </c>
      <c r="E17" s="3">
        <f t="shared" si="3"/>
        <v>19.055756069791659</v>
      </c>
      <c r="F17" s="12">
        <v>12.41110970302306</v>
      </c>
      <c r="G17" s="12">
        <v>26.355819653387481</v>
      </c>
      <c r="H17" s="12">
        <v>14.579941601404879</v>
      </c>
      <c r="I17" s="12">
        <v>22.275989750903332</v>
      </c>
      <c r="J17" s="12">
        <v>54.073946123646323</v>
      </c>
      <c r="K17" s="12">
        <v>21.249283882099611</v>
      </c>
      <c r="L17" s="12">
        <v>36.31657403073352</v>
      </c>
      <c r="M17" s="12">
        <v>44.077729089410568</v>
      </c>
      <c r="N17" s="12">
        <v>58.964987301068703</v>
      </c>
      <c r="O17" s="12">
        <v>73.510269989747314</v>
      </c>
      <c r="P17" s="8">
        <v>1.7705122999999998</v>
      </c>
      <c r="S17" s="21"/>
      <c r="W17" s="14"/>
    </row>
    <row r="18" spans="1:23" ht="14.4" customHeight="1">
      <c r="A18" s="10" t="s">
        <v>1</v>
      </c>
      <c r="B18" s="11">
        <v>2017</v>
      </c>
      <c r="C18" s="14" t="s">
        <v>53</v>
      </c>
      <c r="D18" s="14" t="s">
        <v>54</v>
      </c>
      <c r="E18" s="3">
        <f t="shared" si="3"/>
        <v>24.385350078133374</v>
      </c>
      <c r="F18" s="12">
        <v>13.01868925787374</v>
      </c>
      <c r="G18" s="12">
        <v>31.41382448323095</v>
      </c>
      <c r="H18" s="12">
        <v>17.183106887644531</v>
      </c>
      <c r="I18" s="12">
        <v>29.511678828713549</v>
      </c>
      <c r="J18" s="12">
        <v>55.586899058913367</v>
      </c>
      <c r="K18" s="12">
        <v>23.092898172619421</v>
      </c>
      <c r="L18" s="12">
        <v>39.214345976523937</v>
      </c>
      <c r="M18" s="12">
        <v>47.169939442271399</v>
      </c>
      <c r="N18" s="12">
        <v>60.227593071580273</v>
      </c>
      <c r="O18" s="12">
        <v>73.960328667761459</v>
      </c>
      <c r="P18" s="8">
        <v>1.8439555999999999</v>
      </c>
      <c r="S18" s="21"/>
      <c r="W18" s="14"/>
    </row>
    <row r="19" spans="1:23" ht="14.4" customHeight="1">
      <c r="A19" s="10" t="s">
        <v>1</v>
      </c>
      <c r="B19" s="11">
        <v>2018</v>
      </c>
      <c r="C19" s="14" t="s">
        <v>53</v>
      </c>
      <c r="D19" s="14" t="s">
        <v>54</v>
      </c>
      <c r="E19" s="3">
        <f t="shared" si="3"/>
        <v>26.568473729637937</v>
      </c>
      <c r="F19" s="12">
        <v>20.135682390567691</v>
      </c>
      <c r="G19" s="12">
        <v>28.99778287385535</v>
      </c>
      <c r="H19" s="12">
        <v>27.342861608444061</v>
      </c>
      <c r="I19" s="12">
        <v>26.056055222656099</v>
      </c>
      <c r="J19" s="12">
        <v>55.860239602000469</v>
      </c>
      <c r="K19" s="12">
        <v>23.994097769551381</v>
      </c>
      <c r="L19" s="12">
        <v>39.868181901258417</v>
      </c>
      <c r="M19" s="12">
        <v>47.283129620838857</v>
      </c>
      <c r="N19" s="12">
        <v>62.978252464994242</v>
      </c>
      <c r="O19" s="12">
        <v>74.087982796123512</v>
      </c>
      <c r="P19" s="8">
        <v>1.642282</v>
      </c>
      <c r="S19" s="21"/>
      <c r="W19" s="14"/>
    </row>
    <row r="20" spans="1:23" ht="14.4" customHeight="1">
      <c r="A20" s="10" t="s">
        <v>1</v>
      </c>
      <c r="B20" s="11">
        <v>2019</v>
      </c>
      <c r="C20" s="14" t="s">
        <v>53</v>
      </c>
      <c r="D20" s="14" t="s">
        <v>54</v>
      </c>
      <c r="E20" s="3">
        <f t="shared" si="3"/>
        <v>28.195825070904228</v>
      </c>
      <c r="F20" s="12">
        <v>19.610852386861101</v>
      </c>
      <c r="G20" s="12">
        <v>34.249300449658023</v>
      </c>
      <c r="H20" s="12">
        <v>25.66530183684279</v>
      </c>
      <c r="I20" s="12">
        <v>29.882888012215851</v>
      </c>
      <c r="J20" s="12">
        <v>56.802298466382773</v>
      </c>
      <c r="K20" s="12">
        <v>21.252376825384861</v>
      </c>
      <c r="L20" s="12">
        <v>55.113367333269423</v>
      </c>
      <c r="M20" s="12">
        <v>49.673021276665693</v>
      </c>
      <c r="N20" s="12">
        <v>67.081864521111243</v>
      </c>
      <c r="O20" s="12">
        <v>79.896290373398045</v>
      </c>
      <c r="P20" s="8">
        <v>1.6826482999999999</v>
      </c>
      <c r="S20" s="21"/>
      <c r="W20" s="14"/>
    </row>
    <row r="21" spans="1:23" ht="14.4" customHeight="1">
      <c r="A21" s="10" t="s">
        <v>1</v>
      </c>
      <c r="B21" s="11">
        <v>2020</v>
      </c>
      <c r="C21" s="14" t="s">
        <v>53</v>
      </c>
      <c r="D21" s="14" t="s">
        <v>54</v>
      </c>
      <c r="E21" s="3">
        <f t="shared" si="3"/>
        <v>22.068606879891579</v>
      </c>
      <c r="F21" s="12">
        <v>19.863716135426621</v>
      </c>
      <c r="G21" s="12">
        <v>29.216807236502561</v>
      </c>
      <c r="H21" s="12">
        <v>22.43099991381505</v>
      </c>
      <c r="I21" s="12">
        <v>21.82883977171775</v>
      </c>
      <c r="J21" s="12">
        <v>55.61602182505586</v>
      </c>
      <c r="K21" s="12">
        <v>17.723338188258431</v>
      </c>
      <c r="L21" s="12">
        <v>50.962200355422787</v>
      </c>
      <c r="M21" s="12">
        <v>57.466361073788562</v>
      </c>
      <c r="N21" s="12">
        <v>49.10500530685011</v>
      </c>
      <c r="O21" s="12">
        <v>81.342945112450408</v>
      </c>
      <c r="P21" s="8">
        <v>1.5928787999999998</v>
      </c>
      <c r="S21" s="21"/>
      <c r="W21" s="14"/>
    </row>
    <row r="22" spans="1:23" ht="14.4" customHeight="1">
      <c r="A22" s="10" t="s">
        <v>1</v>
      </c>
      <c r="B22" s="11">
        <v>2021</v>
      </c>
      <c r="C22" s="14" t="s">
        <v>53</v>
      </c>
      <c r="D22" s="14" t="s">
        <v>54</v>
      </c>
      <c r="E22" s="3">
        <f t="shared" si="3"/>
        <v>31.297988354699644</v>
      </c>
      <c r="F22" s="12">
        <v>21.365880262245788</v>
      </c>
      <c r="G22" s="12">
        <v>32.692276003141231</v>
      </c>
      <c r="H22" s="12">
        <v>30.828454848119279</v>
      </c>
      <c r="I22" s="12">
        <v>31.612655531793269</v>
      </c>
      <c r="J22" s="12">
        <v>58.928482889337197</v>
      </c>
      <c r="K22" s="12">
        <v>22.482471826629808</v>
      </c>
      <c r="L22" s="12">
        <v>51.702710181685298</v>
      </c>
      <c r="M22" s="12">
        <v>52.996602444187147</v>
      </c>
      <c r="N22" s="12">
        <v>70.499761169454388</v>
      </c>
      <c r="O22" s="12" t="s">
        <v>35</v>
      </c>
      <c r="P22" s="8">
        <v>1.6316738</v>
      </c>
      <c r="S22" s="21"/>
      <c r="W22" s="14"/>
    </row>
    <row r="23" spans="1:23" ht="14.4" customHeight="1">
      <c r="A23" s="10" t="s">
        <v>1</v>
      </c>
      <c r="B23" s="11">
        <v>2022</v>
      </c>
      <c r="C23" s="14" t="s">
        <v>53</v>
      </c>
      <c r="D23" s="14" t="s">
        <v>54</v>
      </c>
      <c r="E23" s="3">
        <f t="shared" si="3"/>
        <v>24.363704766097364</v>
      </c>
      <c r="F23" s="12">
        <v>16.687971458361549</v>
      </c>
      <c r="G23" s="12">
        <v>35.011123494352987</v>
      </c>
      <c r="H23" s="12">
        <v>20.77966808981683</v>
      </c>
      <c r="I23" s="12">
        <v>26.546092670697121</v>
      </c>
      <c r="J23" s="12">
        <v>55.40126480099844</v>
      </c>
      <c r="K23" s="12">
        <v>20.08149309790905</v>
      </c>
      <c r="L23" s="12">
        <v>47.264803852361318</v>
      </c>
      <c r="M23" s="12">
        <v>52.258502228936763</v>
      </c>
      <c r="N23" s="12">
        <v>58.838594483381591</v>
      </c>
      <c r="O23" s="12">
        <v>79.655224213071122</v>
      </c>
      <c r="P23" s="8">
        <v>1.6322147999999999</v>
      </c>
      <c r="S23" s="21"/>
      <c r="W23" s="14"/>
    </row>
    <row r="24" spans="1:23" ht="14.4" customHeight="1">
      <c r="A24" s="10" t="s">
        <v>2</v>
      </c>
      <c r="B24" s="11">
        <v>2012</v>
      </c>
      <c r="C24" s="14" t="s">
        <v>51</v>
      </c>
      <c r="D24" s="14" t="s">
        <v>54</v>
      </c>
      <c r="E24" s="3">
        <f t="shared" si="3"/>
        <v>22.817898042264986</v>
      </c>
      <c r="F24" s="12">
        <v>14.91041379739965</v>
      </c>
      <c r="G24" s="12">
        <v>29.917283354666282</v>
      </c>
      <c r="H24" s="12">
        <v>18.222202073730479</v>
      </c>
      <c r="I24" s="12">
        <v>26.09832703791368</v>
      </c>
      <c r="J24" s="12">
        <v>59.908993287797273</v>
      </c>
      <c r="K24" s="12">
        <v>44.877249128838002</v>
      </c>
      <c r="L24" s="12">
        <v>41.847447161035163</v>
      </c>
      <c r="M24" s="12">
        <v>32.02143614754894</v>
      </c>
      <c r="N24" s="12">
        <v>64.90520267998059</v>
      </c>
      <c r="O24" s="12">
        <v>67.778872423064769</v>
      </c>
      <c r="P24" s="8">
        <v>1.5473793</v>
      </c>
      <c r="S24" s="21"/>
      <c r="W24" s="14"/>
    </row>
    <row r="25" spans="1:23" ht="14.4" customHeight="1">
      <c r="A25" s="10" t="s">
        <v>2</v>
      </c>
      <c r="B25" s="11">
        <v>2013</v>
      </c>
      <c r="C25" s="14" t="s">
        <v>51</v>
      </c>
      <c r="D25" s="14" t="s">
        <v>54</v>
      </c>
      <c r="E25" s="3">
        <f t="shared" si="3"/>
        <v>23.40688675534615</v>
      </c>
      <c r="F25" s="12">
        <v>10.95974704840936</v>
      </c>
      <c r="G25" s="12">
        <v>29.233413387239839</v>
      </c>
      <c r="H25" s="12">
        <v>13.953938885739831</v>
      </c>
      <c r="I25" s="12">
        <v>31.375484152208951</v>
      </c>
      <c r="J25" s="12">
        <v>59.625395233625433</v>
      </c>
      <c r="K25" s="12">
        <v>47.318503263334541</v>
      </c>
      <c r="L25" s="12">
        <v>42.243938877003799</v>
      </c>
      <c r="M25" s="12">
        <v>31.409331132832978</v>
      </c>
      <c r="N25" s="12">
        <v>68.397161805218673</v>
      </c>
      <c r="O25" s="12">
        <v>67.249755202396884</v>
      </c>
      <c r="P25" s="8">
        <v>1.5014761999999999</v>
      </c>
      <c r="S25" s="21"/>
      <c r="W25" s="14"/>
    </row>
    <row r="26" spans="1:23" ht="14.4" customHeight="1">
      <c r="A26" s="10" t="s">
        <v>2</v>
      </c>
      <c r="B26" s="11">
        <v>2014</v>
      </c>
      <c r="C26" s="14" t="s">
        <v>51</v>
      </c>
      <c r="D26" s="14" t="s">
        <v>54</v>
      </c>
      <c r="E26" s="3">
        <f t="shared" si="3"/>
        <v>26.814540008158595</v>
      </c>
      <c r="F26" s="12">
        <v>13.29593591963252</v>
      </c>
      <c r="G26" s="12">
        <v>28.23323164799605</v>
      </c>
      <c r="H26" s="12">
        <v>18.558805653931501</v>
      </c>
      <c r="I26" s="12">
        <v>33.920572349707491</v>
      </c>
      <c r="J26" s="12">
        <v>64.870434647212065</v>
      </c>
      <c r="K26" s="12">
        <v>48.837005988940618</v>
      </c>
      <c r="L26" s="12">
        <v>48.306127478327213</v>
      </c>
      <c r="M26" s="12">
        <v>31.0994436369715</v>
      </c>
      <c r="N26" s="12">
        <v>66.999051000872996</v>
      </c>
      <c r="O26" s="12">
        <v>64.43410896021804</v>
      </c>
      <c r="P26" s="8">
        <v>1.3238527999999998</v>
      </c>
      <c r="S26" s="21"/>
      <c r="W26" s="14"/>
    </row>
    <row r="27" spans="1:23" ht="14.4" customHeight="1">
      <c r="A27" s="10" t="s">
        <v>2</v>
      </c>
      <c r="B27" s="11">
        <v>2015</v>
      </c>
      <c r="C27" s="14" t="s">
        <v>51</v>
      </c>
      <c r="D27" s="14" t="s">
        <v>54</v>
      </c>
      <c r="E27" s="3">
        <f t="shared" si="3"/>
        <v>25.221463364306832</v>
      </c>
      <c r="F27" s="12">
        <v>11.347735704430891</v>
      </c>
      <c r="G27" s="12">
        <v>29.11226379344059</v>
      </c>
      <c r="H27" s="12">
        <v>17.237356719699239</v>
      </c>
      <c r="I27" s="12">
        <v>30.77839202457681</v>
      </c>
      <c r="J27" s="12">
        <v>65.718378775888837</v>
      </c>
      <c r="K27" s="12">
        <v>52.160956203212287</v>
      </c>
      <c r="L27" s="12">
        <v>43.741752515933428</v>
      </c>
      <c r="M27" s="12">
        <v>30.790631249790192</v>
      </c>
      <c r="N27" s="12">
        <v>57.354068160029527</v>
      </c>
      <c r="O27" s="12">
        <v>64.891057205047417</v>
      </c>
      <c r="P27" s="8">
        <v>1.2230295</v>
      </c>
      <c r="S27" s="21"/>
      <c r="W27" s="14"/>
    </row>
    <row r="28" spans="1:23" ht="14.4" customHeight="1">
      <c r="A28" s="10" t="s">
        <v>2</v>
      </c>
      <c r="B28" s="11">
        <v>2016</v>
      </c>
      <c r="C28" s="14" t="s">
        <v>51</v>
      </c>
      <c r="D28" s="14" t="s">
        <v>54</v>
      </c>
      <c r="E28" s="3">
        <f t="shared" si="3"/>
        <v>23.773777126581408</v>
      </c>
      <c r="F28" s="12">
        <v>11.03785303584392</v>
      </c>
      <c r="G28" s="12">
        <v>29.611158538917799</v>
      </c>
      <c r="H28" s="12">
        <v>16.00033632322118</v>
      </c>
      <c r="I28" s="12">
        <v>29.03128085268283</v>
      </c>
      <c r="J28" s="12">
        <v>61.210161111131768</v>
      </c>
      <c r="K28" s="12">
        <v>47.924933381833327</v>
      </c>
      <c r="L28" s="12">
        <v>40.431560569771037</v>
      </c>
      <c r="M28" s="12">
        <v>31.226939242070092</v>
      </c>
      <c r="N28" s="12">
        <v>50.38033637249216</v>
      </c>
      <c r="O28" s="12">
        <v>63.848785484716032</v>
      </c>
      <c r="P28" s="8">
        <v>1.2761321999999999</v>
      </c>
      <c r="S28" s="21"/>
      <c r="W28" s="14"/>
    </row>
    <row r="29" spans="1:23" ht="14.4" customHeight="1">
      <c r="A29" s="10" t="s">
        <v>2</v>
      </c>
      <c r="B29" s="11">
        <v>2017</v>
      </c>
      <c r="C29" s="14" t="s">
        <v>51</v>
      </c>
      <c r="D29" s="14" t="s">
        <v>54</v>
      </c>
      <c r="E29" s="3">
        <f t="shared" si="3"/>
        <v>23.038290701968094</v>
      </c>
      <c r="F29" s="12">
        <v>9.3118770459122651</v>
      </c>
      <c r="G29" s="12">
        <v>30.42124654978787</v>
      </c>
      <c r="H29" s="12">
        <v>13.63764964904343</v>
      </c>
      <c r="I29" s="12">
        <v>29.199277416826789</v>
      </c>
      <c r="J29" s="12">
        <v>61.829447608555618</v>
      </c>
      <c r="K29" s="12">
        <v>47.255859618004123</v>
      </c>
      <c r="L29" s="12">
        <v>43.399800685280603</v>
      </c>
      <c r="M29" s="12">
        <v>32.405517420109327</v>
      </c>
      <c r="N29" s="12">
        <v>55.531331119923607</v>
      </c>
      <c r="O29" s="12">
        <v>62.867921263494011</v>
      </c>
      <c r="P29" s="8">
        <v>1.2402076</v>
      </c>
      <c r="S29" s="21"/>
      <c r="W29" s="14"/>
    </row>
    <row r="30" spans="1:23" ht="14.4" customHeight="1">
      <c r="A30" s="10" t="s">
        <v>2</v>
      </c>
      <c r="B30" s="11">
        <v>2018</v>
      </c>
      <c r="C30" s="14" t="s">
        <v>51</v>
      </c>
      <c r="D30" s="14" t="s">
        <v>54</v>
      </c>
      <c r="E30" s="3">
        <f t="shared" si="3"/>
        <v>23.482585587793288</v>
      </c>
      <c r="F30" s="12">
        <v>12.544543254591909</v>
      </c>
      <c r="G30" s="12">
        <v>26.052712914958519</v>
      </c>
      <c r="H30" s="12">
        <v>18.83433274646935</v>
      </c>
      <c r="I30" s="12">
        <v>26.649451529025178</v>
      </c>
      <c r="J30" s="12">
        <v>62.515415556977729</v>
      </c>
      <c r="K30" s="12">
        <v>50.178284977243223</v>
      </c>
      <c r="L30" s="12">
        <v>42.117337266156447</v>
      </c>
      <c r="M30" s="12">
        <v>32.11095639199474</v>
      </c>
      <c r="N30" s="12">
        <v>61.783506024038168</v>
      </c>
      <c r="O30" s="12">
        <v>60.81847178150818</v>
      </c>
      <c r="P30" s="8">
        <v>1.1753875</v>
      </c>
      <c r="S30" s="21"/>
      <c r="W30" s="14"/>
    </row>
    <row r="31" spans="1:23" ht="14.4" customHeight="1">
      <c r="A31" s="10" t="s">
        <v>2</v>
      </c>
      <c r="B31" s="11">
        <v>2019</v>
      </c>
      <c r="C31" s="14" t="s">
        <v>51</v>
      </c>
      <c r="D31" s="14" t="s">
        <v>54</v>
      </c>
      <c r="E31" s="3">
        <f t="shared" si="3"/>
        <v>36.567168096242106</v>
      </c>
      <c r="F31" s="12">
        <v>14.362867152378479</v>
      </c>
      <c r="G31" s="12">
        <v>26.66002693776182</v>
      </c>
      <c r="H31" s="12">
        <v>31.594539158043279</v>
      </c>
      <c r="I31" s="12">
        <v>39.95503297811819</v>
      </c>
      <c r="J31" s="12">
        <v>75.54101215646439</v>
      </c>
      <c r="K31" s="12">
        <v>55.936090189024853</v>
      </c>
      <c r="L31" s="12">
        <v>70.963565547225599</v>
      </c>
      <c r="M31" s="12">
        <v>58.008634691754438</v>
      </c>
      <c r="N31" s="12">
        <v>47.623379134203859</v>
      </c>
      <c r="O31" s="12">
        <v>74.580688700146965</v>
      </c>
      <c r="P31" s="8">
        <v>1.0772531999999999</v>
      </c>
      <c r="S31" s="21"/>
      <c r="W31" s="14"/>
    </row>
    <row r="32" spans="1:23" ht="14.4" customHeight="1">
      <c r="A32" s="10" t="s">
        <v>2</v>
      </c>
      <c r="B32" s="11">
        <v>2020</v>
      </c>
      <c r="C32" s="14" t="s">
        <v>51</v>
      </c>
      <c r="D32" s="14" t="s">
        <v>54</v>
      </c>
      <c r="E32" s="3">
        <f t="shared" si="3"/>
        <v>27.852872673026909</v>
      </c>
      <c r="F32" s="12">
        <v>18.22600184896784</v>
      </c>
      <c r="G32" s="12">
        <v>26.001074636384701</v>
      </c>
      <c r="H32" s="12">
        <v>28.34420904021356</v>
      </c>
      <c r="I32" s="12">
        <v>27.518493412043352</v>
      </c>
      <c r="J32" s="12">
        <v>71.694816674809346</v>
      </c>
      <c r="K32" s="12">
        <v>51.915821321428332</v>
      </c>
      <c r="L32" s="12">
        <v>65.752965428025405</v>
      </c>
      <c r="M32" s="12">
        <v>50.525529169785322</v>
      </c>
      <c r="N32" s="12">
        <v>46.688562199085332</v>
      </c>
      <c r="O32" s="12" t="s">
        <v>35</v>
      </c>
      <c r="P32" s="8">
        <v>0.89026640000000001</v>
      </c>
      <c r="S32" s="21"/>
      <c r="W32" s="14"/>
    </row>
    <row r="33" spans="1:23" ht="14.4" customHeight="1">
      <c r="A33" s="10" t="s">
        <v>2</v>
      </c>
      <c r="B33" s="11">
        <v>2021</v>
      </c>
      <c r="C33" s="14" t="s">
        <v>51</v>
      </c>
      <c r="D33" s="14" t="s">
        <v>54</v>
      </c>
      <c r="E33" s="3">
        <f t="shared" si="3"/>
        <v>32.932848469951644</v>
      </c>
      <c r="F33" s="12">
        <v>13.80123889479499</v>
      </c>
      <c r="G33" s="12">
        <v>31.559951774883441</v>
      </c>
      <c r="H33" s="12">
        <v>24.70705110704381</v>
      </c>
      <c r="I33" s="12">
        <v>38.544659664138422</v>
      </c>
      <c r="J33" s="12">
        <v>70.722215023072565</v>
      </c>
      <c r="K33" s="12">
        <v>51.445540060403758</v>
      </c>
      <c r="L33" s="12">
        <v>70.720469475008215</v>
      </c>
      <c r="M33" s="12">
        <v>49.720552395274588</v>
      </c>
      <c r="N33" s="12">
        <v>59.748497035412413</v>
      </c>
      <c r="O33" s="12" t="s">
        <v>35</v>
      </c>
      <c r="P33" s="8">
        <v>0.87368939999999995</v>
      </c>
      <c r="S33" s="21"/>
      <c r="W33" s="14"/>
    </row>
    <row r="34" spans="1:23" ht="14.4" customHeight="1">
      <c r="A34" s="10" t="s">
        <v>2</v>
      </c>
      <c r="B34" s="11">
        <v>2022</v>
      </c>
      <c r="C34" s="14" t="s">
        <v>51</v>
      </c>
      <c r="D34" s="14" t="s">
        <v>54</v>
      </c>
      <c r="E34" s="3">
        <f t="shared" si="3"/>
        <v>26.628344728782722</v>
      </c>
      <c r="F34" s="12">
        <v>13.09136152382808</v>
      </c>
      <c r="G34" s="12">
        <v>27.426524769186781</v>
      </c>
      <c r="H34" s="12">
        <v>21.30214024730169</v>
      </c>
      <c r="I34" s="12">
        <v>30.23701825009589</v>
      </c>
      <c r="J34" s="12">
        <v>70.089453017797837</v>
      </c>
      <c r="K34" s="12">
        <v>48.218213316381011</v>
      </c>
      <c r="L34" s="12">
        <v>68.551868202834925</v>
      </c>
      <c r="M34" s="12">
        <v>50.226008993019633</v>
      </c>
      <c r="N34" s="12">
        <v>50.504280217669859</v>
      </c>
      <c r="O34" s="12">
        <v>65.395739941009367</v>
      </c>
      <c r="P34" s="8">
        <v>0.82780029999999993</v>
      </c>
      <c r="S34" s="21"/>
      <c r="W34" s="14"/>
    </row>
    <row r="35" spans="1:23" ht="14.4" customHeight="1">
      <c r="A35" s="10" t="s">
        <v>3</v>
      </c>
      <c r="B35" s="11">
        <v>2012</v>
      </c>
      <c r="C35" s="14" t="s">
        <v>51</v>
      </c>
      <c r="D35" s="14" t="s">
        <v>52</v>
      </c>
      <c r="E35" s="3">
        <f t="shared" si="3"/>
        <v>23.34368954361921</v>
      </c>
      <c r="F35" s="12">
        <v>21.009883375439959</v>
      </c>
      <c r="G35" s="12">
        <v>32.826642843815073</v>
      </c>
      <c r="H35" s="12">
        <v>20.938715463267261</v>
      </c>
      <c r="I35" s="12">
        <v>25.195886562421482</v>
      </c>
      <c r="J35" s="12">
        <v>56.567149720054658</v>
      </c>
      <c r="K35" s="12">
        <v>56.909865528112412</v>
      </c>
      <c r="L35" s="12">
        <v>29.991304251519701</v>
      </c>
      <c r="M35" s="12">
        <v>34.670326552378647</v>
      </c>
      <c r="N35" s="12">
        <v>71.799310058406476</v>
      </c>
      <c r="O35" s="12">
        <v>75.492872033957866</v>
      </c>
      <c r="P35" s="8">
        <v>0.22190799999999999</v>
      </c>
      <c r="S35" s="21"/>
      <c r="W35" s="14"/>
    </row>
    <row r="36" spans="1:23" ht="14.4" customHeight="1">
      <c r="A36" s="10" t="s">
        <v>3</v>
      </c>
      <c r="B36" s="11">
        <v>2013</v>
      </c>
      <c r="C36" s="14" t="s">
        <v>51</v>
      </c>
      <c r="D36" s="14" t="s">
        <v>52</v>
      </c>
      <c r="E36" s="3">
        <f t="shared" si="3"/>
        <v>24.543505344682217</v>
      </c>
      <c r="F36" s="12">
        <v>19.650579044367419</v>
      </c>
      <c r="G36" s="12">
        <v>27.761816833116349</v>
      </c>
      <c r="H36" s="12">
        <v>22.970642659756251</v>
      </c>
      <c r="I36" s="12">
        <v>25.79364293671966</v>
      </c>
      <c r="J36" s="12">
        <v>57.843313298847853</v>
      </c>
      <c r="K36" s="12">
        <v>57.173181492619292</v>
      </c>
      <c r="L36" s="12">
        <v>22.847897407974141</v>
      </c>
      <c r="M36" s="12">
        <v>35.15172947003785</v>
      </c>
      <c r="N36" s="12">
        <v>67.697080849281022</v>
      </c>
      <c r="O36" s="12">
        <v>71.362103686546519</v>
      </c>
      <c r="P36" s="8">
        <v>0.23608119999999999</v>
      </c>
      <c r="S36" s="21"/>
      <c r="W36" s="14"/>
    </row>
    <row r="37" spans="1:23" ht="14.4" customHeight="1">
      <c r="A37" s="10" t="s">
        <v>3</v>
      </c>
      <c r="B37" s="11">
        <v>2014</v>
      </c>
      <c r="C37" s="14" t="s">
        <v>51</v>
      </c>
      <c r="D37" s="14" t="s">
        <v>52</v>
      </c>
      <c r="E37" s="3">
        <f t="shared" si="3"/>
        <v>18.843962522820632</v>
      </c>
      <c r="F37" s="12">
        <v>16.118055997363371</v>
      </c>
      <c r="G37" s="12">
        <v>30.613805940496249</v>
      </c>
      <c r="H37" s="12">
        <v>14.733943767917269</v>
      </c>
      <c r="I37" s="12">
        <v>22.087918239723589</v>
      </c>
      <c r="J37" s="12">
        <v>57.411695947377233</v>
      </c>
      <c r="K37" s="12">
        <v>51.278178407848849</v>
      </c>
      <c r="L37" s="12">
        <v>26.773187637456939</v>
      </c>
      <c r="M37" s="12">
        <v>34.332444796455249</v>
      </c>
      <c r="N37" s="12">
        <v>65.741204237497811</v>
      </c>
      <c r="O37" s="12">
        <v>67.133778891880439</v>
      </c>
      <c r="P37" s="8">
        <v>0.25627069999999996</v>
      </c>
      <c r="S37" s="21"/>
      <c r="W37" s="14"/>
    </row>
    <row r="38" spans="1:23" ht="14.4" customHeight="1">
      <c r="A38" s="10" t="s">
        <v>3</v>
      </c>
      <c r="B38" s="11">
        <v>2015</v>
      </c>
      <c r="C38" s="14" t="s">
        <v>51</v>
      </c>
      <c r="D38" s="14" t="s">
        <v>52</v>
      </c>
      <c r="E38" s="3">
        <f t="shared" si="3"/>
        <v>22.358825972256081</v>
      </c>
      <c r="F38" s="12">
        <v>17.972091214491929</v>
      </c>
      <c r="G38" s="12">
        <v>27.144395357867261</v>
      </c>
      <c r="H38" s="12">
        <v>20.324891445193501</v>
      </c>
      <c r="I38" s="12">
        <v>23.945356695886041</v>
      </c>
      <c r="J38" s="12">
        <v>59.472294280940552</v>
      </c>
      <c r="K38" s="12">
        <v>51.805102574215312</v>
      </c>
      <c r="L38" s="12">
        <v>29.092186846570321</v>
      </c>
      <c r="M38" s="12">
        <v>37.830914119145667</v>
      </c>
      <c r="N38" s="12">
        <v>58.262137395006327</v>
      </c>
      <c r="O38" s="12">
        <v>69.843396745834923</v>
      </c>
      <c r="P38" s="8">
        <v>0.30948319999999996</v>
      </c>
      <c r="S38" s="21"/>
      <c r="W38" s="14"/>
    </row>
    <row r="39" spans="1:23" ht="14.4" customHeight="1">
      <c r="A39" s="10" t="s">
        <v>3</v>
      </c>
      <c r="B39" s="11">
        <v>2016</v>
      </c>
      <c r="C39" s="14" t="s">
        <v>51</v>
      </c>
      <c r="D39" s="14" t="s">
        <v>52</v>
      </c>
      <c r="E39" s="3">
        <f t="shared" si="3"/>
        <v>28.916252675040266</v>
      </c>
      <c r="F39" s="12">
        <v>25.26482676409081</v>
      </c>
      <c r="G39" s="12">
        <v>26.984613941987259</v>
      </c>
      <c r="H39" s="12">
        <v>25.955248236310741</v>
      </c>
      <c r="I39" s="12">
        <v>32.374152389796883</v>
      </c>
      <c r="J39" s="12">
        <v>67.917876469339376</v>
      </c>
      <c r="K39" s="12">
        <v>53.014108819937853</v>
      </c>
      <c r="L39" s="12">
        <v>48.114199835186277</v>
      </c>
      <c r="M39" s="12">
        <v>25.578389610065781</v>
      </c>
      <c r="N39" s="12">
        <v>51.39542739970009</v>
      </c>
      <c r="O39" s="12">
        <v>76.203618458094908</v>
      </c>
      <c r="P39" s="8">
        <v>0.27294619999999997</v>
      </c>
      <c r="S39" s="21"/>
      <c r="W39" s="14"/>
    </row>
    <row r="40" spans="1:23" ht="14.4" customHeight="1">
      <c r="A40" s="10" t="s">
        <v>3</v>
      </c>
      <c r="B40" s="11">
        <v>2017</v>
      </c>
      <c r="C40" s="14" t="s">
        <v>51</v>
      </c>
      <c r="D40" s="14" t="s">
        <v>52</v>
      </c>
      <c r="E40" s="3">
        <f t="shared" si="3"/>
        <v>20.387996400111355</v>
      </c>
      <c r="F40" s="12">
        <v>19.88273391386878</v>
      </c>
      <c r="G40" s="12">
        <v>27.609621867956982</v>
      </c>
      <c r="H40" s="12">
        <v>20.22395208001938</v>
      </c>
      <c r="I40" s="12">
        <v>20.50778890618966</v>
      </c>
      <c r="J40" s="12">
        <v>68.495220729061117</v>
      </c>
      <c r="K40" s="12">
        <v>56.863379333469958</v>
      </c>
      <c r="L40" s="12">
        <v>41.715079722108541</v>
      </c>
      <c r="M40" s="12">
        <v>28.08376475375529</v>
      </c>
      <c r="N40" s="12">
        <v>52.403254327310357</v>
      </c>
      <c r="O40" s="12">
        <v>75.343288046678666</v>
      </c>
      <c r="P40" s="8">
        <v>0.16835729999999999</v>
      </c>
      <c r="S40" s="21"/>
      <c r="W40" s="14"/>
    </row>
    <row r="41" spans="1:23" ht="14.4" customHeight="1">
      <c r="A41" s="10" t="s">
        <v>3</v>
      </c>
      <c r="B41" s="11">
        <v>2018</v>
      </c>
      <c r="C41" s="14" t="s">
        <v>51</v>
      </c>
      <c r="D41" s="14" t="s">
        <v>52</v>
      </c>
      <c r="E41" s="3">
        <f t="shared" si="3"/>
        <v>21.274725696991798</v>
      </c>
      <c r="F41" s="12">
        <v>14.39751830845031</v>
      </c>
      <c r="G41" s="12">
        <v>28.64650663334773</v>
      </c>
      <c r="H41" s="12">
        <v>17.07219517194163</v>
      </c>
      <c r="I41" s="12">
        <v>24.278437126589122</v>
      </c>
      <c r="J41" s="12">
        <v>66.396656241239157</v>
      </c>
      <c r="K41" s="12">
        <v>50.151353180247561</v>
      </c>
      <c r="L41" s="12">
        <v>42.127816147390803</v>
      </c>
      <c r="M41" s="12">
        <v>27.732374178554071</v>
      </c>
      <c r="N41" s="12">
        <v>57.479712160272882</v>
      </c>
      <c r="O41" s="12">
        <v>84.181937153826723</v>
      </c>
      <c r="P41" s="8">
        <v>0.10885399999999999</v>
      </c>
      <c r="S41" s="21"/>
      <c r="W41" s="14"/>
    </row>
    <row r="42" spans="1:23" ht="14.4" customHeight="1">
      <c r="A42" s="10" t="s">
        <v>3</v>
      </c>
      <c r="B42" s="11">
        <v>2019</v>
      </c>
      <c r="C42" s="14" t="s">
        <v>51</v>
      </c>
      <c r="D42" s="14" t="s">
        <v>52</v>
      </c>
      <c r="E42" s="3">
        <f t="shared" si="3"/>
        <v>26.201727894151951</v>
      </c>
      <c r="F42" s="12">
        <v>19.783133554204881</v>
      </c>
      <c r="G42" s="12">
        <v>30.33680772058737</v>
      </c>
      <c r="H42" s="12">
        <v>24.958627683087471</v>
      </c>
      <c r="I42" s="12">
        <v>27.08131821547035</v>
      </c>
      <c r="J42" s="12">
        <v>72.372129661653901</v>
      </c>
      <c r="K42" s="12">
        <v>42.193640763567288</v>
      </c>
      <c r="L42" s="12">
        <v>66.530969092371052</v>
      </c>
      <c r="M42" s="12">
        <v>38.350447037124539</v>
      </c>
      <c r="N42" s="12">
        <v>46.68449522242198</v>
      </c>
      <c r="O42" s="12">
        <v>65.416092808592353</v>
      </c>
      <c r="P42" s="8">
        <v>0.23233509999999999</v>
      </c>
      <c r="S42" s="21"/>
      <c r="W42" s="14"/>
    </row>
    <row r="43" spans="1:23" ht="14.4" customHeight="1">
      <c r="A43" s="10" t="s">
        <v>3</v>
      </c>
      <c r="B43" s="11">
        <v>2020</v>
      </c>
      <c r="C43" s="14" t="s">
        <v>51</v>
      </c>
      <c r="D43" s="14" t="s">
        <v>52</v>
      </c>
      <c r="E43" s="3">
        <f t="shared" si="3"/>
        <v>35.62150206411895</v>
      </c>
      <c r="F43" s="12">
        <v>19.580830565746069</v>
      </c>
      <c r="G43" s="12">
        <v>31.588734764299009</v>
      </c>
      <c r="H43" s="12">
        <v>33.127484312489251</v>
      </c>
      <c r="I43" s="12">
        <v>37.36522535051536</v>
      </c>
      <c r="J43" s="12">
        <v>64.801064257540773</v>
      </c>
      <c r="K43" s="12">
        <v>43.275164000271722</v>
      </c>
      <c r="L43" s="12">
        <v>66.902986005319491</v>
      </c>
      <c r="M43" s="12">
        <v>42.494985500227422</v>
      </c>
      <c r="N43" s="12">
        <v>47.886386965702663</v>
      </c>
      <c r="O43" s="12">
        <v>58.277430553084052</v>
      </c>
      <c r="P43" s="8">
        <v>0.16083899999999998</v>
      </c>
      <c r="S43" s="21"/>
      <c r="W43" s="14"/>
    </row>
    <row r="44" spans="1:23" ht="14.4" customHeight="1">
      <c r="A44" s="10" t="s">
        <v>3</v>
      </c>
      <c r="B44" s="11">
        <v>2021</v>
      </c>
      <c r="C44" s="14" t="s">
        <v>51</v>
      </c>
      <c r="D44" s="14" t="s">
        <v>52</v>
      </c>
      <c r="E44" s="3">
        <f t="shared" si="3"/>
        <v>16.840192816577048</v>
      </c>
      <c r="F44" s="12">
        <v>17.16310923052464</v>
      </c>
      <c r="G44" s="12">
        <v>30.495357271851908</v>
      </c>
      <c r="H44" s="12">
        <v>15.06617836557016</v>
      </c>
      <c r="I44" s="12">
        <v>18.035396679570109</v>
      </c>
      <c r="J44" s="12">
        <v>56.236937699335108</v>
      </c>
      <c r="K44" s="12">
        <v>25.740477797444751</v>
      </c>
      <c r="L44" s="12">
        <v>58.182983273209693</v>
      </c>
      <c r="M44" s="12">
        <v>47.625146019632929</v>
      </c>
      <c r="N44" s="12">
        <v>38.105472268672472</v>
      </c>
      <c r="O44" s="12">
        <v>61.90469682101174</v>
      </c>
      <c r="P44" s="8">
        <v>0.23657909999999999</v>
      </c>
      <c r="S44" s="21"/>
      <c r="W44" s="14"/>
    </row>
    <row r="45" spans="1:23" ht="14.4" customHeight="1">
      <c r="A45" s="10" t="s">
        <v>3</v>
      </c>
      <c r="B45" s="11">
        <v>2022</v>
      </c>
      <c r="C45" s="14" t="s">
        <v>51</v>
      </c>
      <c r="D45" s="14" t="s">
        <v>52</v>
      </c>
      <c r="E45" s="3">
        <f t="shared" ref="E45:E76" si="5">(F45+G45)/((F45/H45)+(G45/I45))</f>
        <v>29.131811839320822</v>
      </c>
      <c r="F45" s="12">
        <v>14.016026973973959</v>
      </c>
      <c r="G45" s="12">
        <v>31.74876026528047</v>
      </c>
      <c r="H45" s="12">
        <v>22.52074092490658</v>
      </c>
      <c r="I45" s="12">
        <v>33.469249755885762</v>
      </c>
      <c r="J45" s="12">
        <v>66.563222411254159</v>
      </c>
      <c r="K45" s="12">
        <v>26.395881989640358</v>
      </c>
      <c r="L45" s="12">
        <v>63.799241160750512</v>
      </c>
      <c r="M45" s="12">
        <v>38.531765832826061</v>
      </c>
      <c r="N45" s="12">
        <v>53.441776256168687</v>
      </c>
      <c r="O45" s="12">
        <v>61.640784900934733</v>
      </c>
      <c r="P45" s="8">
        <v>0.18642129999999998</v>
      </c>
      <c r="S45" s="21"/>
      <c r="W45" s="14"/>
    </row>
    <row r="46" spans="1:23" ht="14.4" customHeight="1">
      <c r="A46" s="10" t="s">
        <v>4</v>
      </c>
      <c r="B46" s="11">
        <v>2012</v>
      </c>
      <c r="C46" s="14" t="s">
        <v>55</v>
      </c>
      <c r="D46" s="14" t="s">
        <v>54</v>
      </c>
      <c r="E46" s="3">
        <f t="shared" si="5"/>
        <v>12.384488698076447</v>
      </c>
      <c r="F46" s="12">
        <v>15.98967394424306</v>
      </c>
      <c r="G46" s="12">
        <v>38.284271707933897</v>
      </c>
      <c r="H46" s="12">
        <v>8.5704525329629142</v>
      </c>
      <c r="I46" s="12">
        <v>15.21185796174767</v>
      </c>
      <c r="J46" s="12">
        <v>44.061099086508626</v>
      </c>
      <c r="K46" s="12">
        <v>23.584809203664729</v>
      </c>
      <c r="L46" s="12">
        <v>23.48444801828694</v>
      </c>
      <c r="M46" s="12">
        <v>46.304034950644713</v>
      </c>
      <c r="N46" s="12">
        <v>17.148067900284939</v>
      </c>
      <c r="O46" s="12">
        <v>41.733570654062873</v>
      </c>
      <c r="P46" s="8">
        <v>0.20644959999999998</v>
      </c>
      <c r="S46" s="21"/>
      <c r="W46" s="14"/>
    </row>
    <row r="47" spans="1:23" ht="14.4" customHeight="1">
      <c r="A47" s="10" t="s">
        <v>4</v>
      </c>
      <c r="B47" s="11">
        <v>2013</v>
      </c>
      <c r="C47" s="14" t="s">
        <v>55</v>
      </c>
      <c r="D47" s="14" t="s">
        <v>54</v>
      </c>
      <c r="E47" s="3">
        <f t="shared" si="5"/>
        <v>12.775095859632087</v>
      </c>
      <c r="F47" s="12">
        <v>14.32341394072111</v>
      </c>
      <c r="G47" s="12">
        <v>38.827604803270241</v>
      </c>
      <c r="H47" s="12">
        <v>9.0936803859682378</v>
      </c>
      <c r="I47" s="12">
        <v>15.017893617971961</v>
      </c>
      <c r="J47" s="12">
        <v>47.1763085971808</v>
      </c>
      <c r="K47" s="12">
        <v>24.08573949532455</v>
      </c>
      <c r="L47" s="12">
        <v>24.449101517392499</v>
      </c>
      <c r="M47" s="12">
        <v>46.032203198476743</v>
      </c>
      <c r="N47" s="12">
        <v>17.58442610875889</v>
      </c>
      <c r="O47" s="12">
        <v>43.074664306094121</v>
      </c>
      <c r="P47" s="8">
        <v>0.2263801</v>
      </c>
      <c r="S47" s="21"/>
      <c r="W47" s="14"/>
    </row>
    <row r="48" spans="1:23" ht="14.4" customHeight="1">
      <c r="A48" s="10" t="s">
        <v>4</v>
      </c>
      <c r="B48" s="11">
        <v>2014</v>
      </c>
      <c r="C48" s="14" t="s">
        <v>55</v>
      </c>
      <c r="D48" s="14" t="s">
        <v>54</v>
      </c>
      <c r="E48" s="3">
        <f t="shared" si="5"/>
        <v>10.842533896778901</v>
      </c>
      <c r="F48" s="12">
        <v>10.497565265410801</v>
      </c>
      <c r="G48" s="12">
        <v>36.064805825662091</v>
      </c>
      <c r="H48" s="12">
        <v>6.4606325042565436</v>
      </c>
      <c r="I48" s="12">
        <v>13.50960962505602</v>
      </c>
      <c r="J48" s="12">
        <v>45.905668803916669</v>
      </c>
      <c r="K48" s="12">
        <v>22.870727385318212</v>
      </c>
      <c r="L48" s="12">
        <v>25.0548585942716</v>
      </c>
      <c r="M48" s="12">
        <v>44.468585528495801</v>
      </c>
      <c r="N48" s="12">
        <v>18.426556172733839</v>
      </c>
      <c r="O48" s="12">
        <v>46.576264027275784</v>
      </c>
      <c r="P48" s="8">
        <v>0.11907379999999999</v>
      </c>
      <c r="S48" s="21"/>
      <c r="W48" s="14"/>
    </row>
    <row r="49" spans="1:23" ht="14.4" customHeight="1">
      <c r="A49" s="10" t="s">
        <v>4</v>
      </c>
      <c r="B49" s="11">
        <v>2015</v>
      </c>
      <c r="C49" s="14" t="s">
        <v>55</v>
      </c>
      <c r="D49" s="14" t="s">
        <v>54</v>
      </c>
      <c r="E49" s="3">
        <f t="shared" si="5"/>
        <v>9.750043188853768</v>
      </c>
      <c r="F49" s="12">
        <v>13.781618422559131</v>
      </c>
      <c r="G49" s="12">
        <v>30.590164943967679</v>
      </c>
      <c r="H49" s="12">
        <v>7.9863098577720972</v>
      </c>
      <c r="I49" s="12">
        <v>10.82731677581296</v>
      </c>
      <c r="J49" s="12">
        <v>47.517627260377431</v>
      </c>
      <c r="K49" s="12">
        <v>20.87279889408989</v>
      </c>
      <c r="L49" s="12">
        <v>24.610607407917868</v>
      </c>
      <c r="M49" s="12">
        <v>44.734653370453657</v>
      </c>
      <c r="N49" s="12">
        <v>22.296336617417751</v>
      </c>
      <c r="O49" s="12">
        <v>42.340858081495099</v>
      </c>
      <c r="P49" s="8">
        <v>0.14628059999999998</v>
      </c>
      <c r="S49" s="21"/>
      <c r="W49" s="14"/>
    </row>
    <row r="50" spans="1:23" ht="14.4" customHeight="1">
      <c r="A50" s="10" t="s">
        <v>4</v>
      </c>
      <c r="B50" s="11">
        <v>2016</v>
      </c>
      <c r="C50" s="14" t="s">
        <v>55</v>
      </c>
      <c r="D50" s="14" t="s">
        <v>54</v>
      </c>
      <c r="E50" s="3">
        <f t="shared" si="5"/>
        <v>11.246191629349171</v>
      </c>
      <c r="F50" s="12">
        <v>13.48421689643928</v>
      </c>
      <c r="G50" s="12">
        <v>32.834432703522893</v>
      </c>
      <c r="H50" s="12">
        <v>8.5945902719806941</v>
      </c>
      <c r="I50" s="12">
        <v>12.877821591176859</v>
      </c>
      <c r="J50" s="12">
        <v>50.151804396762323</v>
      </c>
      <c r="K50" s="12">
        <v>22.32100187639444</v>
      </c>
      <c r="L50" s="12">
        <v>30.6889136916691</v>
      </c>
      <c r="M50" s="12">
        <v>45.970476969582272</v>
      </c>
      <c r="N50" s="12">
        <v>24.550501273858639</v>
      </c>
      <c r="O50" s="12">
        <v>45.619318325963512</v>
      </c>
      <c r="P50" s="8">
        <v>0.180344</v>
      </c>
      <c r="S50" s="21"/>
      <c r="W50" s="14"/>
    </row>
    <row r="51" spans="1:23" ht="14.4" customHeight="1">
      <c r="A51" s="10" t="s">
        <v>4</v>
      </c>
      <c r="B51" s="11">
        <v>2017</v>
      </c>
      <c r="C51" s="14" t="s">
        <v>55</v>
      </c>
      <c r="D51" s="14" t="s">
        <v>54</v>
      </c>
      <c r="E51" s="3">
        <f t="shared" si="5"/>
        <v>11.971388220726181</v>
      </c>
      <c r="F51" s="12">
        <v>16.08671697169904</v>
      </c>
      <c r="G51" s="12">
        <v>30.519841352434021</v>
      </c>
      <c r="H51" s="12">
        <v>10.731064044473349</v>
      </c>
      <c r="I51" s="12">
        <v>12.748029806912861</v>
      </c>
      <c r="J51" s="12">
        <v>50.842226218865051</v>
      </c>
      <c r="K51" s="12">
        <v>22.834380877883191</v>
      </c>
      <c r="L51" s="12">
        <v>32.320653751313223</v>
      </c>
      <c r="M51" s="12">
        <v>37.096000096620493</v>
      </c>
      <c r="N51" s="12">
        <v>33.586923208106107</v>
      </c>
      <c r="O51" s="12">
        <v>47.711810123304673</v>
      </c>
      <c r="P51" s="8">
        <v>0.2956415</v>
      </c>
      <c r="S51" s="21"/>
      <c r="W51" s="14"/>
    </row>
    <row r="52" spans="1:23" ht="14.4" customHeight="1">
      <c r="A52" s="10" t="s">
        <v>4</v>
      </c>
      <c r="B52" s="11">
        <v>2018</v>
      </c>
      <c r="C52" s="14" t="s">
        <v>55</v>
      </c>
      <c r="D52" s="14" t="s">
        <v>54</v>
      </c>
      <c r="E52" s="3">
        <f t="shared" si="5"/>
        <v>16.206796109345628</v>
      </c>
      <c r="F52" s="12">
        <v>15.797491097205169</v>
      </c>
      <c r="G52" s="12">
        <v>42.234551231061523</v>
      </c>
      <c r="H52" s="12">
        <v>11.67927625977031</v>
      </c>
      <c r="I52" s="12">
        <v>18.955292400668089</v>
      </c>
      <c r="J52" s="12">
        <v>52.319363541255527</v>
      </c>
      <c r="K52" s="12">
        <v>22.391007243558299</v>
      </c>
      <c r="L52" s="12">
        <v>34.619894927754473</v>
      </c>
      <c r="M52" s="12">
        <v>39.547604434756117</v>
      </c>
      <c r="N52" s="12">
        <v>33.132083900172617</v>
      </c>
      <c r="O52" s="12">
        <v>42.969631176917623</v>
      </c>
      <c r="P52" s="8">
        <v>0.39559309999999998</v>
      </c>
      <c r="S52" s="21"/>
      <c r="W52" s="14"/>
    </row>
    <row r="53" spans="1:23" ht="14.4" customHeight="1">
      <c r="A53" s="10" t="s">
        <v>4</v>
      </c>
      <c r="B53" s="11">
        <v>2019</v>
      </c>
      <c r="C53" s="14" t="s">
        <v>55</v>
      </c>
      <c r="D53" s="14" t="s">
        <v>54</v>
      </c>
      <c r="E53" s="3">
        <f t="shared" si="5"/>
        <v>16.27182016643934</v>
      </c>
      <c r="F53" s="12">
        <v>16.963762718705919</v>
      </c>
      <c r="G53" s="12">
        <v>36.78637690482951</v>
      </c>
      <c r="H53" s="12">
        <v>13.461110701776979</v>
      </c>
      <c r="I53" s="12">
        <v>18.005528808193692</v>
      </c>
      <c r="J53" s="12">
        <v>71.190689296223781</v>
      </c>
      <c r="K53" s="12">
        <v>25.6219650682999</v>
      </c>
      <c r="L53" s="12">
        <v>66.211888754572868</v>
      </c>
      <c r="M53" s="12">
        <v>51.03739651552398</v>
      </c>
      <c r="N53" s="12">
        <v>55.65755925504866</v>
      </c>
      <c r="O53" s="12">
        <v>46.44803037967101</v>
      </c>
      <c r="P53" s="8">
        <v>0.38477999999999996</v>
      </c>
      <c r="S53" s="21"/>
      <c r="W53" s="14"/>
    </row>
    <row r="54" spans="1:23" ht="14.4" customHeight="1">
      <c r="A54" s="10" t="s">
        <v>4</v>
      </c>
      <c r="B54" s="11">
        <v>2020</v>
      </c>
      <c r="C54" s="14" t="s">
        <v>55</v>
      </c>
      <c r="D54" s="14" t="s">
        <v>54</v>
      </c>
      <c r="E54" s="3">
        <f t="shared" si="5"/>
        <v>19.042403325102001</v>
      </c>
      <c r="F54" s="12">
        <v>14.792354004934049</v>
      </c>
      <c r="G54" s="12">
        <v>37.270885155117647</v>
      </c>
      <c r="H54" s="12">
        <v>14.181756818419959</v>
      </c>
      <c r="I54" s="12">
        <v>22.040559114270359</v>
      </c>
      <c r="J54" s="12">
        <v>74.99011883709619</v>
      </c>
      <c r="K54" s="12">
        <v>30.452563817510221</v>
      </c>
      <c r="L54" s="12">
        <v>67.75746194375391</v>
      </c>
      <c r="M54" s="12">
        <v>55.403365215011327</v>
      </c>
      <c r="N54" s="12">
        <v>47.152004837134889</v>
      </c>
      <c r="O54" s="12">
        <v>53.474826566448961</v>
      </c>
      <c r="P54" s="8">
        <v>0.2017786</v>
      </c>
      <c r="S54" s="21"/>
      <c r="W54" s="14"/>
    </row>
    <row r="55" spans="1:23" ht="14.4" customHeight="1">
      <c r="A55" s="10" t="s">
        <v>4</v>
      </c>
      <c r="B55" s="11">
        <v>2021</v>
      </c>
      <c r="C55" s="14" t="s">
        <v>55</v>
      </c>
      <c r="D55" s="14" t="s">
        <v>54</v>
      </c>
      <c r="E55" s="3">
        <f t="shared" si="5"/>
        <v>18.135303014715891</v>
      </c>
      <c r="F55" s="12">
        <v>13.45744832492522</v>
      </c>
      <c r="G55" s="12">
        <v>37.330464271351318</v>
      </c>
      <c r="H55" s="12">
        <v>12.14955987575056</v>
      </c>
      <c r="I55" s="12">
        <v>22.051834089750059</v>
      </c>
      <c r="J55" s="12">
        <v>71.065817394537618</v>
      </c>
      <c r="K55" s="12">
        <v>27.926318714037158</v>
      </c>
      <c r="L55" s="12">
        <v>67.954471556730667</v>
      </c>
      <c r="M55" s="12">
        <v>49.913850226238793</v>
      </c>
      <c r="N55" s="12">
        <v>58.330549146076287</v>
      </c>
      <c r="O55" s="12">
        <v>53.474131947780421</v>
      </c>
      <c r="P55" s="8">
        <v>0.33180009999999999</v>
      </c>
      <c r="S55" s="21"/>
      <c r="W55" s="14"/>
    </row>
    <row r="56" spans="1:23" ht="14.4" customHeight="1">
      <c r="A56" s="10" t="s">
        <v>4</v>
      </c>
      <c r="B56" s="11">
        <v>2022</v>
      </c>
      <c r="C56" s="14" t="s">
        <v>55</v>
      </c>
      <c r="D56" s="14" t="s">
        <v>54</v>
      </c>
      <c r="E56" s="3">
        <f t="shared" si="5"/>
        <v>21.332059607650926</v>
      </c>
      <c r="F56" s="12">
        <v>9.3918358380878608</v>
      </c>
      <c r="G56" s="12">
        <v>40.985287189456322</v>
      </c>
      <c r="H56" s="12">
        <v>12.945794481045789</v>
      </c>
      <c r="I56" s="12">
        <v>25.05068063376682</v>
      </c>
      <c r="J56" s="12">
        <v>73.611628433436692</v>
      </c>
      <c r="K56" s="12">
        <v>26.441132016488272</v>
      </c>
      <c r="L56" s="12">
        <v>66.48204667659752</v>
      </c>
      <c r="M56" s="12">
        <v>52.224343699371289</v>
      </c>
      <c r="N56" s="12">
        <v>60.015603012934818</v>
      </c>
      <c r="O56" s="12">
        <v>54.826479734217749</v>
      </c>
      <c r="P56" s="8">
        <v>0.29933080000000001</v>
      </c>
      <c r="S56" s="21"/>
      <c r="W56" s="14"/>
    </row>
    <row r="57" spans="1:23" ht="14.4" customHeight="1">
      <c r="A57" s="10" t="s">
        <v>7</v>
      </c>
      <c r="B57" s="11">
        <v>2012</v>
      </c>
      <c r="C57" s="14" t="s">
        <v>55</v>
      </c>
      <c r="D57" s="14" t="s">
        <v>54</v>
      </c>
      <c r="E57" s="3">
        <f t="shared" si="5"/>
        <v>6.2116457745854188</v>
      </c>
      <c r="F57" s="12">
        <v>9.0083579482482996</v>
      </c>
      <c r="G57" s="12">
        <v>28.247349301552461</v>
      </c>
      <c r="H57" s="12">
        <v>3.7482838713307589</v>
      </c>
      <c r="I57" s="12">
        <v>7.8587311559747466</v>
      </c>
      <c r="J57" s="12">
        <v>37.087718153553269</v>
      </c>
      <c r="K57" s="12">
        <v>8.8897574010414395</v>
      </c>
      <c r="L57" s="12">
        <v>24.33110730607001</v>
      </c>
      <c r="M57" s="12">
        <v>49.036423532353439</v>
      </c>
      <c r="N57" s="12">
        <v>36.158017972988347</v>
      </c>
      <c r="O57" s="12">
        <v>76.395591435871054</v>
      </c>
      <c r="P57" s="8">
        <v>1.5033775</v>
      </c>
      <c r="S57" s="21"/>
      <c r="W57" s="14"/>
    </row>
    <row r="58" spans="1:23" ht="14.4" customHeight="1">
      <c r="A58" s="10" t="s">
        <v>7</v>
      </c>
      <c r="B58" s="11">
        <v>2013</v>
      </c>
      <c r="C58" s="14" t="s">
        <v>55</v>
      </c>
      <c r="D58" s="14" t="s">
        <v>54</v>
      </c>
      <c r="E58" s="3">
        <f t="shared" si="5"/>
        <v>5.2601888587883598</v>
      </c>
      <c r="F58" s="12">
        <v>7.7527858499431002</v>
      </c>
      <c r="G58" s="12">
        <v>26.16734593403525</v>
      </c>
      <c r="H58" s="12">
        <v>2.9973070496953609</v>
      </c>
      <c r="I58" s="12">
        <v>6.7758069118911077</v>
      </c>
      <c r="J58" s="12">
        <v>37.720235347243801</v>
      </c>
      <c r="K58" s="12">
        <v>8.9045898197994404</v>
      </c>
      <c r="L58" s="12">
        <v>25.00629577318924</v>
      </c>
      <c r="M58" s="12">
        <v>48.153924868398953</v>
      </c>
      <c r="N58" s="12">
        <v>31.29989040933755</v>
      </c>
      <c r="O58" s="12">
        <v>75.227100994414499</v>
      </c>
      <c r="P58" s="8">
        <v>1.4776206999999999</v>
      </c>
      <c r="S58" s="21"/>
      <c r="W58" s="14"/>
    </row>
    <row r="59" spans="1:23" ht="14.4" customHeight="1">
      <c r="A59" s="10" t="s">
        <v>7</v>
      </c>
      <c r="B59" s="11">
        <v>2014</v>
      </c>
      <c r="C59" s="14" t="s">
        <v>55</v>
      </c>
      <c r="D59" s="14" t="s">
        <v>54</v>
      </c>
      <c r="E59" s="3">
        <f t="shared" si="5"/>
        <v>8.0978438964361548</v>
      </c>
      <c r="F59" s="12">
        <v>16.83274901915626</v>
      </c>
      <c r="G59" s="12">
        <v>32.410571707057038</v>
      </c>
      <c r="H59" s="12">
        <v>6.9009202873017967</v>
      </c>
      <c r="I59" s="12">
        <v>8.8995107165149907</v>
      </c>
      <c r="J59" s="12">
        <v>36.400994433753063</v>
      </c>
      <c r="K59" s="12">
        <v>8.2779415044731479</v>
      </c>
      <c r="L59" s="12">
        <v>23.972181532998281</v>
      </c>
      <c r="M59" s="12">
        <v>46.368023980133522</v>
      </c>
      <c r="N59" s="12">
        <v>37.593115075061831</v>
      </c>
      <c r="O59" s="12">
        <v>79.100393563700791</v>
      </c>
      <c r="P59" s="8">
        <v>1.5568298999999999</v>
      </c>
      <c r="S59" s="21"/>
      <c r="W59" s="14"/>
    </row>
    <row r="60" spans="1:23" ht="14.4" customHeight="1">
      <c r="A60" s="10" t="s">
        <v>7</v>
      </c>
      <c r="B60" s="11">
        <v>2015</v>
      </c>
      <c r="C60" s="14" t="s">
        <v>55</v>
      </c>
      <c r="D60" s="14" t="s">
        <v>54</v>
      </c>
      <c r="E60" s="3">
        <f t="shared" si="5"/>
        <v>5.5873759477525917</v>
      </c>
      <c r="F60" s="12">
        <v>12.56112666490692</v>
      </c>
      <c r="G60" s="12">
        <v>25.417581709998672</v>
      </c>
      <c r="H60" s="12">
        <v>4.5753944893527656</v>
      </c>
      <c r="I60" s="12">
        <v>6.2730489568557033</v>
      </c>
      <c r="J60" s="12">
        <v>36.192387330100843</v>
      </c>
      <c r="K60" s="12">
        <v>9.1566406313575062</v>
      </c>
      <c r="L60" s="12">
        <v>23.621730719692071</v>
      </c>
      <c r="M60" s="12">
        <v>46.752998809941943</v>
      </c>
      <c r="N60" s="12">
        <v>38.266417048209163</v>
      </c>
      <c r="O60" s="12">
        <v>75.696152166356072</v>
      </c>
      <c r="P60" s="8">
        <v>1.6412186</v>
      </c>
      <c r="S60" s="21"/>
      <c r="W60" s="14"/>
    </row>
    <row r="61" spans="1:23" ht="14.4" customHeight="1">
      <c r="A61" s="10" t="s">
        <v>7</v>
      </c>
      <c r="B61" s="11">
        <v>2016</v>
      </c>
      <c r="C61" s="14" t="s">
        <v>55</v>
      </c>
      <c r="D61" s="14" t="s">
        <v>54</v>
      </c>
      <c r="E61" s="3">
        <f t="shared" si="5"/>
        <v>4.682621367563276</v>
      </c>
      <c r="F61" s="12">
        <v>10.441607711684309</v>
      </c>
      <c r="G61" s="12">
        <v>21.20403266455271</v>
      </c>
      <c r="H61" s="12">
        <v>4.2068369563143504</v>
      </c>
      <c r="I61" s="12">
        <v>4.9587932348950492</v>
      </c>
      <c r="J61" s="12">
        <v>37.407305455762248</v>
      </c>
      <c r="K61" s="12">
        <v>8.1373749806327229</v>
      </c>
      <c r="L61" s="12">
        <v>22.425696893905879</v>
      </c>
      <c r="M61" s="12">
        <v>44.336799131862477</v>
      </c>
      <c r="N61" s="12">
        <v>37.560152832119527</v>
      </c>
      <c r="O61" s="12">
        <v>78.862153161119224</v>
      </c>
      <c r="P61" s="8">
        <v>1.6895095999999998</v>
      </c>
      <c r="S61" s="21"/>
      <c r="W61" s="14"/>
    </row>
    <row r="62" spans="1:23" ht="14.4" customHeight="1">
      <c r="A62" s="10" t="s">
        <v>7</v>
      </c>
      <c r="B62" s="11">
        <v>2017</v>
      </c>
      <c r="C62" s="14" t="s">
        <v>55</v>
      </c>
      <c r="D62" s="14" t="s">
        <v>54</v>
      </c>
      <c r="E62" s="3">
        <f t="shared" si="5"/>
        <v>6.1476476088310843</v>
      </c>
      <c r="F62" s="12">
        <v>7.3983456921539972</v>
      </c>
      <c r="G62" s="12">
        <v>29.81729348956333</v>
      </c>
      <c r="H62" s="12">
        <v>3.3770203913215768</v>
      </c>
      <c r="I62" s="12">
        <v>7.7189921108477488</v>
      </c>
      <c r="J62" s="12">
        <v>37.449749992436118</v>
      </c>
      <c r="K62" s="12">
        <v>8.8530545686686413</v>
      </c>
      <c r="L62" s="12">
        <v>24.101991937983879</v>
      </c>
      <c r="M62" s="12">
        <v>41.951786443172409</v>
      </c>
      <c r="N62" s="12">
        <v>41.959516273048152</v>
      </c>
      <c r="O62" s="12">
        <v>77.903421352692632</v>
      </c>
      <c r="P62" s="8">
        <v>1.6946665999999999</v>
      </c>
      <c r="S62" s="21"/>
      <c r="W62" s="14"/>
    </row>
    <row r="63" spans="1:23" ht="14.4" customHeight="1">
      <c r="A63" s="10" t="s">
        <v>7</v>
      </c>
      <c r="B63" s="11">
        <v>2018</v>
      </c>
      <c r="C63" s="14" t="s">
        <v>55</v>
      </c>
      <c r="D63" s="14" t="s">
        <v>54</v>
      </c>
      <c r="E63" s="3">
        <f t="shared" si="5"/>
        <v>6.4052128721535553</v>
      </c>
      <c r="F63" s="12">
        <v>13.84334011741729</v>
      </c>
      <c r="G63" s="12">
        <v>27.333826810218039</v>
      </c>
      <c r="H63" s="12">
        <v>5.9884340087497971</v>
      </c>
      <c r="I63" s="12">
        <v>6.6392316409096432</v>
      </c>
      <c r="J63" s="12">
        <v>38.307453439354951</v>
      </c>
      <c r="K63" s="12">
        <v>7.6460202864945011</v>
      </c>
      <c r="L63" s="12">
        <v>23.686450251483279</v>
      </c>
      <c r="M63" s="12">
        <v>38.715962773431627</v>
      </c>
      <c r="N63" s="12">
        <v>42.113280148386941</v>
      </c>
      <c r="O63" s="12">
        <v>74.790250527738905</v>
      </c>
      <c r="P63" s="8">
        <v>1.6795514999999999</v>
      </c>
      <c r="S63" s="21"/>
      <c r="W63" s="14"/>
    </row>
    <row r="64" spans="1:23" ht="14.4" customHeight="1">
      <c r="A64" s="10" t="s">
        <v>7</v>
      </c>
      <c r="B64" s="11">
        <v>2019</v>
      </c>
      <c r="C64" s="14" t="s">
        <v>55</v>
      </c>
      <c r="D64" s="14" t="s">
        <v>54</v>
      </c>
      <c r="E64" s="3">
        <f t="shared" si="5"/>
        <v>11.190852718252332</v>
      </c>
      <c r="F64" s="12">
        <v>16.154978164536619</v>
      </c>
      <c r="G64" s="12">
        <v>32.041399309440664</v>
      </c>
      <c r="H64" s="12">
        <v>10.141804511115261</v>
      </c>
      <c r="I64" s="12">
        <v>11.806596198348929</v>
      </c>
      <c r="J64" s="12">
        <v>45.794624258358567</v>
      </c>
      <c r="K64" s="12">
        <v>12.52883855058808</v>
      </c>
      <c r="L64" s="12">
        <v>46.365902283343409</v>
      </c>
      <c r="M64" s="12">
        <v>37.369602992067627</v>
      </c>
      <c r="N64" s="12">
        <v>52.178481491086544</v>
      </c>
      <c r="O64" s="12">
        <v>80.684664452737437</v>
      </c>
      <c r="P64" s="8">
        <v>1.6651378999999999</v>
      </c>
      <c r="S64" s="21"/>
      <c r="W64" s="14"/>
    </row>
    <row r="65" spans="1:23" ht="14.4" customHeight="1">
      <c r="A65" s="10" t="s">
        <v>7</v>
      </c>
      <c r="B65" s="11">
        <v>2020</v>
      </c>
      <c r="C65" s="14" t="s">
        <v>55</v>
      </c>
      <c r="D65" s="14" t="s">
        <v>54</v>
      </c>
      <c r="E65" s="3">
        <f t="shared" si="5"/>
        <v>6.6197927283137252</v>
      </c>
      <c r="F65" s="12">
        <v>16.24944026441138</v>
      </c>
      <c r="G65" s="12">
        <v>27.432032120087609</v>
      </c>
      <c r="H65" s="12">
        <v>6.792756585549391</v>
      </c>
      <c r="I65" s="12">
        <v>6.5214295525658512</v>
      </c>
      <c r="J65" s="12">
        <v>47.582180398739851</v>
      </c>
      <c r="K65" s="12">
        <v>12.656063980963889</v>
      </c>
      <c r="L65" s="12">
        <v>44.417792961541949</v>
      </c>
      <c r="M65" s="12">
        <v>38.401637565706039</v>
      </c>
      <c r="N65" s="12">
        <v>36.015485563417627</v>
      </c>
      <c r="O65" s="12">
        <v>81.824040227556551</v>
      </c>
      <c r="P65" s="8">
        <v>1.5622144999999998</v>
      </c>
      <c r="S65" s="21"/>
      <c r="W65" s="14"/>
    </row>
    <row r="66" spans="1:23" ht="14.4" customHeight="1">
      <c r="A66" s="10" t="s">
        <v>7</v>
      </c>
      <c r="B66" s="11">
        <v>2021</v>
      </c>
      <c r="C66" s="14" t="s">
        <v>55</v>
      </c>
      <c r="D66" s="14" t="s">
        <v>54</v>
      </c>
      <c r="E66" s="3">
        <f t="shared" si="5"/>
        <v>9.4072371741462213</v>
      </c>
      <c r="F66" s="12">
        <v>14.513212191889</v>
      </c>
      <c r="G66" s="12">
        <v>29.959930775072181</v>
      </c>
      <c r="H66" s="12">
        <v>8.3251868784748222</v>
      </c>
      <c r="I66" s="12">
        <v>10.03933010133064</v>
      </c>
      <c r="J66" s="12">
        <v>37.133922628651931</v>
      </c>
      <c r="K66" s="12">
        <v>8.6442554058126984</v>
      </c>
      <c r="L66" s="12">
        <v>39.881694740109921</v>
      </c>
      <c r="M66" s="12">
        <v>45.498607309762463</v>
      </c>
      <c r="N66" s="12">
        <v>48.172158250706239</v>
      </c>
      <c r="O66" s="12">
        <v>82.649853608621214</v>
      </c>
      <c r="P66" s="8">
        <v>1.6129104999999999</v>
      </c>
      <c r="S66" s="21"/>
      <c r="W66" s="14"/>
    </row>
    <row r="67" spans="1:23" ht="14.4" customHeight="1">
      <c r="A67" s="10" t="s">
        <v>7</v>
      </c>
      <c r="B67" s="11">
        <v>2022</v>
      </c>
      <c r="C67" s="14" t="s">
        <v>55</v>
      </c>
      <c r="D67" s="14" t="s">
        <v>54</v>
      </c>
      <c r="E67" s="3">
        <f t="shared" si="5"/>
        <v>13.866584011836341</v>
      </c>
      <c r="F67" s="12">
        <v>19.500862847890069</v>
      </c>
      <c r="G67" s="12">
        <v>29.768880241165441</v>
      </c>
      <c r="H67" s="12">
        <v>15.15102174930424</v>
      </c>
      <c r="I67" s="12">
        <v>13.137026489393071</v>
      </c>
      <c r="J67" s="12">
        <v>36.183071861300583</v>
      </c>
      <c r="K67" s="12">
        <v>10.3098322163746</v>
      </c>
      <c r="L67" s="12">
        <v>34.210350827726181</v>
      </c>
      <c r="M67" s="12">
        <v>47.405380205571348</v>
      </c>
      <c r="N67" s="12">
        <v>39.518503071596498</v>
      </c>
      <c r="O67" s="12">
        <v>79.777890619153169</v>
      </c>
      <c r="P67" s="8">
        <v>1.5636199</v>
      </c>
      <c r="S67" s="21"/>
      <c r="W67" s="14"/>
    </row>
    <row r="68" spans="1:23" ht="14.4" customHeight="1">
      <c r="A68" s="10" t="s">
        <v>8</v>
      </c>
      <c r="B68" s="11">
        <v>2012</v>
      </c>
      <c r="C68" s="14" t="s">
        <v>55</v>
      </c>
      <c r="D68" s="14" t="s">
        <v>54</v>
      </c>
      <c r="E68" s="3">
        <f t="shared" si="5"/>
        <v>7.0264424102791869</v>
      </c>
      <c r="F68" s="12">
        <v>7.4718065747889568</v>
      </c>
      <c r="G68" s="12">
        <v>36.31719063726549</v>
      </c>
      <c r="H68" s="12">
        <v>3.0303186359918119</v>
      </c>
      <c r="I68" s="12">
        <v>9.642552549316779</v>
      </c>
      <c r="J68" s="12">
        <v>50.003293902597648</v>
      </c>
      <c r="K68" s="12">
        <v>10.445372360675719</v>
      </c>
      <c r="L68" s="12">
        <v>27.767329323489491</v>
      </c>
      <c r="M68" s="12">
        <v>72.347062599410066</v>
      </c>
      <c r="N68" s="12">
        <v>12.94635808106915</v>
      </c>
      <c r="O68" s="12">
        <v>68.298402726628467</v>
      </c>
      <c r="P68" s="8">
        <v>0.144625</v>
      </c>
      <c r="S68" s="21"/>
      <c r="W68" s="14"/>
    </row>
    <row r="69" spans="1:23" ht="14.4" customHeight="1">
      <c r="A69" s="10" t="s">
        <v>8</v>
      </c>
      <c r="B69" s="11">
        <v>2013</v>
      </c>
      <c r="C69" s="14" t="s">
        <v>55</v>
      </c>
      <c r="D69" s="14" t="s">
        <v>54</v>
      </c>
      <c r="E69" s="3">
        <f t="shared" si="5"/>
        <v>6.7530223674590397</v>
      </c>
      <c r="F69" s="12">
        <v>14.70994277123383</v>
      </c>
      <c r="G69" s="12">
        <v>34.727250932901597</v>
      </c>
      <c r="H69" s="12">
        <v>5.0550413112981563</v>
      </c>
      <c r="I69" s="12">
        <v>7.8732393846613604</v>
      </c>
      <c r="J69" s="12">
        <v>45.985429271420003</v>
      </c>
      <c r="K69" s="12">
        <v>8.9390026170767385</v>
      </c>
      <c r="L69" s="12">
        <v>24.95003847733577</v>
      </c>
      <c r="M69" s="12">
        <v>69.059493822944205</v>
      </c>
      <c r="N69" s="12">
        <v>13.543922619028001</v>
      </c>
      <c r="O69" s="12">
        <v>65.072397288387549</v>
      </c>
      <c r="P69" s="8">
        <v>0.27473969999999998</v>
      </c>
      <c r="S69" s="21"/>
      <c r="W69" s="14"/>
    </row>
    <row r="70" spans="1:23" ht="14.4" customHeight="1">
      <c r="A70" s="10" t="s">
        <v>8</v>
      </c>
      <c r="B70" s="11">
        <v>2014</v>
      </c>
      <c r="C70" s="14" t="s">
        <v>55</v>
      </c>
      <c r="D70" s="14" t="s">
        <v>54</v>
      </c>
      <c r="E70" s="3">
        <f t="shared" si="5"/>
        <v>10.644284665390671</v>
      </c>
      <c r="F70" s="12">
        <v>21.613380009792099</v>
      </c>
      <c r="G70" s="12">
        <v>33.330752779230082</v>
      </c>
      <c r="H70" s="12">
        <v>10.58303010634561</v>
      </c>
      <c r="I70" s="12">
        <v>10.68438569379553</v>
      </c>
      <c r="J70" s="12">
        <v>45.540097329415978</v>
      </c>
      <c r="K70" s="12">
        <v>10.4322020444988</v>
      </c>
      <c r="L70" s="12">
        <v>25.891290573304811</v>
      </c>
      <c r="M70" s="12">
        <v>70.591796727357931</v>
      </c>
      <c r="N70" s="12">
        <v>19.910984261070759</v>
      </c>
      <c r="O70" s="12">
        <v>66.421163830226973</v>
      </c>
      <c r="P70" s="8">
        <v>0.15369739999999998</v>
      </c>
      <c r="S70" s="21"/>
      <c r="W70" s="14"/>
    </row>
    <row r="71" spans="1:23" ht="14.4" customHeight="1">
      <c r="A71" s="10" t="s">
        <v>8</v>
      </c>
      <c r="B71" s="11">
        <v>2015</v>
      </c>
      <c r="C71" s="14" t="s">
        <v>55</v>
      </c>
      <c r="D71" s="14" t="s">
        <v>54</v>
      </c>
      <c r="E71" s="3">
        <f t="shared" si="5"/>
        <v>5.5399607939445428</v>
      </c>
      <c r="F71" s="12">
        <v>6.9141427127255568</v>
      </c>
      <c r="G71" s="12">
        <v>26.371153300832471</v>
      </c>
      <c r="H71" s="12">
        <v>2.9086053046833209</v>
      </c>
      <c r="I71" s="12">
        <v>7.2626090810789226</v>
      </c>
      <c r="J71" s="12">
        <v>46.78251552805294</v>
      </c>
      <c r="K71" s="12">
        <v>10.7339299744634</v>
      </c>
      <c r="L71" s="12">
        <v>27.516211012984218</v>
      </c>
      <c r="M71" s="12">
        <v>64.153832562861481</v>
      </c>
      <c r="N71" s="12">
        <v>14.18659957991202</v>
      </c>
      <c r="O71" s="12">
        <v>67.785090120365822</v>
      </c>
      <c r="P71" s="8">
        <v>0.23635889999999998</v>
      </c>
      <c r="S71" s="21"/>
      <c r="W71" s="14"/>
    </row>
    <row r="72" spans="1:23" ht="14.4" customHeight="1">
      <c r="A72" s="10" t="s">
        <v>8</v>
      </c>
      <c r="B72" s="11">
        <v>2016</v>
      </c>
      <c r="C72" s="14" t="s">
        <v>55</v>
      </c>
      <c r="D72" s="14" t="s">
        <v>54</v>
      </c>
      <c r="E72" s="3">
        <f t="shared" si="5"/>
        <v>3.9506295288610493</v>
      </c>
      <c r="F72" s="12">
        <v>3.6789338380587342</v>
      </c>
      <c r="G72" s="12">
        <v>24.40790270259372</v>
      </c>
      <c r="H72" s="12">
        <v>1.3079093396681289</v>
      </c>
      <c r="I72" s="12">
        <v>5.6807178524903126</v>
      </c>
      <c r="J72" s="12">
        <v>41.714753812926283</v>
      </c>
      <c r="K72" s="12">
        <v>9.2893432329477239</v>
      </c>
      <c r="L72" s="12">
        <v>22.683392055539709</v>
      </c>
      <c r="M72" s="12">
        <v>70.169249187188612</v>
      </c>
      <c r="N72" s="12">
        <v>12.95118630721765</v>
      </c>
      <c r="O72" s="12">
        <v>65.873323908241659</v>
      </c>
      <c r="P72" s="8">
        <v>0.15046859999999998</v>
      </c>
      <c r="S72" s="21"/>
      <c r="W72" s="14"/>
    </row>
    <row r="73" spans="1:23" ht="14.4" customHeight="1">
      <c r="A73" s="10" t="s">
        <v>8</v>
      </c>
      <c r="B73" s="11">
        <v>2017</v>
      </c>
      <c r="C73" s="14" t="s">
        <v>55</v>
      </c>
      <c r="D73" s="14" t="s">
        <v>54</v>
      </c>
      <c r="E73" s="3">
        <f t="shared" si="5"/>
        <v>5.9940738079867906</v>
      </c>
      <c r="F73" s="12">
        <v>19.081137774434922</v>
      </c>
      <c r="G73" s="12">
        <v>31.351365364066769</v>
      </c>
      <c r="H73" s="12">
        <v>5.7320241856212304</v>
      </c>
      <c r="I73" s="12">
        <v>6.1656277219123394</v>
      </c>
      <c r="J73" s="12">
        <v>43.400721869275721</v>
      </c>
      <c r="K73" s="12">
        <v>7.3789238256222864</v>
      </c>
      <c r="L73" s="12">
        <v>22.799410072082509</v>
      </c>
      <c r="M73" s="12">
        <v>70.185416810934043</v>
      </c>
      <c r="N73" s="12">
        <v>13.73792647956842</v>
      </c>
      <c r="O73" s="12">
        <v>66.48694732882069</v>
      </c>
      <c r="P73" s="8">
        <v>0.15679599999999999</v>
      </c>
      <c r="S73" s="21"/>
      <c r="W73" s="14"/>
    </row>
    <row r="74" spans="1:23" ht="14.4" customHeight="1">
      <c r="A74" s="10" t="s">
        <v>8</v>
      </c>
      <c r="B74" s="11">
        <v>2018</v>
      </c>
      <c r="C74" s="14" t="s">
        <v>55</v>
      </c>
      <c r="D74" s="14" t="s">
        <v>54</v>
      </c>
      <c r="E74" s="3">
        <f t="shared" si="5"/>
        <v>8.7932396408929048</v>
      </c>
      <c r="F74" s="12">
        <v>29.141065386175921</v>
      </c>
      <c r="G74" s="12">
        <v>27.031013034692229</v>
      </c>
      <c r="H74" s="12">
        <v>11.52995055284001</v>
      </c>
      <c r="I74" s="12">
        <v>7.0016288552669446</v>
      </c>
      <c r="J74" s="12">
        <v>46.394642823774838</v>
      </c>
      <c r="K74" s="12">
        <v>9.0662016206075791</v>
      </c>
      <c r="L74" s="12">
        <v>23.530726869596709</v>
      </c>
      <c r="M74" s="12">
        <v>67.965666773382921</v>
      </c>
      <c r="N74" s="12">
        <v>19.215274720872198</v>
      </c>
      <c r="O74" s="12">
        <v>67.798619494385022</v>
      </c>
      <c r="P74" s="8">
        <v>0.28679759999999999</v>
      </c>
      <c r="S74" s="21"/>
      <c r="W74" s="14"/>
    </row>
    <row r="75" spans="1:23" ht="14.4" customHeight="1">
      <c r="A75" s="10" t="s">
        <v>8</v>
      </c>
      <c r="B75" s="11">
        <v>2019</v>
      </c>
      <c r="C75" s="14" t="s">
        <v>55</v>
      </c>
      <c r="D75" s="14" t="s">
        <v>54</v>
      </c>
      <c r="E75" s="3">
        <f t="shared" si="5"/>
        <v>9.0169408414219667</v>
      </c>
      <c r="F75" s="12">
        <v>25.678069732495381</v>
      </c>
      <c r="G75" s="12">
        <v>18.80234347908085</v>
      </c>
      <c r="H75" s="12">
        <v>13.156606045568219</v>
      </c>
      <c r="I75" s="12">
        <v>6.3068482818687066</v>
      </c>
      <c r="J75" s="12">
        <v>51.637569160380778</v>
      </c>
      <c r="K75" s="12">
        <v>14.443763641804191</v>
      </c>
      <c r="L75" s="12">
        <v>30.11711047639918</v>
      </c>
      <c r="M75" s="12">
        <v>46.73521341901656</v>
      </c>
      <c r="N75" s="12">
        <v>49.855327978668448</v>
      </c>
      <c r="O75" s="12">
        <v>49.326872792653219</v>
      </c>
      <c r="P75" s="8">
        <v>0.41867349999999998</v>
      </c>
      <c r="S75" s="21"/>
      <c r="W75" s="14"/>
    </row>
    <row r="76" spans="1:23" ht="14.4" customHeight="1">
      <c r="A76" s="10" t="s">
        <v>8</v>
      </c>
      <c r="B76" s="11">
        <v>2020</v>
      </c>
      <c r="C76" s="14" t="s">
        <v>55</v>
      </c>
      <c r="D76" s="14" t="s">
        <v>54</v>
      </c>
      <c r="E76" s="3">
        <f t="shared" si="5"/>
        <v>13.067831178378924</v>
      </c>
      <c r="F76" s="12">
        <v>33.459476068903221</v>
      </c>
      <c r="G76" s="12">
        <v>27.68432948707428</v>
      </c>
      <c r="H76" s="12">
        <v>18.2026149051472</v>
      </c>
      <c r="I76" s="12">
        <v>9.7453019984143303</v>
      </c>
      <c r="J76" s="12">
        <v>53.249488021507382</v>
      </c>
      <c r="K76" s="12">
        <v>12.628751603565521</v>
      </c>
      <c r="L76" s="12">
        <v>32.478156735430751</v>
      </c>
      <c r="M76" s="12">
        <v>62.827082186964823</v>
      </c>
      <c r="N76" s="12">
        <v>27.899585682109642</v>
      </c>
      <c r="O76" s="12">
        <v>70.261683776994545</v>
      </c>
      <c r="P76" s="8">
        <v>0.44206249999999997</v>
      </c>
      <c r="S76" s="21"/>
      <c r="W76" s="14"/>
    </row>
    <row r="77" spans="1:23" ht="14.4" customHeight="1">
      <c r="A77" s="10" t="s">
        <v>8</v>
      </c>
      <c r="B77" s="11">
        <v>2021</v>
      </c>
      <c r="C77" s="14" t="s">
        <v>55</v>
      </c>
      <c r="D77" s="14" t="s">
        <v>54</v>
      </c>
      <c r="E77" s="3">
        <f t="shared" ref="E77:E78" si="6">(F77+G77)/((F77/H77)+(G77/I77))</f>
        <v>6.7612375323300471</v>
      </c>
      <c r="F77" s="12">
        <v>21.75454852154154</v>
      </c>
      <c r="G77" s="12">
        <v>27.81539117726501</v>
      </c>
      <c r="H77" s="12">
        <v>7.4998067758093399</v>
      </c>
      <c r="I77" s="12">
        <v>6.2777243812880537</v>
      </c>
      <c r="J77" s="12">
        <v>53.09778407318386</v>
      </c>
      <c r="K77" s="12">
        <v>10.946591311218061</v>
      </c>
      <c r="L77" s="12">
        <v>32.566274233102718</v>
      </c>
      <c r="M77" s="12">
        <v>55.846575056547742</v>
      </c>
      <c r="N77" s="12">
        <v>48.634317694123787</v>
      </c>
      <c r="O77" s="12">
        <v>64.109990447834264</v>
      </c>
      <c r="P77" s="8">
        <v>0.39629209999999998</v>
      </c>
      <c r="S77" s="21"/>
      <c r="W77" s="14"/>
    </row>
    <row r="78" spans="1:23" ht="14.4" customHeight="1">
      <c r="A78" s="10" t="s">
        <v>8</v>
      </c>
      <c r="B78" s="11">
        <v>2022</v>
      </c>
      <c r="C78" s="14" t="s">
        <v>55</v>
      </c>
      <c r="D78" s="14" t="s">
        <v>54</v>
      </c>
      <c r="E78" s="3">
        <f t="shared" si="6"/>
        <v>5.1368941387671399</v>
      </c>
      <c r="F78" s="12">
        <v>16.201913791778971</v>
      </c>
      <c r="G78" s="12">
        <v>27.01738967444113</v>
      </c>
      <c r="H78" s="12">
        <v>4.9064874784782626</v>
      </c>
      <c r="I78" s="12">
        <v>5.285745747772701</v>
      </c>
      <c r="J78" s="12">
        <v>53.772462520926283</v>
      </c>
      <c r="K78" s="12">
        <v>9.490341924230151</v>
      </c>
      <c r="L78" s="12">
        <v>28.497742277288921</v>
      </c>
      <c r="M78" s="12">
        <v>60.584927675679033</v>
      </c>
      <c r="N78" s="12">
        <v>36.345739923579558</v>
      </c>
      <c r="O78" s="12">
        <v>72.000185348122173</v>
      </c>
      <c r="P78" s="8">
        <v>0.42123679999999997</v>
      </c>
      <c r="S78" s="21"/>
      <c r="W78" s="14"/>
    </row>
    <row r="79" spans="1:23" ht="14.4" customHeight="1">
      <c r="A79" s="23" t="s">
        <v>9</v>
      </c>
      <c r="B79" s="24">
        <v>2012</v>
      </c>
      <c r="C79" s="25" t="s">
        <v>51</v>
      </c>
      <c r="D79" s="25" t="s">
        <v>52</v>
      </c>
      <c r="E79" s="26">
        <f t="shared" ref="E79:E89" si="7">(F79+G79)/((F79/H79)+(G79/I79))</f>
        <v>8.5398502760243993</v>
      </c>
      <c r="F79" s="27">
        <f>AVERAGE(F78,F80)</f>
        <v>17.467530637819905</v>
      </c>
      <c r="G79" s="27">
        <f t="shared" ref="G79" si="8">AVERAGE(G78,G80)</f>
        <v>32.078615284281298</v>
      </c>
      <c r="H79" s="27">
        <f t="shared" ref="H79" si="9">AVERAGE(H78,H80)</f>
        <v>6.4749931995607621</v>
      </c>
      <c r="I79" s="27">
        <f t="shared" ref="I79" si="10">AVERAGE(I78,I80)</f>
        <v>10.33438175414955</v>
      </c>
      <c r="J79" s="27">
        <f t="shared" ref="J79" si="11">AVERAGE(J78,J80)</f>
        <v>60.110558102042411</v>
      </c>
      <c r="K79" s="27">
        <f t="shared" ref="K79" si="12">AVERAGE(K78,K80)</f>
        <v>24.766648170209592</v>
      </c>
      <c r="L79" s="27">
        <f t="shared" ref="L79" si="13">AVERAGE(L78,L80)</f>
        <v>30.471850574768897</v>
      </c>
      <c r="M79" s="27">
        <f t="shared" ref="M79" si="14">AVERAGE(M78,M80)</f>
        <v>47.4344087406581</v>
      </c>
      <c r="N79" s="27">
        <f t="shared" ref="N79" si="15">AVERAGE(N78,N80)</f>
        <v>47.560868031921032</v>
      </c>
      <c r="O79" s="27">
        <f t="shared" ref="O79" si="16">AVERAGE(O78,O80)</f>
        <v>71.734796056964512</v>
      </c>
      <c r="P79" s="28">
        <v>-0.46522969999999997</v>
      </c>
      <c r="S79" s="21"/>
      <c r="W79" s="14"/>
    </row>
    <row r="80" spans="1:23" ht="14.4" customHeight="1">
      <c r="A80" s="10" t="s">
        <v>9</v>
      </c>
      <c r="B80" s="11">
        <v>2013</v>
      </c>
      <c r="C80" s="14" t="s">
        <v>51</v>
      </c>
      <c r="D80" s="14" t="s">
        <v>52</v>
      </c>
      <c r="E80" s="3">
        <f t="shared" si="7"/>
        <v>11.779299070527902</v>
      </c>
      <c r="F80" s="12">
        <v>18.73314748386084</v>
      </c>
      <c r="G80" s="12">
        <v>37.13984089412147</v>
      </c>
      <c r="H80" s="12">
        <v>8.0434989206432626</v>
      </c>
      <c r="I80" s="12">
        <v>15.3830177605264</v>
      </c>
      <c r="J80" s="12">
        <v>66.44865368315854</v>
      </c>
      <c r="K80" s="12">
        <v>40.042954416189033</v>
      </c>
      <c r="L80" s="12">
        <v>32.445958872248873</v>
      </c>
      <c r="M80" s="12">
        <v>34.283889805637173</v>
      </c>
      <c r="N80" s="12">
        <v>58.775996140262507</v>
      </c>
      <c r="O80" s="12">
        <v>71.469406765806866</v>
      </c>
      <c r="P80" s="8">
        <v>-0.50569089999999994</v>
      </c>
      <c r="S80" s="21"/>
      <c r="W80" s="14"/>
    </row>
    <row r="81" spans="1:23" ht="14.4" customHeight="1">
      <c r="A81" s="10" t="s">
        <v>9</v>
      </c>
      <c r="B81" s="11">
        <v>2014</v>
      </c>
      <c r="C81" s="14" t="s">
        <v>51</v>
      </c>
      <c r="D81" s="14" t="s">
        <v>52</v>
      </c>
      <c r="E81" s="3">
        <f t="shared" si="7"/>
        <v>21.415073249099279</v>
      </c>
      <c r="F81" s="12">
        <v>24.414811665666601</v>
      </c>
      <c r="G81" s="12">
        <v>36.77889983827162</v>
      </c>
      <c r="H81" s="12">
        <v>17.628543134383929</v>
      </c>
      <c r="I81" s="12">
        <v>24.976377582835319</v>
      </c>
      <c r="J81" s="12">
        <v>64.167226449813512</v>
      </c>
      <c r="K81" s="12">
        <v>41.896792452819639</v>
      </c>
      <c r="L81" s="12">
        <v>26.748442575071021</v>
      </c>
      <c r="M81" s="12">
        <v>37.104203868493308</v>
      </c>
      <c r="N81" s="12">
        <v>45.3773927655485</v>
      </c>
      <c r="O81" s="12">
        <v>76.919309104121098</v>
      </c>
      <c r="P81" s="8">
        <v>-0.47281869999999998</v>
      </c>
      <c r="S81" s="21"/>
      <c r="W81" s="14"/>
    </row>
    <row r="82" spans="1:23" ht="14.4" customHeight="1">
      <c r="A82" s="10" t="s">
        <v>9</v>
      </c>
      <c r="B82" s="11">
        <v>2015</v>
      </c>
      <c r="C82" s="14" t="s">
        <v>51</v>
      </c>
      <c r="D82" s="14" t="s">
        <v>52</v>
      </c>
      <c r="E82" s="3">
        <f t="shared" si="7"/>
        <v>18.781188761423639</v>
      </c>
      <c r="F82" s="12">
        <v>26.030714327928791</v>
      </c>
      <c r="G82" s="12">
        <v>35.65329125459337</v>
      </c>
      <c r="H82" s="12">
        <v>16.37235204953965</v>
      </c>
      <c r="I82" s="12">
        <v>21.041448676680389</v>
      </c>
      <c r="J82" s="12">
        <v>59.981383824541311</v>
      </c>
      <c r="K82" s="12">
        <v>40.665287070539193</v>
      </c>
      <c r="L82" s="12">
        <v>31.01864600720981</v>
      </c>
      <c r="M82" s="12">
        <v>34.613907925806103</v>
      </c>
      <c r="N82" s="12">
        <v>47.885860757702247</v>
      </c>
      <c r="O82" s="12">
        <v>79.793681313157322</v>
      </c>
      <c r="P82" s="8">
        <v>-0.40469439999999995</v>
      </c>
      <c r="S82" s="21"/>
      <c r="W82" s="14"/>
    </row>
    <row r="83" spans="1:23" ht="14.4" customHeight="1">
      <c r="A83" s="10" t="s">
        <v>9</v>
      </c>
      <c r="B83" s="11">
        <v>2016</v>
      </c>
      <c r="C83" s="14" t="s">
        <v>51</v>
      </c>
      <c r="D83" s="14" t="s">
        <v>52</v>
      </c>
      <c r="E83" s="3">
        <f t="shared" si="7"/>
        <v>20.644126842372302</v>
      </c>
      <c r="F83" s="12">
        <v>26.832925291998919</v>
      </c>
      <c r="G83" s="12">
        <v>32.816094705809142</v>
      </c>
      <c r="H83" s="12">
        <v>19.234079183461549</v>
      </c>
      <c r="I83" s="12">
        <v>21.960521678541841</v>
      </c>
      <c r="J83" s="12">
        <v>61.564472258047957</v>
      </c>
      <c r="K83" s="12">
        <v>39.228247011164619</v>
      </c>
      <c r="L83" s="12">
        <v>34.167371852235007</v>
      </c>
      <c r="M83" s="12">
        <v>35.513740370321898</v>
      </c>
      <c r="N83" s="12">
        <v>48.233108834302698</v>
      </c>
      <c r="O83" s="12">
        <v>78.283942509242721</v>
      </c>
      <c r="P83" s="8">
        <v>-0.35619789999999996</v>
      </c>
      <c r="S83" s="21"/>
      <c r="W83" s="14"/>
    </row>
    <row r="84" spans="1:23" ht="14.4" customHeight="1">
      <c r="A84" s="10" t="s">
        <v>9</v>
      </c>
      <c r="B84" s="11">
        <v>2017</v>
      </c>
      <c r="C84" s="14" t="s">
        <v>51</v>
      </c>
      <c r="D84" s="14" t="s">
        <v>52</v>
      </c>
      <c r="E84" s="3">
        <f t="shared" si="7"/>
        <v>25.561418958095135</v>
      </c>
      <c r="F84" s="12">
        <v>27.08505430971972</v>
      </c>
      <c r="G84" s="12">
        <v>32.646311662425923</v>
      </c>
      <c r="H84" s="12">
        <v>24.059423863656949</v>
      </c>
      <c r="I84" s="12">
        <v>26.957662275315439</v>
      </c>
      <c r="J84" s="12">
        <v>64.493464555522706</v>
      </c>
      <c r="K84" s="12">
        <v>46.049984835905569</v>
      </c>
      <c r="L84" s="12">
        <v>43.408178523118409</v>
      </c>
      <c r="M84" s="12">
        <v>35.180367286476091</v>
      </c>
      <c r="N84" s="12">
        <v>53.305194749157359</v>
      </c>
      <c r="O84" s="12">
        <v>73.424407598311433</v>
      </c>
      <c r="P84" s="8">
        <v>-0.45157569999999997</v>
      </c>
      <c r="S84" s="21"/>
      <c r="W84" s="14"/>
    </row>
    <row r="85" spans="1:23" ht="14.4" customHeight="1">
      <c r="A85" s="10" t="s">
        <v>9</v>
      </c>
      <c r="B85" s="11">
        <v>2018</v>
      </c>
      <c r="C85" s="14" t="s">
        <v>51</v>
      </c>
      <c r="D85" s="14" t="s">
        <v>52</v>
      </c>
      <c r="E85" s="3">
        <f t="shared" si="7"/>
        <v>28.726691650514585</v>
      </c>
      <c r="F85" s="12">
        <v>27.56054572564673</v>
      </c>
      <c r="G85" s="12">
        <v>32.674110222081893</v>
      </c>
      <c r="H85" s="12">
        <v>27.37273479837252</v>
      </c>
      <c r="I85" s="12">
        <v>29.977425819988511</v>
      </c>
      <c r="J85" s="12">
        <v>65.158715053009715</v>
      </c>
      <c r="K85" s="12">
        <v>49.226981560439121</v>
      </c>
      <c r="L85" s="12">
        <v>42.813009379311708</v>
      </c>
      <c r="M85" s="12">
        <v>33.89669969518237</v>
      </c>
      <c r="N85" s="12">
        <v>54.629673408519977</v>
      </c>
      <c r="O85" s="12">
        <v>71.720087848955288</v>
      </c>
      <c r="P85" s="8">
        <v>-0.39073150000000001</v>
      </c>
      <c r="S85" s="21"/>
      <c r="W85" s="14"/>
    </row>
    <row r="86" spans="1:23" ht="14.4" customHeight="1">
      <c r="A86" s="10" t="s">
        <v>9</v>
      </c>
      <c r="B86" s="11">
        <v>2019</v>
      </c>
      <c r="C86" s="14" t="s">
        <v>51</v>
      </c>
      <c r="D86" s="14" t="s">
        <v>52</v>
      </c>
      <c r="E86" s="3">
        <f t="shared" si="7"/>
        <v>27.722479660790924</v>
      </c>
      <c r="F86" s="12">
        <v>24.474860343248871</v>
      </c>
      <c r="G86" s="12">
        <v>39.143985217200232</v>
      </c>
      <c r="H86" s="12">
        <v>22.320759842628579</v>
      </c>
      <c r="I86" s="12">
        <v>32.665167089227758</v>
      </c>
      <c r="J86" s="12">
        <v>77.420880180089199</v>
      </c>
      <c r="K86" s="12">
        <v>51.642468420614527</v>
      </c>
      <c r="L86" s="12">
        <v>68.429710852564668</v>
      </c>
      <c r="M86" s="12">
        <v>39.966095567725013</v>
      </c>
      <c r="N86" s="12">
        <v>67.249891854237958</v>
      </c>
      <c r="O86" s="12">
        <v>80.795276216205693</v>
      </c>
      <c r="P86" s="8">
        <v>-0.42314779999999996</v>
      </c>
      <c r="S86" s="21"/>
      <c r="W86" s="14"/>
    </row>
    <row r="87" spans="1:23" ht="14.4" customHeight="1">
      <c r="A87" s="10" t="s">
        <v>9</v>
      </c>
      <c r="B87" s="11">
        <v>2020</v>
      </c>
      <c r="C87" s="14" t="s">
        <v>51</v>
      </c>
      <c r="D87" s="14" t="s">
        <v>52</v>
      </c>
      <c r="E87" s="3">
        <f t="shared" si="7"/>
        <v>32.08967625670936</v>
      </c>
      <c r="F87" s="12">
        <v>30.212616501567911</v>
      </c>
      <c r="G87" s="12">
        <v>33.580470196466372</v>
      </c>
      <c r="H87" s="12">
        <v>32.937321517023349</v>
      </c>
      <c r="I87" s="12">
        <v>31.36348381967618</v>
      </c>
      <c r="J87" s="12">
        <v>74.417598306828353</v>
      </c>
      <c r="K87" s="12">
        <v>50.003673145901971</v>
      </c>
      <c r="L87" s="12">
        <v>71.368921452189568</v>
      </c>
      <c r="M87" s="12">
        <v>40.958032352705217</v>
      </c>
      <c r="N87" s="12">
        <v>62.648216451713822</v>
      </c>
      <c r="O87" s="12">
        <v>78.601837327406386</v>
      </c>
      <c r="P87" s="8">
        <v>-0.37707659999999998</v>
      </c>
      <c r="S87" s="21"/>
      <c r="W87" s="14"/>
    </row>
    <row r="88" spans="1:23" ht="14.4" customHeight="1">
      <c r="A88" s="10" t="s">
        <v>9</v>
      </c>
      <c r="B88" s="11">
        <v>2021</v>
      </c>
      <c r="C88" s="14" t="s">
        <v>51</v>
      </c>
      <c r="D88" s="14" t="s">
        <v>52</v>
      </c>
      <c r="E88" s="3">
        <f t="shared" si="7"/>
        <v>31.168908875264531</v>
      </c>
      <c r="F88" s="12">
        <v>25.982857309336978</v>
      </c>
      <c r="G88" s="12">
        <v>35.361211092915688</v>
      </c>
      <c r="H88" s="12">
        <v>28.508817982290381</v>
      </c>
      <c r="I88" s="12">
        <v>33.463177237553751</v>
      </c>
      <c r="J88" s="12">
        <v>76.327279419460979</v>
      </c>
      <c r="K88" s="12">
        <v>46.334792188678698</v>
      </c>
      <c r="L88" s="12">
        <v>71.11250936768414</v>
      </c>
      <c r="M88" s="12">
        <v>40.253995283871873</v>
      </c>
      <c r="N88" s="12">
        <v>69.110946397987462</v>
      </c>
      <c r="O88" s="12">
        <v>79.83153727642015</v>
      </c>
      <c r="P88" s="8">
        <v>-0.38599279999999997</v>
      </c>
      <c r="S88" s="21"/>
      <c r="W88" s="14"/>
    </row>
    <row r="89" spans="1:23" ht="14.4" customHeight="1">
      <c r="A89" s="10" t="s">
        <v>9</v>
      </c>
      <c r="B89" s="11">
        <v>2022</v>
      </c>
      <c r="C89" s="14" t="s">
        <v>51</v>
      </c>
      <c r="D89" s="14" t="s">
        <v>52</v>
      </c>
      <c r="E89" s="3">
        <f t="shared" si="7"/>
        <v>35.158372520667442</v>
      </c>
      <c r="F89" s="12">
        <v>28.387404264898251</v>
      </c>
      <c r="G89" s="12">
        <v>37.729384547400677</v>
      </c>
      <c r="H89" s="12">
        <v>33.209609129614329</v>
      </c>
      <c r="I89" s="12">
        <v>36.782353052751411</v>
      </c>
      <c r="J89" s="12">
        <v>77.527400852706165</v>
      </c>
      <c r="K89" s="12">
        <v>47.293580920443418</v>
      </c>
      <c r="L89" s="12">
        <v>71.504967886268176</v>
      </c>
      <c r="M89" s="12">
        <v>42.246578385406707</v>
      </c>
      <c r="N89" s="12">
        <v>68.266298768882621</v>
      </c>
      <c r="O89" s="12">
        <v>80.790437245560526</v>
      </c>
      <c r="P89" s="8">
        <v>-0.38170179999999998</v>
      </c>
      <c r="S89" s="21"/>
      <c r="W89" s="14"/>
    </row>
    <row r="90" spans="1:23" ht="14.4" customHeight="1">
      <c r="A90" s="23" t="s">
        <v>10</v>
      </c>
      <c r="B90" s="24">
        <v>2012</v>
      </c>
      <c r="C90" s="25" t="s">
        <v>58</v>
      </c>
      <c r="D90" s="25" t="s">
        <v>57</v>
      </c>
      <c r="E90" s="26">
        <f t="shared" ref="E90:E122" si="17">(F90+G90)/((F90/H90)+(G90/I90))</f>
        <v>23.078682025513526</v>
      </c>
      <c r="F90" s="27">
        <f>AVERAGE(F89,F91)</f>
        <v>22.72416642821911</v>
      </c>
      <c r="G90" s="27">
        <f t="shared" ref="G90" si="18">AVERAGE(G89,G91)</f>
        <v>38.181463084260969</v>
      </c>
      <c r="H90" s="27">
        <f t="shared" ref="H90" si="19">AVERAGE(H89,H91)</f>
        <v>20.190883226802356</v>
      </c>
      <c r="I90" s="27">
        <f t="shared" ref="I90" si="20">AVERAGE(I89,I91)</f>
        <v>25.225994819268038</v>
      </c>
      <c r="J90" s="27">
        <f t="shared" ref="J90" si="21">AVERAGE(J89,J91)</f>
        <v>66.653239134208889</v>
      </c>
      <c r="K90" s="27">
        <f t="shared" ref="K90" si="22">AVERAGE(K89,K91)</f>
        <v>36.38627297056577</v>
      </c>
      <c r="L90" s="27">
        <f t="shared" ref="L90" si="23">AVERAGE(L89,L91)</f>
        <v>55.033707275339836</v>
      </c>
      <c r="M90" s="27">
        <f t="shared" ref="M90" si="24">AVERAGE(M89,M91)</f>
        <v>38.932517235151678</v>
      </c>
      <c r="N90" s="27">
        <f t="shared" ref="N90" si="25">AVERAGE(N89,N91)</f>
        <v>54.850363601348093</v>
      </c>
      <c r="O90" s="27">
        <f t="shared" ref="O90" si="26">AVERAGE(O89,O91)</f>
        <v>75.577035498564314</v>
      </c>
      <c r="P90" s="28">
        <v>-0.3740965</v>
      </c>
      <c r="S90" s="21"/>
      <c r="W90" s="14"/>
    </row>
    <row r="91" spans="1:23" ht="14.4" customHeight="1">
      <c r="A91" s="10" t="s">
        <v>10</v>
      </c>
      <c r="B91" s="11">
        <v>2013</v>
      </c>
      <c r="C91" s="14" t="s">
        <v>58</v>
      </c>
      <c r="D91" s="14" t="s">
        <v>57</v>
      </c>
      <c r="E91" s="3">
        <f t="shared" si="17"/>
        <v>10.700181144940039</v>
      </c>
      <c r="F91" s="12">
        <v>17.06092859153997</v>
      </c>
      <c r="G91" s="12">
        <v>38.633541621121253</v>
      </c>
      <c r="H91" s="12">
        <v>7.172157323990386</v>
      </c>
      <c r="I91" s="12">
        <v>13.669636585784669</v>
      </c>
      <c r="J91" s="12">
        <v>55.779077415711612</v>
      </c>
      <c r="K91" s="12">
        <v>25.478965020688129</v>
      </c>
      <c r="L91" s="12">
        <v>38.562446664411503</v>
      </c>
      <c r="M91" s="12">
        <v>35.618456084896643</v>
      </c>
      <c r="N91" s="12">
        <v>41.434428433813572</v>
      </c>
      <c r="O91" s="12">
        <v>70.363633751568102</v>
      </c>
      <c r="P91" s="8">
        <v>-0.37224249999999998</v>
      </c>
      <c r="S91" s="21"/>
      <c r="W91" s="14"/>
    </row>
    <row r="92" spans="1:23" ht="14.4" customHeight="1">
      <c r="A92" s="10" t="s">
        <v>10</v>
      </c>
      <c r="B92" s="11">
        <v>2014</v>
      </c>
      <c r="C92" s="14" t="s">
        <v>58</v>
      </c>
      <c r="D92" s="14" t="s">
        <v>57</v>
      </c>
      <c r="E92" s="3">
        <f t="shared" si="17"/>
        <v>7.2356386148817888</v>
      </c>
      <c r="F92" s="12">
        <v>19.89154277017451</v>
      </c>
      <c r="G92" s="12">
        <v>36.486781394487338</v>
      </c>
      <c r="H92" s="12">
        <v>5.5860042613772256</v>
      </c>
      <c r="I92" s="12">
        <v>8.6240974106762529</v>
      </c>
      <c r="J92" s="12">
        <v>36.69712777351792</v>
      </c>
      <c r="K92" s="12">
        <v>9.5999676490521857</v>
      </c>
      <c r="L92" s="12">
        <v>23.058242004717972</v>
      </c>
      <c r="M92" s="12">
        <v>35.680771818199581</v>
      </c>
      <c r="N92" s="12">
        <v>38.906991127093193</v>
      </c>
      <c r="O92" s="12">
        <v>66.159125772531382</v>
      </c>
      <c r="P92" s="8">
        <v>-0.38090189999999996</v>
      </c>
      <c r="S92" s="21"/>
      <c r="W92" s="14"/>
    </row>
    <row r="93" spans="1:23" ht="14.4" customHeight="1">
      <c r="A93" s="10" t="s">
        <v>10</v>
      </c>
      <c r="B93" s="11">
        <v>2015</v>
      </c>
      <c r="C93" s="14" t="s">
        <v>58</v>
      </c>
      <c r="D93" s="14" t="s">
        <v>57</v>
      </c>
      <c r="E93" s="3">
        <f t="shared" si="17"/>
        <v>10.202350832337574</v>
      </c>
      <c r="F93" s="12">
        <v>18.880773967606689</v>
      </c>
      <c r="G93" s="12">
        <v>29.546556452363468</v>
      </c>
      <c r="H93" s="12">
        <v>8.7035838565255279</v>
      </c>
      <c r="I93" s="12">
        <v>11.463825339011329</v>
      </c>
      <c r="J93" s="12">
        <v>37.840647680681549</v>
      </c>
      <c r="K93" s="12">
        <v>13.391493549104521</v>
      </c>
      <c r="L93" s="12">
        <v>37.598663801414503</v>
      </c>
      <c r="M93" s="12">
        <v>30.826092018959471</v>
      </c>
      <c r="N93" s="12">
        <v>37.790575738597603</v>
      </c>
      <c r="O93" s="12">
        <v>46.645060835617549</v>
      </c>
      <c r="P93" s="8">
        <v>-0.33031949999999999</v>
      </c>
      <c r="S93" s="21"/>
      <c r="W93" s="14"/>
    </row>
    <row r="94" spans="1:23" ht="14.4" customHeight="1">
      <c r="A94" s="10" t="s">
        <v>10</v>
      </c>
      <c r="B94" s="11">
        <v>2016</v>
      </c>
      <c r="C94" s="14" t="s">
        <v>58</v>
      </c>
      <c r="D94" s="14" t="s">
        <v>57</v>
      </c>
      <c r="E94" s="3">
        <f t="shared" si="17"/>
        <v>10.530874652203618</v>
      </c>
      <c r="F94" s="12">
        <v>21.927091246066841</v>
      </c>
      <c r="G94" s="12">
        <v>29.149142348796929</v>
      </c>
      <c r="H94" s="12">
        <v>9.9018741441455127</v>
      </c>
      <c r="I94" s="12">
        <v>11.059341957209121</v>
      </c>
      <c r="J94" s="12">
        <v>43.990007738789679</v>
      </c>
      <c r="K94" s="12">
        <v>19.708711003692379</v>
      </c>
      <c r="L94" s="12">
        <v>33.333840251718151</v>
      </c>
      <c r="M94" s="12">
        <v>34.713626766180802</v>
      </c>
      <c r="N94" s="12">
        <v>44.341492902701368</v>
      </c>
      <c r="O94" s="12">
        <v>46.74199630827421</v>
      </c>
      <c r="P94" s="8">
        <v>-0.25357459999999998</v>
      </c>
      <c r="S94" s="21"/>
      <c r="W94" s="14"/>
    </row>
    <row r="95" spans="1:23" ht="14.4" customHeight="1">
      <c r="A95" s="10" t="s">
        <v>10</v>
      </c>
      <c r="B95" s="11">
        <v>2017</v>
      </c>
      <c r="C95" s="14" t="s">
        <v>58</v>
      </c>
      <c r="D95" s="14" t="s">
        <v>57</v>
      </c>
      <c r="E95" s="3">
        <f t="shared" si="17"/>
        <v>8.8025018082102342</v>
      </c>
      <c r="F95" s="12">
        <v>23.23661825524934</v>
      </c>
      <c r="G95" s="12">
        <v>25.52186487762086</v>
      </c>
      <c r="H95" s="12">
        <v>9.1790078932911658</v>
      </c>
      <c r="I95" s="12">
        <v>8.4856037892373948</v>
      </c>
      <c r="J95" s="12">
        <v>42.052287665484812</v>
      </c>
      <c r="K95" s="12">
        <v>14.05521098541999</v>
      </c>
      <c r="L95" s="12">
        <v>30.816615641622661</v>
      </c>
      <c r="M95" s="12">
        <v>34.524533035736667</v>
      </c>
      <c r="N95" s="12">
        <v>44.920660947306096</v>
      </c>
      <c r="O95" s="12">
        <v>56.177025859911922</v>
      </c>
      <c r="P95" s="8">
        <v>-0.21582669999999998</v>
      </c>
      <c r="S95" s="21"/>
      <c r="W95" s="14"/>
    </row>
    <row r="96" spans="1:23" ht="14.4" customHeight="1">
      <c r="A96" s="10" t="s">
        <v>10</v>
      </c>
      <c r="B96" s="11">
        <v>2018</v>
      </c>
      <c r="C96" s="14" t="s">
        <v>58</v>
      </c>
      <c r="D96" s="14" t="s">
        <v>57</v>
      </c>
      <c r="E96" s="3">
        <f t="shared" si="17"/>
        <v>12.807771538449503</v>
      </c>
      <c r="F96" s="12">
        <v>25.218614663546099</v>
      </c>
      <c r="G96" s="12">
        <v>32.437477015734579</v>
      </c>
      <c r="H96" s="12">
        <v>12.25777057562733</v>
      </c>
      <c r="I96" s="12">
        <v>13.27070670229125</v>
      </c>
      <c r="J96" s="12">
        <v>52.215916975486763</v>
      </c>
      <c r="K96" s="12">
        <v>24.828806740243731</v>
      </c>
      <c r="L96" s="12">
        <v>31.496585453991589</v>
      </c>
      <c r="M96" s="12">
        <v>40.100189790423258</v>
      </c>
      <c r="N96" s="12">
        <v>49.828075173617712</v>
      </c>
      <c r="O96" s="12">
        <v>65.031617089793869</v>
      </c>
      <c r="P96" s="8">
        <v>-0.15556249999999999</v>
      </c>
      <c r="S96" s="21"/>
      <c r="W96" s="14"/>
    </row>
    <row r="97" spans="1:23" ht="14.4" customHeight="1">
      <c r="A97" s="10" t="s">
        <v>10</v>
      </c>
      <c r="B97" s="11">
        <v>2019</v>
      </c>
      <c r="C97" s="14" t="s">
        <v>58</v>
      </c>
      <c r="D97" s="14" t="s">
        <v>57</v>
      </c>
      <c r="E97" s="3">
        <f t="shared" si="17"/>
        <v>15.841161042641355</v>
      </c>
      <c r="F97" s="12">
        <v>22.875082274607259</v>
      </c>
      <c r="G97" s="12">
        <v>31.508958794791852</v>
      </c>
      <c r="H97" s="12">
        <v>14.579622769524651</v>
      </c>
      <c r="I97" s="12">
        <v>16.902968414031321</v>
      </c>
      <c r="J97" s="12">
        <v>85.146945639736842</v>
      </c>
      <c r="K97" s="12">
        <v>34.914051765700947</v>
      </c>
      <c r="L97" s="12">
        <v>64.424651214930037</v>
      </c>
      <c r="M97" s="12">
        <v>55.936490323505481</v>
      </c>
      <c r="N97" s="12">
        <v>83.144798668797904</v>
      </c>
      <c r="O97" s="12">
        <v>92.3031983100594</v>
      </c>
      <c r="P97" s="8">
        <v>-9.8120499999999999E-2</v>
      </c>
      <c r="S97" s="21"/>
      <c r="W97" s="14"/>
    </row>
    <row r="98" spans="1:23" ht="14.4" customHeight="1">
      <c r="A98" s="10" t="s">
        <v>10</v>
      </c>
      <c r="B98" s="11">
        <v>2020</v>
      </c>
      <c r="C98" s="14" t="s">
        <v>58</v>
      </c>
      <c r="D98" s="14" t="s">
        <v>57</v>
      </c>
      <c r="E98" s="3">
        <f t="shared" si="17"/>
        <v>5.5167000550615697</v>
      </c>
      <c r="F98" s="12">
        <v>18.60924535756617</v>
      </c>
      <c r="G98" s="12">
        <v>34.548738499745987</v>
      </c>
      <c r="H98" s="12">
        <v>4.2244858735345092</v>
      </c>
      <c r="I98" s="12">
        <v>6.6049442663990581</v>
      </c>
      <c r="J98" s="12">
        <v>81.651000007454769</v>
      </c>
      <c r="K98" s="12">
        <v>22.420463182713728</v>
      </c>
      <c r="L98" s="12">
        <v>61.877095563359482</v>
      </c>
      <c r="M98" s="12">
        <v>48.821607676729087</v>
      </c>
      <c r="N98" s="12">
        <v>82.450703038897259</v>
      </c>
      <c r="O98" s="12">
        <v>86.055178530833672</v>
      </c>
      <c r="P98" s="8">
        <v>-0.14865339999999999</v>
      </c>
      <c r="S98" s="21"/>
      <c r="W98" s="14"/>
    </row>
    <row r="99" spans="1:23" ht="14.4" customHeight="1">
      <c r="A99" s="10" t="s">
        <v>10</v>
      </c>
      <c r="B99" s="11">
        <v>2021</v>
      </c>
      <c r="C99" s="14" t="s">
        <v>58</v>
      </c>
      <c r="D99" s="14" t="s">
        <v>57</v>
      </c>
      <c r="E99" s="3">
        <f t="shared" si="17"/>
        <v>14.216164749420528</v>
      </c>
      <c r="F99" s="12">
        <v>20.850735719334342</v>
      </c>
      <c r="G99" s="12">
        <v>29.996358885390588</v>
      </c>
      <c r="H99" s="12">
        <v>12.76503678061443</v>
      </c>
      <c r="I99" s="12">
        <v>15.435908740218039</v>
      </c>
      <c r="J99" s="12">
        <v>85.986828002690558</v>
      </c>
      <c r="K99" s="12">
        <v>27.211248511264039</v>
      </c>
      <c r="L99" s="12">
        <v>63.121257332052693</v>
      </c>
      <c r="M99" s="12">
        <v>48.222324101623762</v>
      </c>
      <c r="N99" s="12">
        <v>83.414913297294035</v>
      </c>
      <c r="O99" s="12">
        <v>87.008518316478501</v>
      </c>
      <c r="P99" s="8">
        <v>-0.16991489999999998</v>
      </c>
      <c r="S99" s="21"/>
      <c r="W99" s="14"/>
    </row>
    <row r="100" spans="1:23" ht="14.4" customHeight="1">
      <c r="A100" s="10" t="s">
        <v>10</v>
      </c>
      <c r="B100" s="11">
        <v>2022</v>
      </c>
      <c r="C100" s="14" t="s">
        <v>58</v>
      </c>
      <c r="D100" s="14" t="s">
        <v>57</v>
      </c>
      <c r="E100" s="3">
        <f t="shared" si="17"/>
        <v>9.824086401101054</v>
      </c>
      <c r="F100" s="12">
        <v>20.74724689756134</v>
      </c>
      <c r="G100" s="12">
        <v>22.95305586053172</v>
      </c>
      <c r="H100" s="12">
        <v>10.25337476775359</v>
      </c>
      <c r="I100" s="12">
        <v>9.4658562353361884</v>
      </c>
      <c r="J100" s="12">
        <v>78.075601374569828</v>
      </c>
      <c r="K100" s="12">
        <v>22.233750286582321</v>
      </c>
      <c r="L100" s="12">
        <v>47.408983723471742</v>
      </c>
      <c r="M100" s="12">
        <v>51.164136546029937</v>
      </c>
      <c r="N100" s="12">
        <v>75.45229463259308</v>
      </c>
      <c r="O100" s="12">
        <v>90.516949711096188</v>
      </c>
      <c r="P100" s="8">
        <v>-8.7658E-2</v>
      </c>
      <c r="S100" s="21"/>
      <c r="W100" s="14"/>
    </row>
    <row r="101" spans="1:23" ht="14.4" customHeight="1">
      <c r="A101" s="10" t="s">
        <v>11</v>
      </c>
      <c r="B101" s="11">
        <v>2012</v>
      </c>
      <c r="C101" s="14" t="s">
        <v>56</v>
      </c>
      <c r="D101" s="14" t="s">
        <v>52</v>
      </c>
      <c r="E101" s="3">
        <f t="shared" si="17"/>
        <v>12.707082266754844</v>
      </c>
      <c r="F101" s="12">
        <v>28.031861231314171</v>
      </c>
      <c r="G101" s="12">
        <v>39.806575101645812</v>
      </c>
      <c r="H101" s="12">
        <v>10.590888538901901</v>
      </c>
      <c r="I101" s="12">
        <v>14.78785880368603</v>
      </c>
      <c r="J101" s="12">
        <v>54.153125209270932</v>
      </c>
      <c r="K101" s="12">
        <v>22.277241769976438</v>
      </c>
      <c r="L101" s="12">
        <v>39.948235803538822</v>
      </c>
      <c r="M101" s="12">
        <v>39.860723476208179</v>
      </c>
      <c r="N101" s="12">
        <v>39.168245774958521</v>
      </c>
      <c r="O101" s="12">
        <v>72.973968865468308</v>
      </c>
      <c r="P101" s="8">
        <v>-1.2487390999999999</v>
      </c>
      <c r="S101" s="21"/>
      <c r="W101" s="14"/>
    </row>
    <row r="102" spans="1:23" ht="14.4" customHeight="1">
      <c r="A102" s="10" t="s">
        <v>11</v>
      </c>
      <c r="B102" s="11">
        <v>2013</v>
      </c>
      <c r="C102" s="14" t="s">
        <v>56</v>
      </c>
      <c r="D102" s="14" t="s">
        <v>52</v>
      </c>
      <c r="E102" s="3">
        <f t="shared" si="17"/>
        <v>13.511113827949751</v>
      </c>
      <c r="F102" s="12">
        <v>15.581541513688061</v>
      </c>
      <c r="G102" s="12">
        <v>43.629386840839153</v>
      </c>
      <c r="H102" s="12">
        <v>8.786034277192865</v>
      </c>
      <c r="I102" s="12">
        <v>16.72301452738715</v>
      </c>
      <c r="J102" s="12">
        <v>56.515090782700213</v>
      </c>
      <c r="K102" s="12">
        <v>33.142030723100603</v>
      </c>
      <c r="L102" s="12">
        <v>42.729430098871013</v>
      </c>
      <c r="M102" s="12">
        <v>36.088866210927442</v>
      </c>
      <c r="N102" s="12">
        <v>36.989316072366513</v>
      </c>
      <c r="O102" s="12">
        <v>82.387676711097797</v>
      </c>
      <c r="P102" s="8">
        <v>-1.3745965</v>
      </c>
      <c r="S102" s="21"/>
      <c r="W102" s="14"/>
    </row>
    <row r="103" spans="1:23" ht="14.4" customHeight="1">
      <c r="A103" s="10" t="s">
        <v>11</v>
      </c>
      <c r="B103" s="11">
        <v>2014</v>
      </c>
      <c r="C103" s="14" t="s">
        <v>56</v>
      </c>
      <c r="D103" s="14" t="s">
        <v>52</v>
      </c>
      <c r="E103" s="3">
        <f t="shared" si="17"/>
        <v>18.595569764405234</v>
      </c>
      <c r="F103" s="12">
        <v>27.894302265907029</v>
      </c>
      <c r="G103" s="12">
        <v>38.999722703121542</v>
      </c>
      <c r="H103" s="12">
        <v>15.640411731876149</v>
      </c>
      <c r="I103" s="12">
        <v>21.501268581931988</v>
      </c>
      <c r="J103" s="12">
        <v>59.450819759776671</v>
      </c>
      <c r="K103" s="12">
        <v>27.500747646316359</v>
      </c>
      <c r="L103" s="12">
        <v>35.159895296953209</v>
      </c>
      <c r="M103" s="12">
        <v>35.145605188029393</v>
      </c>
      <c r="N103" s="12">
        <v>27.682914631265199</v>
      </c>
      <c r="O103" s="12">
        <v>75.613098403913199</v>
      </c>
      <c r="P103" s="8">
        <v>-1.3019342</v>
      </c>
      <c r="S103" s="21"/>
      <c r="W103" s="14"/>
    </row>
    <row r="104" spans="1:23" ht="14.4" customHeight="1">
      <c r="A104" s="10" t="s">
        <v>11</v>
      </c>
      <c r="B104" s="11">
        <v>2015</v>
      </c>
      <c r="C104" s="14" t="s">
        <v>56</v>
      </c>
      <c r="D104" s="14" t="s">
        <v>52</v>
      </c>
      <c r="E104" s="3">
        <f t="shared" si="17"/>
        <v>14.193011808988405</v>
      </c>
      <c r="F104" s="12">
        <v>27.169227055848161</v>
      </c>
      <c r="G104" s="12">
        <v>36.372938920288682</v>
      </c>
      <c r="H104" s="12">
        <v>12.13119584614619</v>
      </c>
      <c r="I104" s="12">
        <v>16.256882264114029</v>
      </c>
      <c r="J104" s="12">
        <v>61.991112695004198</v>
      </c>
      <c r="K104" s="12">
        <v>37.798076965555182</v>
      </c>
      <c r="L104" s="12">
        <v>45.932780076505367</v>
      </c>
      <c r="M104" s="12">
        <v>40.393622943856514</v>
      </c>
      <c r="N104" s="12">
        <v>40.309973016116423</v>
      </c>
      <c r="O104" s="12">
        <v>82.298967966526632</v>
      </c>
      <c r="P104" s="8">
        <v>-1.0907749</v>
      </c>
      <c r="S104" s="21"/>
      <c r="W104" s="14"/>
    </row>
    <row r="105" spans="1:23" ht="14.4" customHeight="1">
      <c r="A105" s="10" t="s">
        <v>11</v>
      </c>
      <c r="B105" s="11">
        <v>2016</v>
      </c>
      <c r="C105" s="14" t="s">
        <v>56</v>
      </c>
      <c r="D105" s="14" t="s">
        <v>52</v>
      </c>
      <c r="E105" s="3">
        <f t="shared" si="17"/>
        <v>14.796807902148927</v>
      </c>
      <c r="F105" s="12">
        <v>25.599899195895009</v>
      </c>
      <c r="G105" s="12">
        <v>41.374784076699733</v>
      </c>
      <c r="H105" s="12">
        <v>11.29630534015225</v>
      </c>
      <c r="I105" s="12">
        <v>18.306827898440101</v>
      </c>
      <c r="J105" s="12">
        <v>59.28971950901358</v>
      </c>
      <c r="K105" s="12">
        <v>46.835742878051867</v>
      </c>
      <c r="L105" s="12">
        <v>50.598436875224422</v>
      </c>
      <c r="M105" s="12">
        <v>46.209619124369198</v>
      </c>
      <c r="N105" s="12">
        <v>34.435303480073273</v>
      </c>
      <c r="O105" s="12">
        <v>80.483653733860606</v>
      </c>
      <c r="P105" s="8">
        <v>-1.0558722999999999</v>
      </c>
      <c r="S105" s="21"/>
      <c r="W105" s="14"/>
    </row>
    <row r="106" spans="1:23" ht="14.4" customHeight="1">
      <c r="A106" s="10" t="s">
        <v>11</v>
      </c>
      <c r="B106" s="11">
        <v>2017</v>
      </c>
      <c r="C106" s="14" t="s">
        <v>56</v>
      </c>
      <c r="D106" s="14" t="s">
        <v>52</v>
      </c>
      <c r="E106" s="3">
        <f t="shared" si="17"/>
        <v>14.960873860747354</v>
      </c>
      <c r="F106" s="12">
        <v>28.682413152522511</v>
      </c>
      <c r="G106" s="12">
        <v>36.040572781164506</v>
      </c>
      <c r="H106" s="12">
        <v>13.37286994677013</v>
      </c>
      <c r="I106" s="12">
        <v>16.522300032978979</v>
      </c>
      <c r="J106" s="12">
        <v>53.346946566360693</v>
      </c>
      <c r="K106" s="12">
        <v>42.337962923905422</v>
      </c>
      <c r="L106" s="12">
        <v>49.13796723451884</v>
      </c>
      <c r="M106" s="12">
        <v>43.91396630491122</v>
      </c>
      <c r="N106" s="12">
        <v>33.616604614787221</v>
      </c>
      <c r="O106" s="12">
        <v>79.397817539833312</v>
      </c>
      <c r="P106" s="8">
        <v>-1.0828666999999998</v>
      </c>
      <c r="S106" s="21"/>
      <c r="W106" s="14"/>
    </row>
    <row r="107" spans="1:23" ht="14.4" customHeight="1">
      <c r="A107" s="10" t="s">
        <v>11</v>
      </c>
      <c r="B107" s="11">
        <v>2018</v>
      </c>
      <c r="C107" s="14" t="s">
        <v>56</v>
      </c>
      <c r="D107" s="14" t="s">
        <v>52</v>
      </c>
      <c r="E107" s="3">
        <f t="shared" si="17"/>
        <v>12.5766622881023</v>
      </c>
      <c r="F107" s="12">
        <v>11.614076363204729</v>
      </c>
      <c r="G107" s="12">
        <v>50.205623521352813</v>
      </c>
      <c r="H107" s="12">
        <v>7.2176757755788996</v>
      </c>
      <c r="I107" s="12">
        <v>15.184772187645491</v>
      </c>
      <c r="J107" s="12">
        <v>53.113208095639351</v>
      </c>
      <c r="K107" s="12">
        <v>37.383626160652817</v>
      </c>
      <c r="L107" s="12">
        <v>44.495345072195192</v>
      </c>
      <c r="M107" s="12">
        <v>39.289556427678541</v>
      </c>
      <c r="N107" s="12">
        <v>22.315283079760579</v>
      </c>
      <c r="O107" s="12">
        <v>80.485127031015878</v>
      </c>
      <c r="P107" s="8">
        <v>-1.2929956</v>
      </c>
      <c r="S107" s="21"/>
      <c r="W107" s="14"/>
    </row>
    <row r="108" spans="1:23" ht="14.4" customHeight="1">
      <c r="A108" s="10" t="s">
        <v>11</v>
      </c>
      <c r="B108" s="11">
        <v>2019</v>
      </c>
      <c r="C108" s="14" t="s">
        <v>56</v>
      </c>
      <c r="D108" s="14" t="s">
        <v>52</v>
      </c>
      <c r="E108" s="3">
        <f t="shared" si="17"/>
        <v>13.474984748813393</v>
      </c>
      <c r="F108" s="12">
        <v>13.98104787303475</v>
      </c>
      <c r="G108" s="12">
        <v>45.910320569978012</v>
      </c>
      <c r="H108" s="12">
        <v>9.571514636066059</v>
      </c>
      <c r="I108" s="12">
        <v>15.385804883450451</v>
      </c>
      <c r="J108" s="12">
        <v>68.8797445866212</v>
      </c>
      <c r="K108" s="12">
        <v>42.342699767518859</v>
      </c>
      <c r="L108" s="12">
        <v>55.106970938810733</v>
      </c>
      <c r="M108" s="12">
        <v>37.37782717941959</v>
      </c>
      <c r="N108" s="12">
        <v>47.679295973435579</v>
      </c>
      <c r="O108" s="12">
        <v>86.573159013101105</v>
      </c>
      <c r="P108" s="8">
        <v>-1.3605616999999999</v>
      </c>
      <c r="S108" s="21"/>
      <c r="W108" s="14"/>
    </row>
    <row r="109" spans="1:23" ht="14.4" customHeight="1">
      <c r="A109" s="10" t="s">
        <v>11</v>
      </c>
      <c r="B109" s="11">
        <v>2020</v>
      </c>
      <c r="C109" s="14" t="s">
        <v>56</v>
      </c>
      <c r="D109" s="14" t="s">
        <v>52</v>
      </c>
      <c r="E109" s="3">
        <f t="shared" si="17"/>
        <v>10.956057402663564</v>
      </c>
      <c r="F109" s="12">
        <v>18.31659443282393</v>
      </c>
      <c r="G109" s="12">
        <v>46.983765615581433</v>
      </c>
      <c r="H109" s="12">
        <v>9.3928510834358949</v>
      </c>
      <c r="I109" s="12">
        <v>11.716213999245859</v>
      </c>
      <c r="J109" s="12">
        <v>64.864063887466216</v>
      </c>
      <c r="K109" s="12">
        <v>24.532205748220679</v>
      </c>
      <c r="L109" s="12">
        <v>33.78384173295553</v>
      </c>
      <c r="M109" s="12">
        <v>39.856540568935173</v>
      </c>
      <c r="N109" s="12">
        <v>13.319201393946701</v>
      </c>
      <c r="O109" s="12">
        <v>94.312650319799147</v>
      </c>
      <c r="P109" s="8">
        <v>-1.3929586999999999</v>
      </c>
      <c r="S109" s="21"/>
      <c r="W109" s="14"/>
    </row>
    <row r="110" spans="1:23" ht="14.4" customHeight="1">
      <c r="A110" s="10" t="s">
        <v>11</v>
      </c>
      <c r="B110" s="11">
        <v>2021</v>
      </c>
      <c r="C110" s="14" t="s">
        <v>56</v>
      </c>
      <c r="D110" s="14" t="s">
        <v>52</v>
      </c>
      <c r="E110" s="3">
        <f t="shared" si="17"/>
        <v>9.1549595345171788</v>
      </c>
      <c r="F110" s="12">
        <v>16.949038481938931</v>
      </c>
      <c r="G110" s="12">
        <v>32.910850303100332</v>
      </c>
      <c r="H110" s="12">
        <v>9.5200688466902967</v>
      </c>
      <c r="I110" s="12">
        <v>8.9776422472794231</v>
      </c>
      <c r="J110" s="12">
        <v>66.436658135001764</v>
      </c>
      <c r="K110" s="12">
        <v>27.551544877103801</v>
      </c>
      <c r="L110" s="12">
        <v>41.871793622510893</v>
      </c>
      <c r="M110" s="12">
        <v>39.923028688219077</v>
      </c>
      <c r="N110" s="12">
        <v>17.866988133806281</v>
      </c>
      <c r="O110" s="12">
        <v>88.71549933939059</v>
      </c>
      <c r="P110" s="8">
        <v>-1.3936203999999999</v>
      </c>
      <c r="S110" s="21"/>
      <c r="W110" s="14"/>
    </row>
    <row r="111" spans="1:23" ht="14.4" customHeight="1">
      <c r="A111" s="10" t="s">
        <v>11</v>
      </c>
      <c r="B111" s="11">
        <v>2022</v>
      </c>
      <c r="C111" s="14" t="s">
        <v>56</v>
      </c>
      <c r="D111" s="14" t="s">
        <v>52</v>
      </c>
      <c r="E111" s="3">
        <f t="shared" si="17"/>
        <v>19.909831174945726</v>
      </c>
      <c r="F111" s="12">
        <v>11.11900017053798</v>
      </c>
      <c r="G111" s="12">
        <v>46.643043612870443</v>
      </c>
      <c r="H111" s="12">
        <v>11.725841451580729</v>
      </c>
      <c r="I111" s="12">
        <v>23.883568207524601</v>
      </c>
      <c r="J111" s="12">
        <v>54.226536936606209</v>
      </c>
      <c r="K111" s="12">
        <v>33.161992016366632</v>
      </c>
      <c r="L111" s="12">
        <v>64.119928113759329</v>
      </c>
      <c r="M111" s="12">
        <v>41.451952144060407</v>
      </c>
      <c r="N111" s="12">
        <v>51.288799744458949</v>
      </c>
      <c r="O111" s="12">
        <v>89.24774355982629</v>
      </c>
      <c r="P111" s="8">
        <v>-1.3976255</v>
      </c>
      <c r="S111" s="21"/>
      <c r="W111" s="14"/>
    </row>
    <row r="112" spans="1:23" ht="14.4" customHeight="1">
      <c r="A112" s="23" t="s">
        <v>12</v>
      </c>
      <c r="B112" s="24">
        <v>2012</v>
      </c>
      <c r="C112" s="25" t="s">
        <v>56</v>
      </c>
      <c r="D112" s="25" t="s">
        <v>54</v>
      </c>
      <c r="E112" s="26">
        <f t="shared" si="17"/>
        <v>7.4708569276486161</v>
      </c>
      <c r="F112" s="27">
        <v>15.642067005291279</v>
      </c>
      <c r="G112" s="27">
        <v>34.725500095491988</v>
      </c>
      <c r="H112" s="27">
        <v>5.5060315786068186</v>
      </c>
      <c r="I112" s="27">
        <v>8.9017464662258821</v>
      </c>
      <c r="J112" s="27">
        <v>29.30668060588161</v>
      </c>
      <c r="K112" s="27">
        <v>14.495835927972671</v>
      </c>
      <c r="L112" s="27">
        <v>28.556962181684678</v>
      </c>
      <c r="M112" s="27">
        <v>41.698650118117513</v>
      </c>
      <c r="N112" s="27">
        <v>30.615095997428099</v>
      </c>
      <c r="O112" s="27">
        <v>72.386153650221445</v>
      </c>
      <c r="P112" s="28">
        <v>1.1065080999999999</v>
      </c>
      <c r="S112" s="21"/>
      <c r="W112" s="14"/>
    </row>
    <row r="113" spans="1:23" ht="14.4" customHeight="1">
      <c r="A113" s="10" t="s">
        <v>12</v>
      </c>
      <c r="B113" s="11">
        <v>2013</v>
      </c>
      <c r="C113" s="14" t="s">
        <v>56</v>
      </c>
      <c r="D113" s="14" t="s">
        <v>54</v>
      </c>
      <c r="E113" s="3">
        <f t="shared" si="17"/>
        <v>10.737350770260953</v>
      </c>
      <c r="F113" s="12">
        <v>16.99847674087269</v>
      </c>
      <c r="G113" s="12">
        <v>30.089535473038179</v>
      </c>
      <c r="H113" s="12">
        <v>9.2036797817334328</v>
      </c>
      <c r="I113" s="12">
        <v>11.853186722865811</v>
      </c>
      <c r="J113" s="12">
        <v>36.173333673849527</v>
      </c>
      <c r="K113" s="12">
        <v>26.712111171723489</v>
      </c>
      <c r="L113" s="12">
        <v>40.675804998343658</v>
      </c>
      <c r="M113" s="12">
        <v>53.334580127638347</v>
      </c>
      <c r="N113" s="12">
        <v>46.501876672481487</v>
      </c>
      <c r="O113" s="12">
        <v>80.295313226636523</v>
      </c>
      <c r="P113" s="8">
        <v>1.0845921000000001</v>
      </c>
      <c r="S113" s="21"/>
      <c r="W113" s="14"/>
    </row>
    <row r="114" spans="1:23" ht="14.4" customHeight="1">
      <c r="A114" s="10" t="s">
        <v>12</v>
      </c>
      <c r="B114" s="11">
        <v>2014</v>
      </c>
      <c r="C114" s="14" t="s">
        <v>56</v>
      </c>
      <c r="D114" s="14" t="s">
        <v>54</v>
      </c>
      <c r="E114" s="3">
        <f t="shared" si="17"/>
        <v>10.971089348462767</v>
      </c>
      <c r="F114" s="12">
        <f>AVERAGE(F113,F115)</f>
        <v>14.518652713324185</v>
      </c>
      <c r="G114" s="12">
        <f t="shared" ref="G114" si="27">AVERAGE(G113,G115)</f>
        <v>29.741469079961799</v>
      </c>
      <c r="H114" s="12">
        <f t="shared" ref="H114" si="28">AVERAGE(H113,H115)</f>
        <v>8.4720588249336366</v>
      </c>
      <c r="I114" s="12">
        <f t="shared" ref="I114" si="29">AVERAGE(I113,I115)</f>
        <v>12.81661376465863</v>
      </c>
      <c r="J114" s="12">
        <f t="shared" ref="J114" si="30">AVERAGE(J113,J115)</f>
        <v>38.867567230942399</v>
      </c>
      <c r="K114" s="12">
        <f t="shared" ref="K114" si="31">AVERAGE(K113,K115)</f>
        <v>26.518941397392581</v>
      </c>
      <c r="L114" s="12">
        <f t="shared" ref="L114" si="32">AVERAGE(L113,L115)</f>
        <v>48.513891567323995</v>
      </c>
      <c r="M114" s="12">
        <f t="shared" ref="M114" si="33">AVERAGE(M113,M115)</f>
        <v>53.689233767576965</v>
      </c>
      <c r="N114" s="12">
        <f t="shared" ref="N114" si="34">AVERAGE(N113,N115)</f>
        <v>50.998548760964489</v>
      </c>
      <c r="O114" s="12">
        <f t="shared" ref="O114" si="35">AVERAGE(O113,O115)</f>
        <v>83.266439968357915</v>
      </c>
      <c r="P114" s="8">
        <v>1.0392029999999999</v>
      </c>
      <c r="S114" s="21"/>
      <c r="W114" s="14"/>
    </row>
    <row r="115" spans="1:23" ht="14.4" customHeight="1">
      <c r="A115" s="10" t="s">
        <v>12</v>
      </c>
      <c r="B115" s="11">
        <v>2015</v>
      </c>
      <c r="C115" s="14" t="s">
        <v>56</v>
      </c>
      <c r="D115" s="14" t="s">
        <v>54</v>
      </c>
      <c r="E115" s="3">
        <f t="shared" si="17"/>
        <v>11.233245597936474</v>
      </c>
      <c r="F115" s="12">
        <v>12.03882868577568</v>
      </c>
      <c r="G115" s="12">
        <v>29.39340268688542</v>
      </c>
      <c r="H115" s="12">
        <v>7.7404378681338386</v>
      </c>
      <c r="I115" s="12">
        <v>13.780040806451449</v>
      </c>
      <c r="J115" s="12">
        <v>41.561800788035278</v>
      </c>
      <c r="K115" s="12">
        <v>26.325771623061669</v>
      </c>
      <c r="L115" s="12">
        <v>56.351978136304332</v>
      </c>
      <c r="M115" s="12">
        <v>54.043887407515591</v>
      </c>
      <c r="N115" s="12">
        <v>55.495220849447492</v>
      </c>
      <c r="O115" s="12">
        <v>86.237566710079307</v>
      </c>
      <c r="P115" s="8">
        <v>1.0998741999999999</v>
      </c>
      <c r="S115" s="21"/>
      <c r="W115" s="14"/>
    </row>
    <row r="116" spans="1:23" ht="14.4" customHeight="1">
      <c r="A116" s="10" t="s">
        <v>12</v>
      </c>
      <c r="B116" s="11">
        <v>2016</v>
      </c>
      <c r="C116" s="14" t="s">
        <v>56</v>
      </c>
      <c r="D116" s="14" t="s">
        <v>54</v>
      </c>
      <c r="E116" s="3">
        <f t="shared" si="17"/>
        <v>9.2318263476992115</v>
      </c>
      <c r="F116" s="12">
        <v>12.11851379754818</v>
      </c>
      <c r="G116" s="12">
        <v>23.028850934132411</v>
      </c>
      <c r="H116" s="12">
        <v>7.618589239636278</v>
      </c>
      <c r="I116" s="12">
        <v>10.38952770596466</v>
      </c>
      <c r="J116" s="12">
        <v>41.099679329764413</v>
      </c>
      <c r="K116" s="12">
        <v>25.604528854166041</v>
      </c>
      <c r="L116" s="12">
        <v>50.546830923504061</v>
      </c>
      <c r="M116" s="12">
        <v>53.527154052359307</v>
      </c>
      <c r="N116" s="12">
        <v>53.687761962120049</v>
      </c>
      <c r="O116" s="12">
        <v>85.503843406234353</v>
      </c>
      <c r="P116" s="8">
        <v>1.2410934</v>
      </c>
      <c r="S116" s="21"/>
      <c r="W116" s="14"/>
    </row>
    <row r="117" spans="1:23" ht="14.4" customHeight="1">
      <c r="A117" s="10" t="s">
        <v>12</v>
      </c>
      <c r="B117" s="11">
        <v>2017</v>
      </c>
      <c r="C117" s="14" t="s">
        <v>56</v>
      </c>
      <c r="D117" s="14" t="s">
        <v>54</v>
      </c>
      <c r="E117" s="3">
        <f t="shared" si="17"/>
        <v>11.64413740288245</v>
      </c>
      <c r="F117" s="12">
        <v>10.78040591572115</v>
      </c>
      <c r="G117" s="12">
        <v>28.254812690142678</v>
      </c>
      <c r="H117" s="12">
        <v>7.4806969074799587</v>
      </c>
      <c r="I117" s="12">
        <v>14.783396939167879</v>
      </c>
      <c r="J117" s="12">
        <v>44.140880628955522</v>
      </c>
      <c r="K117" s="12">
        <v>30.610989664332049</v>
      </c>
      <c r="L117" s="12">
        <v>60.165716316118392</v>
      </c>
      <c r="M117" s="12">
        <v>54.713096815483041</v>
      </c>
      <c r="N117" s="12">
        <v>58.289800368207203</v>
      </c>
      <c r="O117" s="12">
        <v>86.074083157735458</v>
      </c>
      <c r="P117" s="8">
        <v>1.21522</v>
      </c>
      <c r="S117" s="21"/>
      <c r="W117" s="14"/>
    </row>
    <row r="118" spans="1:23" ht="14.4" customHeight="1">
      <c r="A118" s="10" t="s">
        <v>12</v>
      </c>
      <c r="B118" s="11">
        <v>2018</v>
      </c>
      <c r="C118" s="14" t="s">
        <v>56</v>
      </c>
      <c r="D118" s="14" t="s">
        <v>54</v>
      </c>
      <c r="E118" s="3">
        <f t="shared" si="17"/>
        <v>12.744103510001992</v>
      </c>
      <c r="F118" s="12">
        <v>19.123453898620681</v>
      </c>
      <c r="G118" s="12">
        <v>30.551667420798569</v>
      </c>
      <c r="H118" s="12">
        <v>11.70868347332385</v>
      </c>
      <c r="I118" s="12">
        <v>13.490860990986249</v>
      </c>
      <c r="J118" s="12">
        <v>41.482627488793931</v>
      </c>
      <c r="K118" s="12">
        <v>31.912977574929801</v>
      </c>
      <c r="L118" s="12">
        <v>56.074059241094353</v>
      </c>
      <c r="M118" s="12">
        <v>53.298809523811371</v>
      </c>
      <c r="N118" s="12">
        <v>56.225804577523213</v>
      </c>
      <c r="O118" s="12">
        <v>84.981415897316566</v>
      </c>
      <c r="P118" s="8">
        <v>1.1635450000000001</v>
      </c>
      <c r="S118" s="21"/>
      <c r="W118" s="14"/>
    </row>
    <row r="119" spans="1:23" ht="14.4" customHeight="1">
      <c r="A119" s="10" t="s">
        <v>12</v>
      </c>
      <c r="B119" s="11">
        <v>2019</v>
      </c>
      <c r="C119" s="14" t="s">
        <v>56</v>
      </c>
      <c r="D119" s="14" t="s">
        <v>54</v>
      </c>
      <c r="E119" s="3">
        <f t="shared" si="17"/>
        <v>13.295221143326799</v>
      </c>
      <c r="F119" s="12">
        <v>13.2643539813419</v>
      </c>
      <c r="G119" s="12">
        <v>31.751155729885259</v>
      </c>
      <c r="H119" s="12">
        <v>9.2873895247140936</v>
      </c>
      <c r="I119" s="12">
        <v>16.219180064575571</v>
      </c>
      <c r="J119" s="12">
        <v>43.342812577213323</v>
      </c>
      <c r="K119" s="12">
        <v>30.369439993070419</v>
      </c>
      <c r="L119" s="12">
        <v>72.60408412384723</v>
      </c>
      <c r="M119" s="12">
        <v>53.510756193135819</v>
      </c>
      <c r="N119" s="12">
        <v>45.995093113874937</v>
      </c>
      <c r="O119" s="12">
        <v>84.134108544118007</v>
      </c>
      <c r="P119" s="8">
        <v>1.2416535</v>
      </c>
      <c r="S119" s="21"/>
      <c r="W119" s="14"/>
    </row>
    <row r="120" spans="1:23" ht="14.4" customHeight="1">
      <c r="A120" s="10" t="s">
        <v>12</v>
      </c>
      <c r="B120" s="11">
        <v>2020</v>
      </c>
      <c r="C120" s="14" t="s">
        <v>56</v>
      </c>
      <c r="D120" s="14" t="s">
        <v>54</v>
      </c>
      <c r="E120" s="3">
        <f t="shared" si="17"/>
        <v>8.4080075356086237</v>
      </c>
      <c r="F120" s="12">
        <v>11.99635560891997</v>
      </c>
      <c r="G120" s="12">
        <v>29.5318449524244</v>
      </c>
      <c r="H120" s="12">
        <v>6.389717079513928</v>
      </c>
      <c r="I120" s="12">
        <v>9.6456404739580233</v>
      </c>
      <c r="J120" s="12">
        <v>37.671534120846339</v>
      </c>
      <c r="K120" s="12">
        <v>22.87056223252474</v>
      </c>
      <c r="L120" s="12">
        <v>68.131157778861848</v>
      </c>
      <c r="M120" s="12">
        <v>56.100419417110189</v>
      </c>
      <c r="N120" s="12">
        <v>25.02868924671909</v>
      </c>
      <c r="O120" s="12">
        <v>83.699406191822845</v>
      </c>
      <c r="P120" s="8">
        <v>1.1520351</v>
      </c>
      <c r="S120" s="21"/>
      <c r="W120" s="14"/>
    </row>
    <row r="121" spans="1:23" ht="14.4" customHeight="1">
      <c r="A121" s="10" t="s">
        <v>12</v>
      </c>
      <c r="B121" s="11">
        <v>2021</v>
      </c>
      <c r="C121" s="14" t="s">
        <v>56</v>
      </c>
      <c r="D121" s="14" t="s">
        <v>54</v>
      </c>
      <c r="E121" s="3">
        <f t="shared" si="17"/>
        <v>9.3356657258844002</v>
      </c>
      <c r="F121" s="12">
        <v>8.911396629694055</v>
      </c>
      <c r="G121" s="12">
        <v>31.462024004503149</v>
      </c>
      <c r="H121" s="12">
        <v>4.8381640127145804</v>
      </c>
      <c r="I121" s="12">
        <v>12.67226564231539</v>
      </c>
      <c r="J121" s="12">
        <v>37.539920964293962</v>
      </c>
      <c r="K121" s="12">
        <v>19.856367963405379</v>
      </c>
      <c r="L121" s="12">
        <v>63.475820280083148</v>
      </c>
      <c r="M121" s="12">
        <v>53.797021663411861</v>
      </c>
      <c r="N121" s="12">
        <v>45.833873863367963</v>
      </c>
      <c r="O121" s="12">
        <v>82.648922141104237</v>
      </c>
      <c r="P121" s="8">
        <v>1.1753426</v>
      </c>
      <c r="S121" s="21"/>
      <c r="W121" s="14"/>
    </row>
    <row r="122" spans="1:23" ht="14.4" customHeight="1">
      <c r="A122" s="10" t="s">
        <v>12</v>
      </c>
      <c r="B122" s="11">
        <v>2022</v>
      </c>
      <c r="C122" s="14" t="s">
        <v>56</v>
      </c>
      <c r="D122" s="14" t="s">
        <v>54</v>
      </c>
      <c r="E122" s="3">
        <f t="shared" si="17"/>
        <v>8.4189911411952281</v>
      </c>
      <c r="F122" s="12">
        <v>10.8963929340722</v>
      </c>
      <c r="G122" s="12">
        <v>29.227267706242969</v>
      </c>
      <c r="H122" s="12">
        <v>5.3698077847256789</v>
      </c>
      <c r="I122" s="12">
        <v>10.67992291296008</v>
      </c>
      <c r="J122" s="12">
        <v>35.413263190983123</v>
      </c>
      <c r="K122" s="12">
        <v>16.197606695256329</v>
      </c>
      <c r="L122" s="12">
        <v>59.224729358508469</v>
      </c>
      <c r="M122" s="12">
        <v>56.475516262891233</v>
      </c>
      <c r="N122" s="12">
        <v>46.747068660732943</v>
      </c>
      <c r="O122" s="12">
        <v>81.335489844664295</v>
      </c>
      <c r="P122" s="8">
        <v>1.1223554999999998</v>
      </c>
      <c r="S122" s="21"/>
      <c r="W122" s="14"/>
    </row>
    <row r="123" spans="1:23" ht="14.4" customHeight="1">
      <c r="A123" s="10" t="s">
        <v>14</v>
      </c>
      <c r="B123" s="11">
        <v>2012</v>
      </c>
      <c r="C123" s="14" t="s">
        <v>55</v>
      </c>
      <c r="D123" s="14" t="s">
        <v>54</v>
      </c>
      <c r="E123" s="3">
        <f t="shared" ref="E123:E133" si="36">(F123+G123)/((F123/H123)+(G123/I123))</f>
        <v>17.887729937894481</v>
      </c>
      <c r="F123" s="12">
        <v>13.96483866568868</v>
      </c>
      <c r="G123" s="12">
        <v>37.447925777933897</v>
      </c>
      <c r="H123" s="12">
        <v>11.83516601143744</v>
      </c>
      <c r="I123" s="12">
        <v>22.102988078345732</v>
      </c>
      <c r="J123" s="12">
        <v>43.561804077547741</v>
      </c>
      <c r="K123" s="12">
        <v>26.86520295699319</v>
      </c>
      <c r="L123" s="12">
        <v>32.344478104635613</v>
      </c>
      <c r="M123" s="12">
        <v>38.073285817141453</v>
      </c>
      <c r="N123" s="12">
        <v>33.051278639820502</v>
      </c>
      <c r="O123" s="12">
        <v>53.328645398339717</v>
      </c>
      <c r="P123" s="8">
        <v>0.92994739999999998</v>
      </c>
      <c r="S123" s="21"/>
      <c r="W123" s="14"/>
    </row>
    <row r="124" spans="1:23" ht="14.4" customHeight="1">
      <c r="A124" s="10" t="s">
        <v>14</v>
      </c>
      <c r="B124" s="11">
        <v>2013</v>
      </c>
      <c r="C124" s="14" t="s">
        <v>55</v>
      </c>
      <c r="D124" s="14" t="s">
        <v>54</v>
      </c>
      <c r="E124" s="3">
        <f t="shared" si="36"/>
        <v>19.703073610799215</v>
      </c>
      <c r="F124" s="12">
        <v>19.395575627701401</v>
      </c>
      <c r="G124" s="12">
        <v>36.871208043714731</v>
      </c>
      <c r="H124" s="12">
        <v>17.578886191925061</v>
      </c>
      <c r="I124" s="12">
        <v>21.04050970769292</v>
      </c>
      <c r="J124" s="12">
        <v>47.847753147030033</v>
      </c>
      <c r="K124" s="12">
        <v>26.745100240583241</v>
      </c>
      <c r="L124" s="12">
        <v>30.97947532756168</v>
      </c>
      <c r="M124" s="12">
        <v>42.548763560560808</v>
      </c>
      <c r="N124" s="12">
        <v>34.8021188136563</v>
      </c>
      <c r="O124" s="12">
        <v>59.477324692199097</v>
      </c>
      <c r="P124" s="8">
        <v>0.94974729999999996</v>
      </c>
      <c r="S124" s="21"/>
      <c r="W124" s="14"/>
    </row>
    <row r="125" spans="1:23" ht="14.4" customHeight="1">
      <c r="A125" s="23" t="s">
        <v>14</v>
      </c>
      <c r="B125" s="24">
        <v>2014</v>
      </c>
      <c r="C125" s="25" t="s">
        <v>55</v>
      </c>
      <c r="D125" s="25" t="s">
        <v>54</v>
      </c>
      <c r="E125" s="26">
        <f t="shared" si="36"/>
        <v>19.828474612357649</v>
      </c>
      <c r="F125" s="27">
        <f>AVERAGE(F124,F126)</f>
        <v>17.394043206764142</v>
      </c>
      <c r="G125" s="27">
        <f t="shared" ref="G125" si="37">AVERAGE(G124,G126)</f>
        <v>37.068849317982817</v>
      </c>
      <c r="H125" s="27">
        <f t="shared" ref="H125" si="38">AVERAGE(H124,H126)</f>
        <v>16.772425217735695</v>
      </c>
      <c r="I125" s="27">
        <f t="shared" ref="I125" si="39">AVERAGE(I124,I126)</f>
        <v>21.682264845627728</v>
      </c>
      <c r="J125" s="27">
        <f t="shared" ref="J125" si="40">AVERAGE(J124,J126)</f>
        <v>48.463830884866155</v>
      </c>
      <c r="K125" s="27">
        <f t="shared" ref="K125" si="41">AVERAGE(K124,K126)</f>
        <v>25.127785336884845</v>
      </c>
      <c r="L125" s="27">
        <f t="shared" ref="L125" si="42">AVERAGE(L124,L126)</f>
        <v>31.866616989674089</v>
      </c>
      <c r="M125" s="27">
        <f t="shared" ref="M125" si="43">AVERAGE(M124,M126)</f>
        <v>42.656822955889979</v>
      </c>
      <c r="N125" s="27">
        <f t="shared" ref="N125" si="44">AVERAGE(N124,N126)</f>
        <v>34.768273062469504</v>
      </c>
      <c r="O125" s="27">
        <f t="shared" ref="O125" si="45">AVERAGE(O124,O126)</f>
        <v>58.829266684122459</v>
      </c>
      <c r="P125" s="28">
        <v>1.0179487999999999</v>
      </c>
      <c r="S125" s="21"/>
      <c r="W125" s="14"/>
    </row>
    <row r="126" spans="1:23" ht="14.4" customHeight="1">
      <c r="A126" s="10" t="s">
        <v>14</v>
      </c>
      <c r="B126" s="11">
        <v>2015</v>
      </c>
      <c r="C126" s="14" t="s">
        <v>55</v>
      </c>
      <c r="D126" s="14" t="s">
        <v>54</v>
      </c>
      <c r="E126" s="3">
        <f t="shared" si="36"/>
        <v>19.996372324501156</v>
      </c>
      <c r="F126" s="12">
        <v>15.392510785826881</v>
      </c>
      <c r="G126" s="12">
        <v>37.266490592250904</v>
      </c>
      <c r="H126" s="12">
        <v>15.965964243546329</v>
      </c>
      <c r="I126" s="12">
        <v>22.32401998356254</v>
      </c>
      <c r="J126" s="12">
        <v>49.07990862270227</v>
      </c>
      <c r="K126" s="12">
        <v>23.510470433186448</v>
      </c>
      <c r="L126" s="12">
        <v>32.753758651786498</v>
      </c>
      <c r="M126" s="12">
        <v>42.76488235121915</v>
      </c>
      <c r="N126" s="12">
        <v>34.734427311282708</v>
      </c>
      <c r="O126" s="12">
        <v>58.181208676045827</v>
      </c>
      <c r="P126" s="8">
        <v>1.0059046999999999</v>
      </c>
      <c r="S126" s="21"/>
      <c r="W126" s="14"/>
    </row>
    <row r="127" spans="1:23" ht="14.4" customHeight="1">
      <c r="A127" s="10" t="s">
        <v>14</v>
      </c>
      <c r="B127" s="11">
        <v>2016</v>
      </c>
      <c r="C127" s="14" t="s">
        <v>55</v>
      </c>
      <c r="D127" s="14" t="s">
        <v>54</v>
      </c>
      <c r="E127" s="3">
        <f t="shared" si="36"/>
        <v>20.535928831299099</v>
      </c>
      <c r="F127" s="12">
        <v>20.67153536838083</v>
      </c>
      <c r="G127" s="12">
        <v>31.22604538779823</v>
      </c>
      <c r="H127" s="12">
        <v>24.77332792035536</v>
      </c>
      <c r="I127" s="12">
        <v>18.447117219178271</v>
      </c>
      <c r="J127" s="12">
        <v>49.893976151909158</v>
      </c>
      <c r="K127" s="12">
        <v>22.26794309513722</v>
      </c>
      <c r="L127" s="12">
        <v>35.608448592836083</v>
      </c>
      <c r="M127" s="12">
        <v>42.655455780247252</v>
      </c>
      <c r="N127" s="12">
        <v>31.8985648706898</v>
      </c>
      <c r="O127" s="12">
        <v>57.843014688104738</v>
      </c>
      <c r="P127" s="8">
        <v>0.98584109999999991</v>
      </c>
      <c r="S127" s="21"/>
      <c r="W127" s="14"/>
    </row>
    <row r="128" spans="1:23" ht="14.4" customHeight="1">
      <c r="A128" s="10" t="s">
        <v>14</v>
      </c>
      <c r="B128" s="11">
        <v>2017</v>
      </c>
      <c r="C128" s="14" t="s">
        <v>55</v>
      </c>
      <c r="D128" s="14" t="s">
        <v>54</v>
      </c>
      <c r="E128" s="3">
        <f t="shared" si="36"/>
        <v>19.666495588518103</v>
      </c>
      <c r="F128" s="12">
        <v>15.313445551155411</v>
      </c>
      <c r="G128" s="12">
        <v>33.455855658984618</v>
      </c>
      <c r="H128" s="12">
        <v>19.733576660997809</v>
      </c>
      <c r="I128" s="12">
        <v>19.635943089986931</v>
      </c>
      <c r="J128" s="12">
        <v>49.028480526922678</v>
      </c>
      <c r="K128" s="12">
        <v>21.835369576609271</v>
      </c>
      <c r="L128" s="12">
        <v>34.046782045588976</v>
      </c>
      <c r="M128" s="12">
        <v>46.125311285450593</v>
      </c>
      <c r="N128" s="12">
        <v>36.277810648085818</v>
      </c>
      <c r="O128" s="12">
        <v>58.536428731429957</v>
      </c>
      <c r="P128" s="8">
        <v>0.9965004999999999</v>
      </c>
      <c r="S128" s="21"/>
      <c r="W128" s="14"/>
    </row>
    <row r="129" spans="1:23" ht="14.4" customHeight="1">
      <c r="A129" s="23" t="s">
        <v>14</v>
      </c>
      <c r="B129" s="24">
        <v>2018</v>
      </c>
      <c r="C129" s="25" t="s">
        <v>55</v>
      </c>
      <c r="D129" s="25" t="s">
        <v>54</v>
      </c>
      <c r="E129" s="26">
        <f t="shared" si="36"/>
        <v>20.534834368587067</v>
      </c>
      <c r="F129" s="27">
        <f>AVERAGE(F128,F130)</f>
        <v>13.83826290987513</v>
      </c>
      <c r="G129" s="27">
        <f t="shared" ref="G129" si="46">AVERAGE(G128,G130)</f>
        <v>33.798764994980701</v>
      </c>
      <c r="H129" s="27">
        <f t="shared" ref="H129" si="47">AVERAGE(H128,H130)</f>
        <v>19.319273997648722</v>
      </c>
      <c r="I129" s="27">
        <f t="shared" ref="I129" si="48">AVERAGE(I128,I130)</f>
        <v>21.077824916492531</v>
      </c>
      <c r="J129" s="27">
        <f t="shared" ref="J129" si="49">AVERAGE(J128,J130)</f>
        <v>53.000309629457107</v>
      </c>
      <c r="K129" s="27">
        <f t="shared" ref="K129" si="50">AVERAGE(K128,K130)</f>
        <v>24.898245177219351</v>
      </c>
      <c r="L129" s="27">
        <f t="shared" ref="L129" si="51">AVERAGE(L128,L130)</f>
        <v>40.532449370262995</v>
      </c>
      <c r="M129" s="27">
        <f t="shared" ref="M129" si="52">AVERAGE(M128,M130)</f>
        <v>46.058394967257343</v>
      </c>
      <c r="N129" s="27">
        <f t="shared" ref="N129" si="53">AVERAGE(N128,N130)</f>
        <v>35.915153528637745</v>
      </c>
      <c r="O129" s="27">
        <f t="shared" ref="O129" si="54">AVERAGE(O128,O130)</f>
        <v>59.407822144535977</v>
      </c>
      <c r="P129" s="28">
        <v>1.0176262999999999</v>
      </c>
      <c r="S129" s="21"/>
      <c r="W129" s="14"/>
    </row>
    <row r="130" spans="1:23" ht="14.4" customHeight="1">
      <c r="A130" s="10" t="s">
        <v>14</v>
      </c>
      <c r="B130" s="11">
        <v>2019</v>
      </c>
      <c r="C130" s="14" t="s">
        <v>55</v>
      </c>
      <c r="D130" s="14" t="s">
        <v>54</v>
      </c>
      <c r="E130" s="3">
        <f t="shared" si="36"/>
        <v>21.430376351917459</v>
      </c>
      <c r="F130" s="12">
        <v>12.36308026859485</v>
      </c>
      <c r="G130" s="12">
        <v>34.141674330976777</v>
      </c>
      <c r="H130" s="12">
        <v>18.904971334299631</v>
      </c>
      <c r="I130" s="12">
        <v>22.519706742998132</v>
      </c>
      <c r="J130" s="12">
        <v>56.972138731991528</v>
      </c>
      <c r="K130" s="12">
        <v>27.961120777829429</v>
      </c>
      <c r="L130" s="12">
        <v>47.018116694937007</v>
      </c>
      <c r="M130" s="12">
        <v>45.991478649064092</v>
      </c>
      <c r="N130" s="12">
        <v>35.552496409189679</v>
      </c>
      <c r="O130" s="12">
        <v>60.279215557641997</v>
      </c>
      <c r="P130" s="8">
        <v>1.0030074</v>
      </c>
      <c r="S130" s="21"/>
      <c r="W130" s="14"/>
    </row>
    <row r="131" spans="1:23" ht="14.4" customHeight="1">
      <c r="A131" s="10" t="s">
        <v>14</v>
      </c>
      <c r="B131" s="11">
        <v>2020</v>
      </c>
      <c r="C131" s="14" t="s">
        <v>55</v>
      </c>
      <c r="D131" s="14" t="s">
        <v>54</v>
      </c>
      <c r="E131" s="3">
        <f t="shared" si="36"/>
        <v>27.544197073673242</v>
      </c>
      <c r="F131" s="12">
        <v>16.18877422227261</v>
      </c>
      <c r="G131" s="12">
        <v>41.454689411059327</v>
      </c>
      <c r="H131" s="12">
        <v>25.575828067096271</v>
      </c>
      <c r="I131" s="12">
        <v>28.397690410929432</v>
      </c>
      <c r="J131" s="12">
        <v>55.310069857990143</v>
      </c>
      <c r="K131" s="12">
        <v>22.634656655443969</v>
      </c>
      <c r="L131" s="12">
        <v>36.793792143348469</v>
      </c>
      <c r="M131" s="12">
        <v>40.791199366445738</v>
      </c>
      <c r="N131" s="12">
        <v>37.071305492134456</v>
      </c>
      <c r="O131" s="12">
        <v>61.84048955727679</v>
      </c>
      <c r="P131" s="8">
        <v>0.98062159999999998</v>
      </c>
      <c r="S131" s="21"/>
      <c r="W131" s="14"/>
    </row>
    <row r="132" spans="1:23" ht="14.4" customHeight="1">
      <c r="A132" s="10" t="s">
        <v>14</v>
      </c>
      <c r="B132" s="11">
        <v>2021</v>
      </c>
      <c r="C132" s="14" t="s">
        <v>55</v>
      </c>
      <c r="D132" s="14" t="s">
        <v>54</v>
      </c>
      <c r="E132" s="3">
        <f t="shared" si="36"/>
        <v>21.971453274039451</v>
      </c>
      <c r="F132" s="12">
        <v>16.785296232479361</v>
      </c>
      <c r="G132" s="12">
        <v>29.393587252784531</v>
      </c>
      <c r="H132" s="12">
        <v>25.655914649330249</v>
      </c>
      <c r="I132" s="12">
        <v>20.30615999796975</v>
      </c>
      <c r="J132" s="12">
        <v>53.328147217155852</v>
      </c>
      <c r="K132" s="12">
        <v>24.57314746843609</v>
      </c>
      <c r="L132" s="12">
        <v>41.137218130572599</v>
      </c>
      <c r="M132" s="12">
        <v>39.10399764586321</v>
      </c>
      <c r="N132" s="12">
        <v>39.639880583509573</v>
      </c>
      <c r="O132" s="12">
        <v>59.651956225549149</v>
      </c>
      <c r="P132" s="8">
        <v>1.1028017999999999</v>
      </c>
      <c r="S132" s="21"/>
      <c r="W132" s="14"/>
    </row>
    <row r="133" spans="1:23" ht="14.4" customHeight="1">
      <c r="A133" s="10" t="s">
        <v>14</v>
      </c>
      <c r="B133" s="11">
        <v>2022</v>
      </c>
      <c r="C133" s="14" t="s">
        <v>55</v>
      </c>
      <c r="D133" s="14" t="s">
        <v>54</v>
      </c>
      <c r="E133" s="3">
        <f t="shared" si="36"/>
        <v>21.121006591881997</v>
      </c>
      <c r="F133" s="12">
        <v>11.34796028787472</v>
      </c>
      <c r="G133" s="12">
        <v>34.555267814070341</v>
      </c>
      <c r="H133" s="12">
        <v>16.281163808198819</v>
      </c>
      <c r="I133" s="12">
        <v>23.405951033744181</v>
      </c>
      <c r="J133" s="12">
        <v>53.878360742931889</v>
      </c>
      <c r="K133" s="12">
        <v>23.481932056393841</v>
      </c>
      <c r="L133" s="12">
        <v>38.022169003704548</v>
      </c>
      <c r="M133" s="12">
        <v>36.87684395317229</v>
      </c>
      <c r="N133" s="12">
        <v>34.564264666445617</v>
      </c>
      <c r="O133" s="12">
        <v>58.063759422071897</v>
      </c>
      <c r="P133" s="8">
        <v>0.95906209999999992</v>
      </c>
      <c r="S133" s="21"/>
      <c r="W133" s="14"/>
    </row>
    <row r="134" spans="1:23" ht="14.4" customHeight="1">
      <c r="A134" s="23" t="s">
        <v>15</v>
      </c>
      <c r="B134" s="24">
        <v>2012</v>
      </c>
      <c r="C134" s="25" t="s">
        <v>55</v>
      </c>
      <c r="D134" s="25" t="s">
        <v>54</v>
      </c>
      <c r="E134" s="26">
        <f t="shared" ref="E134:E144" si="55">(F134+G134)/((F134/H134)+(G134/I134))</f>
        <v>15.014612447319328</v>
      </c>
      <c r="F134" s="27">
        <f>AVERAGE(F133,F135)</f>
        <v>10.657415609015807</v>
      </c>
      <c r="G134" s="27">
        <f t="shared" ref="G134" si="56">AVERAGE(G133,G135)</f>
        <v>30.454043872656293</v>
      </c>
      <c r="H134" s="27">
        <f t="shared" ref="H134" si="57">AVERAGE(H133,H135)</f>
        <v>11.463505170070606</v>
      </c>
      <c r="I134" s="27">
        <f t="shared" ref="I134" si="58">AVERAGE(I133,I135)</f>
        <v>16.840189974410155</v>
      </c>
      <c r="J134" s="27">
        <f t="shared" ref="J134" si="59">AVERAGE(J133,J135)</f>
        <v>48.577054681906986</v>
      </c>
      <c r="K134" s="27">
        <f t="shared" ref="K134" si="60">AVERAGE(K133,K135)</f>
        <v>21.358546701461506</v>
      </c>
      <c r="L134" s="27">
        <f t="shared" ref="L134" si="61">AVERAGE(L133,L135)</f>
        <v>36.926538020394517</v>
      </c>
      <c r="M134" s="27">
        <f t="shared" ref="M134" si="62">AVERAGE(M133,M135)</f>
        <v>43.228298224777532</v>
      </c>
      <c r="N134" s="27">
        <f t="shared" ref="N134" si="63">AVERAGE(N133,N135)</f>
        <v>40.067164601021609</v>
      </c>
      <c r="O134" s="27">
        <f t="shared" ref="O134" si="64">AVERAGE(O133,O135)</f>
        <v>64.330212992922199</v>
      </c>
      <c r="P134" s="28">
        <v>1.7520667999999999</v>
      </c>
      <c r="S134" s="21"/>
      <c r="W134" s="14"/>
    </row>
    <row r="135" spans="1:23" ht="14.4" customHeight="1">
      <c r="A135" s="10" t="s">
        <v>15</v>
      </c>
      <c r="B135" s="11">
        <v>2013</v>
      </c>
      <c r="C135" s="14" t="s">
        <v>55</v>
      </c>
      <c r="D135" s="14" t="s">
        <v>54</v>
      </c>
      <c r="E135" s="3">
        <f t="shared" si="55"/>
        <v>8.9355946203590975</v>
      </c>
      <c r="F135" s="12">
        <v>9.9668709301568938</v>
      </c>
      <c r="G135" s="12">
        <v>26.352819931242241</v>
      </c>
      <c r="H135" s="12">
        <v>6.6458465319423938</v>
      </c>
      <c r="I135" s="12">
        <v>10.274428915076131</v>
      </c>
      <c r="J135" s="12">
        <v>43.275748620882091</v>
      </c>
      <c r="K135" s="12">
        <v>19.235161346529171</v>
      </c>
      <c r="L135" s="12">
        <v>35.830907037084494</v>
      </c>
      <c r="M135" s="12">
        <v>49.579752496382781</v>
      </c>
      <c r="N135" s="12">
        <v>45.570064535597602</v>
      </c>
      <c r="O135" s="12">
        <v>70.596666563772501</v>
      </c>
      <c r="P135" s="8">
        <v>1.7748858999999999</v>
      </c>
      <c r="S135" s="21"/>
      <c r="W135" s="14"/>
    </row>
    <row r="136" spans="1:23" ht="14.4" customHeight="1">
      <c r="A136" s="10" t="s">
        <v>15</v>
      </c>
      <c r="B136" s="11">
        <v>2014</v>
      </c>
      <c r="C136" s="14" t="s">
        <v>55</v>
      </c>
      <c r="D136" s="14" t="s">
        <v>54</v>
      </c>
      <c r="E136" s="3">
        <f t="shared" si="55"/>
        <v>8.9338523061626542</v>
      </c>
      <c r="F136" s="12">
        <v>12.975732326484341</v>
      </c>
      <c r="G136" s="12">
        <v>31.43411297137483</v>
      </c>
      <c r="H136" s="12">
        <v>7.0728066896103918</v>
      </c>
      <c r="I136" s="12">
        <v>10.022456711629751</v>
      </c>
      <c r="J136" s="12">
        <v>37.561719916618387</v>
      </c>
      <c r="K136" s="12">
        <v>16.435215737028791</v>
      </c>
      <c r="L136" s="12">
        <v>34.624639995507188</v>
      </c>
      <c r="M136" s="12">
        <v>50.699962812586243</v>
      </c>
      <c r="N136" s="12">
        <v>42.535530171880197</v>
      </c>
      <c r="O136" s="12">
        <v>68.179477097897646</v>
      </c>
      <c r="P136" s="8">
        <v>1.5852946999999999</v>
      </c>
      <c r="S136" s="21"/>
      <c r="W136" s="14"/>
    </row>
    <row r="137" spans="1:23" ht="14.4" customHeight="1">
      <c r="A137" s="10" t="s">
        <v>15</v>
      </c>
      <c r="B137" s="11">
        <v>2015</v>
      </c>
      <c r="C137" s="14" t="s">
        <v>55</v>
      </c>
      <c r="D137" s="14" t="s">
        <v>54</v>
      </c>
      <c r="E137" s="3">
        <f t="shared" si="55"/>
        <v>10.957780950020741</v>
      </c>
      <c r="F137" s="12">
        <v>11.46317056198794</v>
      </c>
      <c r="G137" s="12">
        <v>26.769957270682148</v>
      </c>
      <c r="H137" s="12">
        <v>9.0110215078588638</v>
      </c>
      <c r="I137" s="12">
        <v>12.074841681503591</v>
      </c>
      <c r="J137" s="12">
        <v>43.961673747717519</v>
      </c>
      <c r="K137" s="12">
        <v>19.058676040071202</v>
      </c>
      <c r="L137" s="12">
        <v>36.435159078961959</v>
      </c>
      <c r="M137" s="12">
        <v>47.588555881264341</v>
      </c>
      <c r="N137" s="12">
        <v>48.17685092080918</v>
      </c>
      <c r="O137" s="12">
        <v>68.80949306373742</v>
      </c>
      <c r="P137" s="8">
        <v>1.6718385</v>
      </c>
      <c r="S137" s="21"/>
      <c r="W137" s="14"/>
    </row>
    <row r="138" spans="1:23" ht="14.4" customHeight="1">
      <c r="A138" s="10" t="s">
        <v>15</v>
      </c>
      <c r="B138" s="11">
        <v>2016</v>
      </c>
      <c r="C138" s="14" t="s">
        <v>55</v>
      </c>
      <c r="D138" s="14" t="s">
        <v>54</v>
      </c>
      <c r="E138" s="3">
        <f t="shared" si="55"/>
        <v>10.403315994527224</v>
      </c>
      <c r="F138" s="12">
        <v>7.3750765424745266</v>
      </c>
      <c r="G138" s="12">
        <v>32.935767295226171</v>
      </c>
      <c r="H138" s="12">
        <v>5.2616564287328567</v>
      </c>
      <c r="I138" s="12">
        <v>13.317373848521539</v>
      </c>
      <c r="J138" s="12">
        <v>40.828409756748187</v>
      </c>
      <c r="K138" s="12">
        <v>18.30966127362878</v>
      </c>
      <c r="L138" s="12">
        <v>37.199816482264808</v>
      </c>
      <c r="M138" s="12">
        <v>51.403160217152298</v>
      </c>
      <c r="N138" s="12">
        <v>49.791171029070902</v>
      </c>
      <c r="O138" s="12">
        <v>69.577604780710416</v>
      </c>
      <c r="P138" s="8">
        <v>1.7201423999999998</v>
      </c>
      <c r="S138" s="21"/>
      <c r="W138" s="14"/>
    </row>
    <row r="139" spans="1:23" ht="14.4" customHeight="1">
      <c r="A139" s="10" t="s">
        <v>15</v>
      </c>
      <c r="B139" s="11">
        <v>2017</v>
      </c>
      <c r="C139" s="14" t="s">
        <v>55</v>
      </c>
      <c r="D139" s="14" t="s">
        <v>54</v>
      </c>
      <c r="E139" s="3">
        <f t="shared" si="55"/>
        <v>11.266490437796985</v>
      </c>
      <c r="F139" s="12">
        <v>16.646554309096409</v>
      </c>
      <c r="G139" s="12">
        <v>27.666350084961621</v>
      </c>
      <c r="H139" s="12">
        <v>11.70008051760497</v>
      </c>
      <c r="I139" s="12">
        <v>11.02075138715391</v>
      </c>
      <c r="J139" s="12">
        <v>40.86262978538219</v>
      </c>
      <c r="K139" s="12">
        <v>16.511066343720969</v>
      </c>
      <c r="L139" s="12">
        <v>35.420234778932318</v>
      </c>
      <c r="M139" s="12">
        <v>50.5849347736997</v>
      </c>
      <c r="N139" s="12">
        <v>54.767557820592693</v>
      </c>
      <c r="O139" s="12">
        <v>69.953277796706516</v>
      </c>
      <c r="P139" s="8">
        <v>1.6392800999999999</v>
      </c>
      <c r="S139" s="21"/>
      <c r="W139" s="14"/>
    </row>
    <row r="140" spans="1:23" ht="14.4" customHeight="1">
      <c r="A140" s="10" t="s">
        <v>15</v>
      </c>
      <c r="B140" s="11">
        <v>2018</v>
      </c>
      <c r="C140" s="14" t="s">
        <v>55</v>
      </c>
      <c r="D140" s="14" t="s">
        <v>54</v>
      </c>
      <c r="E140" s="3">
        <f t="shared" si="55"/>
        <v>10.81959649599796</v>
      </c>
      <c r="F140" s="12">
        <v>5.7159228077975941</v>
      </c>
      <c r="G140" s="12">
        <v>30.273720385975459</v>
      </c>
      <c r="H140" s="12">
        <v>4.7684733324405073</v>
      </c>
      <c r="I140" s="12">
        <v>14.228723018379149</v>
      </c>
      <c r="J140" s="12">
        <v>43.908271102983612</v>
      </c>
      <c r="K140" s="12">
        <v>20.30784285690941</v>
      </c>
      <c r="L140" s="12">
        <v>35.293922200730051</v>
      </c>
      <c r="M140" s="12">
        <v>50.735548661109242</v>
      </c>
      <c r="N140" s="12">
        <v>55.001288078771871</v>
      </c>
      <c r="O140" s="12">
        <v>74.224416899840321</v>
      </c>
      <c r="P140" s="8">
        <v>1.7344218999999998</v>
      </c>
      <c r="S140" s="21"/>
      <c r="W140" s="14"/>
    </row>
    <row r="141" spans="1:23" ht="14.4" customHeight="1">
      <c r="A141" s="10" t="s">
        <v>15</v>
      </c>
      <c r="B141" s="11">
        <v>2019</v>
      </c>
      <c r="C141" s="14" t="s">
        <v>55</v>
      </c>
      <c r="D141" s="14" t="s">
        <v>54</v>
      </c>
      <c r="E141" s="3">
        <f t="shared" si="55"/>
        <v>11.371544122504764</v>
      </c>
      <c r="F141" s="12">
        <v>9.6854415612809088</v>
      </c>
      <c r="G141" s="12">
        <v>30.244398695611199</v>
      </c>
      <c r="H141" s="12">
        <v>7.7465034708155436</v>
      </c>
      <c r="I141" s="12">
        <v>13.37606184347961</v>
      </c>
      <c r="J141" s="12">
        <v>48.494627748955629</v>
      </c>
      <c r="K141" s="12">
        <v>18.395996866356761</v>
      </c>
      <c r="L141" s="12">
        <v>46.393189205111263</v>
      </c>
      <c r="M141" s="12">
        <v>48.357034683174007</v>
      </c>
      <c r="N141" s="12">
        <v>58.010202234322698</v>
      </c>
      <c r="O141" s="12">
        <v>81.348934495935538</v>
      </c>
      <c r="P141" s="8">
        <v>1.7336486</v>
      </c>
      <c r="S141" s="21"/>
      <c r="W141" s="14"/>
    </row>
    <row r="142" spans="1:23" ht="14.4" customHeight="1">
      <c r="A142" s="10" t="s">
        <v>15</v>
      </c>
      <c r="B142" s="11">
        <v>2020</v>
      </c>
      <c r="C142" s="14" t="s">
        <v>55</v>
      </c>
      <c r="D142" s="14" t="s">
        <v>54</v>
      </c>
      <c r="E142" s="3">
        <f t="shared" si="55"/>
        <v>9.2860613333190525</v>
      </c>
      <c r="F142" s="12">
        <v>13.133708831067329</v>
      </c>
      <c r="G142" s="12">
        <v>28.7909261596646</v>
      </c>
      <c r="H142" s="12">
        <v>8.2935022694083713</v>
      </c>
      <c r="I142" s="12">
        <v>9.8223068019395061</v>
      </c>
      <c r="J142" s="12">
        <v>45.734238649852479</v>
      </c>
      <c r="K142" s="12">
        <v>14.51602045769854</v>
      </c>
      <c r="L142" s="12">
        <v>45.865716739990788</v>
      </c>
      <c r="M142" s="12">
        <v>48.684300903065491</v>
      </c>
      <c r="N142" s="12">
        <v>41.91737442385898</v>
      </c>
      <c r="O142" s="12" t="s">
        <v>35</v>
      </c>
      <c r="P142" s="8">
        <v>1.8008158999999999</v>
      </c>
      <c r="S142" s="21"/>
      <c r="W142" s="14"/>
    </row>
    <row r="143" spans="1:23" ht="14.4" customHeight="1">
      <c r="A143" s="10" t="s">
        <v>15</v>
      </c>
      <c r="B143" s="11">
        <v>2021</v>
      </c>
      <c r="C143" s="14" t="s">
        <v>55</v>
      </c>
      <c r="D143" s="14" t="s">
        <v>54</v>
      </c>
      <c r="E143" s="3">
        <f t="shared" si="55"/>
        <v>9.6602515283793835</v>
      </c>
      <c r="F143" s="12">
        <v>18.025749840920039</v>
      </c>
      <c r="G143" s="12">
        <v>29.709673199786959</v>
      </c>
      <c r="H143" s="12">
        <v>10.54369723404619</v>
      </c>
      <c r="I143" s="12">
        <v>9.1929089387709624</v>
      </c>
      <c r="J143" s="12">
        <v>52.910920914404201</v>
      </c>
      <c r="K143" s="12">
        <v>17.702404497509619</v>
      </c>
      <c r="L143" s="12">
        <v>42.989985599908671</v>
      </c>
      <c r="M143" s="12">
        <v>48.606548268239159</v>
      </c>
      <c r="N143" s="12">
        <v>54.070459669567597</v>
      </c>
      <c r="O143" s="12" t="s">
        <v>35</v>
      </c>
      <c r="P143" s="8">
        <v>1.8555010999999999</v>
      </c>
      <c r="S143" s="21"/>
      <c r="W143" s="14"/>
    </row>
    <row r="144" spans="1:23" ht="14.4" customHeight="1">
      <c r="A144" s="10" t="s">
        <v>15</v>
      </c>
      <c r="B144" s="11">
        <v>2022</v>
      </c>
      <c r="C144" s="14" t="s">
        <v>55</v>
      </c>
      <c r="D144" s="14" t="s">
        <v>54</v>
      </c>
      <c r="E144" s="3">
        <f t="shared" si="55"/>
        <v>6.2465042820753052</v>
      </c>
      <c r="F144" s="12">
        <v>10.313906905767659</v>
      </c>
      <c r="G144" s="12">
        <v>20.669934985921479</v>
      </c>
      <c r="H144" s="12">
        <v>6.6878679210176371</v>
      </c>
      <c r="I144" s="12">
        <v>6.0473640209655102</v>
      </c>
      <c r="J144" s="12">
        <v>50.04214894792355</v>
      </c>
      <c r="K144" s="12">
        <v>18.36384524445327</v>
      </c>
      <c r="L144" s="12">
        <v>41.257036839925718</v>
      </c>
      <c r="M144" s="12">
        <v>46.246432280558388</v>
      </c>
      <c r="N144" s="12">
        <v>52.383403528239761</v>
      </c>
      <c r="O144" s="12" t="s">
        <v>35</v>
      </c>
      <c r="P144" s="8">
        <v>1.8671502999999998</v>
      </c>
      <c r="S144" s="21"/>
      <c r="W144" s="14"/>
    </row>
    <row r="145" spans="1:23" ht="14.4" customHeight="1">
      <c r="A145" s="10" t="s">
        <v>17</v>
      </c>
      <c r="B145" s="11">
        <v>2012</v>
      </c>
      <c r="C145" s="14" t="s">
        <v>55</v>
      </c>
      <c r="D145" s="14" t="s">
        <v>54</v>
      </c>
      <c r="E145" s="3">
        <f t="shared" ref="E145:E155" si="65">(F145+G145)/((F145/H145)+(G145/I145))</f>
        <v>9.9487587082439575</v>
      </c>
      <c r="F145" s="12">
        <v>9.7081336727766274</v>
      </c>
      <c r="G145" s="12">
        <v>21.679817995629069</v>
      </c>
      <c r="H145" s="12">
        <v>7.3850410199313403</v>
      </c>
      <c r="I145" s="12">
        <v>11.77998562846726</v>
      </c>
      <c r="J145" s="12">
        <v>42.299445618839883</v>
      </c>
      <c r="K145" s="12">
        <v>10.09177339336461</v>
      </c>
      <c r="L145" s="12">
        <v>34.986167658682277</v>
      </c>
      <c r="M145" s="12">
        <v>39.148930833501367</v>
      </c>
      <c r="N145" s="12">
        <v>34.395402296270852</v>
      </c>
      <c r="O145" s="12">
        <v>65.151246749222651</v>
      </c>
      <c r="P145" s="8">
        <v>1.7611186999999999</v>
      </c>
      <c r="S145" s="21"/>
      <c r="W145" s="14"/>
    </row>
    <row r="146" spans="1:23" ht="14.4" customHeight="1">
      <c r="A146" s="10" t="s">
        <v>17</v>
      </c>
      <c r="B146" s="11">
        <v>2013</v>
      </c>
      <c r="C146" s="14" t="s">
        <v>55</v>
      </c>
      <c r="D146" s="14" t="s">
        <v>54</v>
      </c>
      <c r="E146" s="3">
        <f t="shared" si="65"/>
        <v>10.798925223656438</v>
      </c>
      <c r="F146" s="12">
        <v>11.043897546871429</v>
      </c>
      <c r="G146" s="12">
        <v>26.901278505723131</v>
      </c>
      <c r="H146" s="12">
        <v>7.5749333647505663</v>
      </c>
      <c r="I146" s="12">
        <v>13.085305305824891</v>
      </c>
      <c r="J146" s="12">
        <v>42.381921895978557</v>
      </c>
      <c r="K146" s="12">
        <v>10.28306249362544</v>
      </c>
      <c r="L146" s="12">
        <v>34.642603853366523</v>
      </c>
      <c r="M146" s="12">
        <v>41.28433097005918</v>
      </c>
      <c r="N146" s="12">
        <v>32.661606717455463</v>
      </c>
      <c r="O146" s="12">
        <v>66.19949546877038</v>
      </c>
      <c r="P146" s="8">
        <v>1.7597959999999999</v>
      </c>
      <c r="S146" s="21"/>
      <c r="W146" s="14"/>
    </row>
    <row r="147" spans="1:23" ht="14.4" customHeight="1">
      <c r="A147" s="10" t="s">
        <v>17</v>
      </c>
      <c r="B147" s="11">
        <v>2014</v>
      </c>
      <c r="C147" s="14" t="s">
        <v>55</v>
      </c>
      <c r="D147" s="14" t="s">
        <v>54</v>
      </c>
      <c r="E147" s="3">
        <f t="shared" si="65"/>
        <v>11.738801405674758</v>
      </c>
      <c r="F147" s="12">
        <v>18.594174222743739</v>
      </c>
      <c r="G147" s="12">
        <v>21.881016929210631</v>
      </c>
      <c r="H147" s="12">
        <v>12.997033211472351</v>
      </c>
      <c r="I147" s="12">
        <v>10.84649265756806</v>
      </c>
      <c r="J147" s="12">
        <v>44.258651765497412</v>
      </c>
      <c r="K147" s="12">
        <v>10.812436492172189</v>
      </c>
      <c r="L147" s="12">
        <v>33.497231180244952</v>
      </c>
      <c r="M147" s="12">
        <v>38.719217004107193</v>
      </c>
      <c r="N147" s="12">
        <v>45.551500632233477</v>
      </c>
      <c r="O147" s="12">
        <v>67.77202676510035</v>
      </c>
      <c r="P147" s="8">
        <v>1.663238</v>
      </c>
      <c r="S147" s="21"/>
      <c r="W147" s="14"/>
    </row>
    <row r="148" spans="1:23" ht="14.4" customHeight="1">
      <c r="A148" s="10" t="s">
        <v>17</v>
      </c>
      <c r="B148" s="11">
        <v>2015</v>
      </c>
      <c r="C148" s="14" t="s">
        <v>55</v>
      </c>
      <c r="D148" s="14" t="s">
        <v>54</v>
      </c>
      <c r="E148" s="3">
        <f t="shared" si="65"/>
        <v>8.706164972830333</v>
      </c>
      <c r="F148" s="12">
        <v>13.99372291134314</v>
      </c>
      <c r="G148" s="12">
        <v>26.356075378648399</v>
      </c>
      <c r="H148" s="12">
        <v>7.2647503371146627</v>
      </c>
      <c r="I148" s="12">
        <v>9.7313278392048073</v>
      </c>
      <c r="J148" s="12">
        <v>40.550707483201677</v>
      </c>
      <c r="K148" s="12">
        <v>11.058019673941761</v>
      </c>
      <c r="L148" s="12">
        <v>32.361531776631708</v>
      </c>
      <c r="M148" s="12">
        <v>38.16915642783357</v>
      </c>
      <c r="N148" s="12">
        <v>48.364228246801751</v>
      </c>
      <c r="O148" s="12">
        <v>64.54949226329893</v>
      </c>
      <c r="P148" s="8">
        <v>1.7856938</v>
      </c>
      <c r="S148" s="21"/>
      <c r="W148" s="14"/>
    </row>
    <row r="149" spans="1:23" ht="14.4" customHeight="1">
      <c r="A149" s="10" t="s">
        <v>17</v>
      </c>
      <c r="B149" s="11">
        <v>2016</v>
      </c>
      <c r="C149" s="14" t="s">
        <v>55</v>
      </c>
      <c r="D149" s="14" t="s">
        <v>54</v>
      </c>
      <c r="E149" s="3">
        <f t="shared" si="65"/>
        <v>15.606688916647563</v>
      </c>
      <c r="F149" s="12">
        <v>23.804877379879191</v>
      </c>
      <c r="G149" s="12">
        <v>23.70838244319765</v>
      </c>
      <c r="H149" s="12">
        <v>18.776825647867931</v>
      </c>
      <c r="I149" s="12">
        <v>13.344529926513481</v>
      </c>
      <c r="J149" s="12">
        <v>41.178116824768182</v>
      </c>
      <c r="K149" s="12">
        <v>10.855321145232381</v>
      </c>
      <c r="L149" s="12">
        <v>34.655695387928347</v>
      </c>
      <c r="M149" s="12">
        <v>35.065134010819392</v>
      </c>
      <c r="N149" s="12">
        <v>54.254658636865251</v>
      </c>
      <c r="O149" s="12">
        <v>60.218682641762697</v>
      </c>
      <c r="P149" s="8">
        <v>1.9568542999999998</v>
      </c>
      <c r="S149" s="21"/>
      <c r="W149" s="14"/>
    </row>
    <row r="150" spans="1:23" ht="14.4" customHeight="1">
      <c r="A150" s="10" t="s">
        <v>17</v>
      </c>
      <c r="B150" s="11">
        <v>2017</v>
      </c>
      <c r="C150" s="14" t="s">
        <v>55</v>
      </c>
      <c r="D150" s="14" t="s">
        <v>54</v>
      </c>
      <c r="E150" s="3">
        <f t="shared" si="65"/>
        <v>13.45408996967468</v>
      </c>
      <c r="F150" s="12">
        <v>15.8332969753789</v>
      </c>
      <c r="G150" s="12">
        <v>29.878476601563609</v>
      </c>
      <c r="H150" s="12">
        <v>11.238517310125729</v>
      </c>
      <c r="I150" s="12">
        <v>15.023599201257211</v>
      </c>
      <c r="J150" s="12">
        <v>44.611690901624243</v>
      </c>
      <c r="K150" s="12">
        <v>10.40545281361215</v>
      </c>
      <c r="L150" s="12">
        <v>36.748051244092323</v>
      </c>
      <c r="M150" s="12">
        <v>32.901228351662688</v>
      </c>
      <c r="N150" s="12">
        <v>64.090879465817736</v>
      </c>
      <c r="O150" s="12">
        <v>67.497224037262598</v>
      </c>
      <c r="P150" s="8">
        <v>1.9684192999999999</v>
      </c>
      <c r="S150" s="21"/>
      <c r="W150" s="14"/>
    </row>
    <row r="151" spans="1:23" ht="14.4" customHeight="1">
      <c r="A151" s="10" t="s">
        <v>17</v>
      </c>
      <c r="B151" s="11">
        <v>2018</v>
      </c>
      <c r="C151" s="14" t="s">
        <v>55</v>
      </c>
      <c r="D151" s="14" t="s">
        <v>54</v>
      </c>
      <c r="E151" s="3">
        <f t="shared" si="65"/>
        <v>16.9223570347893</v>
      </c>
      <c r="F151" s="12">
        <v>18.12368608062113</v>
      </c>
      <c r="G151" s="12">
        <v>28.51546911449568</v>
      </c>
      <c r="H151" s="12">
        <v>15.934247203568381</v>
      </c>
      <c r="I151" s="12">
        <v>17.616683687982839</v>
      </c>
      <c r="J151" s="12">
        <v>46.075247197473409</v>
      </c>
      <c r="K151" s="12">
        <v>10.86493890838471</v>
      </c>
      <c r="L151" s="12">
        <v>36.01098923328184</v>
      </c>
      <c r="M151" s="12">
        <v>34.827043947235339</v>
      </c>
      <c r="N151" s="12">
        <v>66.727223546666735</v>
      </c>
      <c r="O151" s="12">
        <v>63.050756840759583</v>
      </c>
      <c r="P151" s="8">
        <v>1.9366984999999999</v>
      </c>
      <c r="S151" s="21"/>
      <c r="W151" s="14"/>
    </row>
    <row r="152" spans="1:23" ht="14.4" customHeight="1">
      <c r="A152" s="10" t="s">
        <v>17</v>
      </c>
      <c r="B152" s="11">
        <v>2019</v>
      </c>
      <c r="C152" s="14" t="s">
        <v>55</v>
      </c>
      <c r="D152" s="14" t="s">
        <v>54</v>
      </c>
      <c r="E152" s="3">
        <f t="shared" si="65"/>
        <v>15.034529966708655</v>
      </c>
      <c r="F152" s="12">
        <v>19.20123951031124</v>
      </c>
      <c r="G152" s="12">
        <v>30.286409729406351</v>
      </c>
      <c r="H152" s="12">
        <v>14.230087898927099</v>
      </c>
      <c r="I152" s="12">
        <v>15.593398209747241</v>
      </c>
      <c r="J152" s="12">
        <v>41.923371323615982</v>
      </c>
      <c r="K152" s="12">
        <v>12.1776146618743</v>
      </c>
      <c r="L152" s="12">
        <v>51.46923310420194</v>
      </c>
      <c r="M152" s="12">
        <v>27.029409353737378</v>
      </c>
      <c r="N152" s="12">
        <v>64.58131078983314</v>
      </c>
      <c r="O152" s="12">
        <v>76.3769869142576</v>
      </c>
      <c r="P152" s="8">
        <v>1.8629207999999999</v>
      </c>
      <c r="S152" s="21"/>
      <c r="W152" s="14"/>
    </row>
    <row r="153" spans="1:23" ht="14.4" customHeight="1">
      <c r="A153" s="10" t="s">
        <v>17</v>
      </c>
      <c r="B153" s="11">
        <v>2020</v>
      </c>
      <c r="C153" s="14" t="s">
        <v>55</v>
      </c>
      <c r="D153" s="14" t="s">
        <v>54</v>
      </c>
      <c r="E153" s="3">
        <f t="shared" si="65"/>
        <v>14.409985863208064</v>
      </c>
      <c r="F153" s="12">
        <v>14.00701363110398</v>
      </c>
      <c r="G153" s="12">
        <v>29.325325678853051</v>
      </c>
      <c r="H153" s="12">
        <v>11.40741691766965</v>
      </c>
      <c r="I153" s="12">
        <v>16.48213957978345</v>
      </c>
      <c r="J153" s="12">
        <v>43.577680925948727</v>
      </c>
      <c r="K153" s="12">
        <v>17.07668108531406</v>
      </c>
      <c r="L153" s="12">
        <v>60.803111821331527</v>
      </c>
      <c r="M153" s="12">
        <v>37.381480797023563</v>
      </c>
      <c r="N153" s="12">
        <v>48.760828041378943</v>
      </c>
      <c r="O153" s="12" t="s">
        <v>35</v>
      </c>
      <c r="P153" s="8">
        <v>1.7647355999999998</v>
      </c>
      <c r="S153" s="21"/>
      <c r="W153" s="14"/>
    </row>
    <row r="154" spans="1:23" ht="14.4" customHeight="1">
      <c r="A154" s="10" t="s">
        <v>17</v>
      </c>
      <c r="B154" s="11">
        <v>2021</v>
      </c>
      <c r="C154" s="14" t="s">
        <v>55</v>
      </c>
      <c r="D154" s="14" t="s">
        <v>54</v>
      </c>
      <c r="E154" s="3">
        <f t="shared" si="65"/>
        <v>15.588367117193195</v>
      </c>
      <c r="F154" s="12">
        <v>13.844399098421549</v>
      </c>
      <c r="G154" s="12">
        <v>24.45479197556606</v>
      </c>
      <c r="H154" s="12">
        <v>13.807705267353009</v>
      </c>
      <c r="I154" s="12">
        <v>16.81607400824107</v>
      </c>
      <c r="J154" s="12">
        <v>45.413729753448337</v>
      </c>
      <c r="K154" s="12">
        <v>22.481829721463988</v>
      </c>
      <c r="L154" s="12">
        <v>56.751325794667153</v>
      </c>
      <c r="M154" s="12">
        <v>35.361817703592401</v>
      </c>
      <c r="N154" s="12">
        <v>69.927955929668371</v>
      </c>
      <c r="O154" s="12" t="s">
        <v>35</v>
      </c>
      <c r="P154" s="8">
        <v>1.8243488999999999</v>
      </c>
      <c r="S154" s="21"/>
      <c r="W154" s="14"/>
    </row>
    <row r="155" spans="1:23" ht="14.4" customHeight="1">
      <c r="A155" s="10" t="s">
        <v>17</v>
      </c>
      <c r="B155" s="11">
        <v>2022</v>
      </c>
      <c r="C155" s="14" t="s">
        <v>55</v>
      </c>
      <c r="D155" s="14" t="s">
        <v>54</v>
      </c>
      <c r="E155" s="3">
        <f t="shared" si="65"/>
        <v>5.1368941387671399</v>
      </c>
      <c r="F155" s="12">
        <v>16.201913791778971</v>
      </c>
      <c r="G155" s="12">
        <v>27.01738967444113</v>
      </c>
      <c r="H155" s="12">
        <v>4.9064874784782626</v>
      </c>
      <c r="I155" s="12">
        <v>5.285745747772701</v>
      </c>
      <c r="J155" s="12">
        <v>53.772462520926283</v>
      </c>
      <c r="K155" s="12">
        <v>9.490341924230151</v>
      </c>
      <c r="L155" s="12">
        <v>28.497742277288921</v>
      </c>
      <c r="M155" s="12">
        <v>60.584927675679033</v>
      </c>
      <c r="N155" s="12">
        <v>36.345739923579558</v>
      </c>
      <c r="O155" s="12">
        <v>72.000185348122173</v>
      </c>
      <c r="P155" s="8">
        <v>1.7233661999999998</v>
      </c>
      <c r="S155" s="21"/>
      <c r="W155" s="14"/>
    </row>
    <row r="156" spans="1:23" ht="14.4" customHeight="1">
      <c r="A156" s="10" t="s">
        <v>19</v>
      </c>
      <c r="B156" s="11">
        <v>2012</v>
      </c>
      <c r="C156" s="14" t="s">
        <v>51</v>
      </c>
      <c r="D156" s="14" t="s">
        <v>54</v>
      </c>
      <c r="E156" s="3">
        <f t="shared" ref="E156:E177" si="66">(F156+G156)/((F156/H156)+(G156/I156))</f>
        <v>8.6028465423085976</v>
      </c>
      <c r="F156" s="12">
        <v>12.325727850714831</v>
      </c>
      <c r="G156" s="12">
        <v>29.601683641138919</v>
      </c>
      <c r="H156" s="12">
        <v>5.9840978296723826</v>
      </c>
      <c r="I156" s="12">
        <v>10.519731010307529</v>
      </c>
      <c r="J156" s="12">
        <v>43.337750848566841</v>
      </c>
      <c r="K156" s="12">
        <v>16.36816372440251</v>
      </c>
      <c r="L156" s="12">
        <v>30.799490209815989</v>
      </c>
      <c r="M156" s="12">
        <v>12.05892630888642</v>
      </c>
      <c r="N156" s="12">
        <v>38.482685379244877</v>
      </c>
      <c r="O156" s="12" t="s">
        <v>35</v>
      </c>
      <c r="P156" s="8">
        <v>0.47235289999999996</v>
      </c>
      <c r="S156" s="21"/>
      <c r="W156" s="14"/>
    </row>
    <row r="157" spans="1:23" ht="14.4" customHeight="1">
      <c r="A157" s="10" t="s">
        <v>19</v>
      </c>
      <c r="B157" s="11">
        <v>2013</v>
      </c>
      <c r="C157" s="14" t="s">
        <v>51</v>
      </c>
      <c r="D157" s="14" t="s">
        <v>54</v>
      </c>
      <c r="E157" s="3">
        <f t="shared" si="66"/>
        <v>22.432578610226081</v>
      </c>
      <c r="F157" s="12">
        <v>18.866622603655809</v>
      </c>
      <c r="G157" s="12">
        <v>29.902320693093269</v>
      </c>
      <c r="H157" s="12">
        <v>20.734872583098241</v>
      </c>
      <c r="I157" s="12">
        <v>23.654561985288229</v>
      </c>
      <c r="J157" s="12">
        <v>66.392838639944316</v>
      </c>
      <c r="K157" s="12">
        <v>34.684737977294994</v>
      </c>
      <c r="L157" s="12">
        <v>57.886402155504079</v>
      </c>
      <c r="M157" s="12">
        <v>27.87687635681333</v>
      </c>
      <c r="N157" s="12">
        <v>58.729649383009964</v>
      </c>
      <c r="O157" s="12">
        <v>59.235710834333368</v>
      </c>
      <c r="P157" s="8">
        <v>0.42055559999999997</v>
      </c>
      <c r="S157" s="21"/>
      <c r="W157" s="14"/>
    </row>
    <row r="158" spans="1:23" ht="14.4" customHeight="1">
      <c r="A158" s="10" t="s">
        <v>19</v>
      </c>
      <c r="B158" s="11">
        <v>2014</v>
      </c>
      <c r="C158" s="14" t="s">
        <v>51</v>
      </c>
      <c r="D158" s="14" t="s">
        <v>54</v>
      </c>
      <c r="E158" s="3">
        <f t="shared" si="66"/>
        <v>15.610859728506782</v>
      </c>
      <c r="F158" s="12">
        <v>15.2046783625731</v>
      </c>
      <c r="G158" s="12">
        <v>25.14619883040935</v>
      </c>
      <c r="H158" s="12">
        <v>14.054054054054051</v>
      </c>
      <c r="I158" s="12">
        <v>16.73151750972762</v>
      </c>
      <c r="J158" s="12">
        <v>54.377188594297152</v>
      </c>
      <c r="K158" s="12">
        <v>27.208480565371019</v>
      </c>
      <c r="L158" s="12">
        <v>39.490763854218677</v>
      </c>
      <c r="M158" s="12">
        <v>12.41895261845386</v>
      </c>
      <c r="N158" s="12">
        <v>43.261316872427983</v>
      </c>
      <c r="O158" s="12" t="s">
        <v>35</v>
      </c>
      <c r="P158" s="8">
        <v>0.38588879999999998</v>
      </c>
      <c r="S158" s="21"/>
      <c r="W158" s="14"/>
    </row>
    <row r="159" spans="1:23" ht="14.4" customHeight="1">
      <c r="A159" s="10" t="s">
        <v>19</v>
      </c>
      <c r="B159" s="11">
        <v>2015</v>
      </c>
      <c r="C159" s="14" t="s">
        <v>51</v>
      </c>
      <c r="D159" s="14" t="s">
        <v>54</v>
      </c>
      <c r="E159" s="3">
        <f t="shared" si="66"/>
        <v>12.400455062571101</v>
      </c>
      <c r="F159" s="12">
        <v>14.453125</v>
      </c>
      <c r="G159" s="12">
        <v>28.125</v>
      </c>
      <c r="H159" s="12">
        <v>9.9462365591397841</v>
      </c>
      <c r="I159" s="12">
        <v>14.201183431952661</v>
      </c>
      <c r="J159" s="12">
        <v>49.415353329944082</v>
      </c>
      <c r="K159" s="12">
        <v>16.802443991853359</v>
      </c>
      <c r="L159" s="12">
        <v>53.686868686868692</v>
      </c>
      <c r="M159" s="12">
        <v>14.35</v>
      </c>
      <c r="N159" s="12">
        <v>46.510416666666657</v>
      </c>
      <c r="O159" s="12" t="s">
        <v>35</v>
      </c>
      <c r="P159" s="8">
        <v>0.42128459999999995</v>
      </c>
      <c r="S159" s="21"/>
      <c r="W159" s="14"/>
    </row>
    <row r="160" spans="1:23" ht="14.4" customHeight="1">
      <c r="A160" s="10" t="s">
        <v>19</v>
      </c>
      <c r="B160" s="11">
        <v>2016</v>
      </c>
      <c r="C160" s="14" t="s">
        <v>51</v>
      </c>
      <c r="D160" s="14" t="s">
        <v>54</v>
      </c>
      <c r="E160" s="3">
        <f t="shared" si="66"/>
        <v>12.969283276450513</v>
      </c>
      <c r="F160" s="12">
        <v>15.41353383458646</v>
      </c>
      <c r="G160" s="12">
        <v>27.443609022556391</v>
      </c>
      <c r="H160" s="12">
        <v>10.84656084656085</v>
      </c>
      <c r="I160" s="12">
        <v>14.570858283433131</v>
      </c>
      <c r="J160" s="12">
        <v>47.963800904977383</v>
      </c>
      <c r="K160" s="12">
        <v>13.313161875945539</v>
      </c>
      <c r="L160" s="12">
        <v>51.545363908275178</v>
      </c>
      <c r="M160" s="12">
        <v>26.25310173697271</v>
      </c>
      <c r="N160" s="12">
        <v>42.439774474628393</v>
      </c>
      <c r="O160" s="12">
        <v>59.72782258064516</v>
      </c>
      <c r="P160" s="8">
        <v>0.41844739999999997</v>
      </c>
      <c r="S160" s="21"/>
      <c r="W160" s="14"/>
    </row>
    <row r="161" spans="1:23" ht="14.4" customHeight="1">
      <c r="A161" s="10" t="s">
        <v>19</v>
      </c>
      <c r="B161" s="11">
        <v>2017</v>
      </c>
      <c r="C161" s="14" t="s">
        <v>51</v>
      </c>
      <c r="D161" s="14" t="s">
        <v>54</v>
      </c>
      <c r="E161" s="3">
        <f t="shared" si="66"/>
        <v>18.13063063063063</v>
      </c>
      <c r="F161" s="12">
        <v>17.62917933130699</v>
      </c>
      <c r="G161" s="12">
        <v>31.306990881458969</v>
      </c>
      <c r="H161" s="12">
        <v>15.675675675675681</v>
      </c>
      <c r="I161" s="12">
        <v>19.884169884169879</v>
      </c>
      <c r="J161" s="12">
        <v>57.592407592407589</v>
      </c>
      <c r="K161" s="12">
        <v>23.676171079429739</v>
      </c>
      <c r="L161" s="12">
        <v>55.533596837944657</v>
      </c>
      <c r="M161" s="12">
        <v>22.970978848991638</v>
      </c>
      <c r="N161" s="12">
        <v>48.86246122026887</v>
      </c>
      <c r="O161" s="12">
        <v>67.463876432486302</v>
      </c>
      <c r="P161" s="8">
        <v>0.34091159999999998</v>
      </c>
      <c r="S161" s="21"/>
      <c r="W161" s="14"/>
    </row>
    <row r="162" spans="1:23" ht="14.4" customHeight="1">
      <c r="A162" s="10" t="s">
        <v>19</v>
      </c>
      <c r="B162" s="11">
        <v>2018</v>
      </c>
      <c r="C162" s="14" t="s">
        <v>51</v>
      </c>
      <c r="D162" s="14" t="s">
        <v>54</v>
      </c>
      <c r="E162" s="3">
        <f t="shared" si="66"/>
        <v>13.317757009345794</v>
      </c>
      <c r="F162" s="12">
        <v>15.16245487364621</v>
      </c>
      <c r="G162" s="12">
        <v>25.992779783393502</v>
      </c>
      <c r="H162" s="12">
        <v>11.351351351351351</v>
      </c>
      <c r="I162" s="12">
        <v>14.81481481481481</v>
      </c>
      <c r="J162" s="12">
        <v>42.134547293879614</v>
      </c>
      <c r="K162" s="12">
        <v>20.410205102551281</v>
      </c>
      <c r="L162" s="12">
        <v>56.2</v>
      </c>
      <c r="M162" s="12">
        <v>21.617573639540691</v>
      </c>
      <c r="N162" s="12">
        <v>39.035532994923862</v>
      </c>
      <c r="O162" s="12">
        <v>46.322778345250263</v>
      </c>
      <c r="P162" s="8">
        <v>0.31368439999999997</v>
      </c>
      <c r="S162" s="21"/>
      <c r="W162" s="14"/>
    </row>
    <row r="163" spans="1:23" ht="14.4" customHeight="1">
      <c r="A163" s="10" t="s">
        <v>19</v>
      </c>
      <c r="B163" s="11">
        <v>2019</v>
      </c>
      <c r="C163" s="14" t="s">
        <v>51</v>
      </c>
      <c r="D163" s="14" t="s">
        <v>54</v>
      </c>
      <c r="E163" s="3">
        <f t="shared" si="66"/>
        <v>23.277141663222707</v>
      </c>
      <c r="F163" s="12">
        <v>18.54010060579331</v>
      </c>
      <c r="G163" s="12">
        <v>25.656006578376221</v>
      </c>
      <c r="H163" s="12">
        <v>22.666836520643511</v>
      </c>
      <c r="I163" s="12">
        <v>23.739035551867051</v>
      </c>
      <c r="J163" s="12">
        <v>72.896208367714436</v>
      </c>
      <c r="K163" s="12">
        <v>48.579233610022989</v>
      </c>
      <c r="L163" s="12">
        <v>45.405067669444499</v>
      </c>
      <c r="M163" s="12">
        <v>40.603804903401297</v>
      </c>
      <c r="N163" s="12">
        <v>53.372705344418563</v>
      </c>
      <c r="O163" s="12">
        <v>74.607696431369831</v>
      </c>
      <c r="P163" s="8">
        <v>0.31901760000000001</v>
      </c>
      <c r="S163" s="21"/>
      <c r="W163" s="14"/>
    </row>
    <row r="164" spans="1:23" ht="14.4" customHeight="1">
      <c r="A164" s="10" t="s">
        <v>19</v>
      </c>
      <c r="B164" s="11">
        <v>2020</v>
      </c>
      <c r="C164" s="14" t="s">
        <v>51</v>
      </c>
      <c r="D164" s="14" t="s">
        <v>54</v>
      </c>
      <c r="E164" s="3">
        <f t="shared" si="66"/>
        <v>34.520907923992567</v>
      </c>
      <c r="F164" s="12">
        <v>19.768467943417541</v>
      </c>
      <c r="G164" s="12">
        <v>26.181448839134571</v>
      </c>
      <c r="H164" s="12">
        <v>34.473496405193167</v>
      </c>
      <c r="I164" s="12">
        <v>34.556792787643907</v>
      </c>
      <c r="J164" s="12">
        <v>72.671536064090787</v>
      </c>
      <c r="K164" s="12">
        <v>56.648350183655353</v>
      </c>
      <c r="L164" s="12">
        <v>52.552146000294833</v>
      </c>
      <c r="M164" s="12">
        <v>41.299182041721892</v>
      </c>
      <c r="N164" s="12">
        <v>47.211796656425712</v>
      </c>
      <c r="O164" s="12">
        <v>65.823563148867535</v>
      </c>
      <c r="P164" s="8">
        <v>0.26971869999999998</v>
      </c>
      <c r="S164" s="21"/>
      <c r="W164" s="14"/>
    </row>
    <row r="165" spans="1:23" ht="14.4" customHeight="1">
      <c r="A165" s="10" t="s">
        <v>19</v>
      </c>
      <c r="B165" s="11">
        <v>2021</v>
      </c>
      <c r="C165" s="14" t="s">
        <v>51</v>
      </c>
      <c r="D165" s="14" t="s">
        <v>54</v>
      </c>
      <c r="E165" s="3">
        <f t="shared" si="66"/>
        <v>23.13953488372093</v>
      </c>
      <c r="F165" s="12">
        <v>17.88990825688073</v>
      </c>
      <c r="G165" s="12">
        <v>27.75229357798165</v>
      </c>
      <c r="H165" s="12">
        <v>21.02425876010782</v>
      </c>
      <c r="I165" s="12">
        <v>24.744376278118612</v>
      </c>
      <c r="J165" s="12">
        <v>69.756662804171498</v>
      </c>
      <c r="K165" s="12">
        <v>49.14400805639476</v>
      </c>
      <c r="L165" s="12">
        <v>45.331325301204807</v>
      </c>
      <c r="M165" s="12">
        <v>41.487768347478777</v>
      </c>
      <c r="N165" s="12">
        <v>46.295123495883473</v>
      </c>
      <c r="O165" s="12">
        <v>66.393958464443045</v>
      </c>
      <c r="P165" s="8">
        <v>0.21141409999999999</v>
      </c>
      <c r="S165" s="21"/>
      <c r="W165" s="14"/>
    </row>
    <row r="166" spans="1:23" ht="14.4" customHeight="1">
      <c r="A166" s="10" t="s">
        <v>19</v>
      </c>
      <c r="B166" s="11">
        <v>2022</v>
      </c>
      <c r="C166" s="14" t="s">
        <v>51</v>
      </c>
      <c r="D166" s="14" t="s">
        <v>54</v>
      </c>
      <c r="E166" s="3">
        <f t="shared" si="66"/>
        <v>29.084588644264194</v>
      </c>
      <c r="F166" s="12">
        <v>16.12903225806452</v>
      </c>
      <c r="G166" s="12">
        <v>28.853046594982079</v>
      </c>
      <c r="H166" s="12">
        <v>24.258760107816709</v>
      </c>
      <c r="I166" s="12">
        <v>32.723577235772353</v>
      </c>
      <c r="J166" s="12">
        <v>76.656151419558356</v>
      </c>
      <c r="K166" s="12">
        <v>60.060210737581542</v>
      </c>
      <c r="L166" s="12">
        <v>47.967887606623179</v>
      </c>
      <c r="M166" s="12">
        <v>45.904095904095897</v>
      </c>
      <c r="N166" s="12">
        <v>53.382187147688839</v>
      </c>
      <c r="O166" s="12">
        <v>69.327501366867139</v>
      </c>
      <c r="P166" s="8">
        <v>3.93931E-2</v>
      </c>
      <c r="S166" s="21"/>
      <c r="W166" s="14"/>
    </row>
    <row r="167" spans="1:23" ht="14.4" customHeight="1">
      <c r="A167" s="10" t="s">
        <v>20</v>
      </c>
      <c r="B167" s="11">
        <v>2012</v>
      </c>
      <c r="C167" s="14" t="s">
        <v>55</v>
      </c>
      <c r="D167" s="14" t="s">
        <v>54</v>
      </c>
      <c r="E167" s="3">
        <f t="shared" si="66"/>
        <v>12.182171986198869</v>
      </c>
      <c r="F167" s="12">
        <v>11.38948675385374</v>
      </c>
      <c r="G167" s="12">
        <v>40.535378487851062</v>
      </c>
      <c r="H167" s="12">
        <v>6.9502597928575911</v>
      </c>
      <c r="I167" s="12">
        <v>15.44998684962985</v>
      </c>
      <c r="J167" s="12">
        <v>53.893008919316053</v>
      </c>
      <c r="K167" s="12">
        <v>24.169440263757689</v>
      </c>
      <c r="L167" s="12">
        <v>40.94658753564611</v>
      </c>
      <c r="M167" s="12">
        <v>58.724953567443492</v>
      </c>
      <c r="N167" s="12">
        <v>20.41645728841106</v>
      </c>
      <c r="O167" s="12">
        <v>57.082757499290693</v>
      </c>
      <c r="P167" s="8">
        <v>0.85367680000000001</v>
      </c>
      <c r="S167" s="21"/>
      <c r="W167" s="14"/>
    </row>
    <row r="168" spans="1:23" ht="14.4" customHeight="1">
      <c r="A168" s="10" t="s">
        <v>20</v>
      </c>
      <c r="B168" s="11">
        <v>2013</v>
      </c>
      <c r="C168" s="14" t="s">
        <v>55</v>
      </c>
      <c r="D168" s="14" t="s">
        <v>54</v>
      </c>
      <c r="E168" s="3">
        <f t="shared" si="66"/>
        <v>13.274418885661754</v>
      </c>
      <c r="F168" s="12">
        <v>15.165351576992959</v>
      </c>
      <c r="G168" s="12">
        <v>40.171169067585957</v>
      </c>
      <c r="H168" s="12">
        <v>9.8817219199002579</v>
      </c>
      <c r="I168" s="12">
        <v>15.25117849253801</v>
      </c>
      <c r="J168" s="12">
        <v>51.768446785339933</v>
      </c>
      <c r="K168" s="12">
        <v>21.389478295733191</v>
      </c>
      <c r="L168" s="12">
        <v>37.772722141483356</v>
      </c>
      <c r="M168" s="12">
        <v>56.344355476255778</v>
      </c>
      <c r="N168" s="12">
        <v>26.059835937546129</v>
      </c>
      <c r="O168" s="12">
        <v>59.889284892814914</v>
      </c>
      <c r="P168" s="8">
        <v>0.90227099999999993</v>
      </c>
      <c r="S168" s="21"/>
      <c r="W168" s="14"/>
    </row>
    <row r="169" spans="1:23" ht="14.4" customHeight="1">
      <c r="A169" s="10" t="s">
        <v>20</v>
      </c>
      <c r="B169" s="11">
        <v>2014</v>
      </c>
      <c r="C169" s="14" t="s">
        <v>55</v>
      </c>
      <c r="D169" s="14" t="s">
        <v>54</v>
      </c>
      <c r="E169" s="3">
        <f t="shared" si="66"/>
        <v>13.039691176722904</v>
      </c>
      <c r="F169" s="12">
        <v>12.14521970211227</v>
      </c>
      <c r="G169" s="12">
        <v>41.861724002368348</v>
      </c>
      <c r="H169" s="12">
        <v>8.1028494145276699</v>
      </c>
      <c r="I169" s="12">
        <v>15.83960020085604</v>
      </c>
      <c r="J169" s="12">
        <v>54.300304588026243</v>
      </c>
      <c r="K169" s="12">
        <v>19.40724493749288</v>
      </c>
      <c r="L169" s="12">
        <v>39.036439099524841</v>
      </c>
      <c r="M169" s="12">
        <v>58.472516373246293</v>
      </c>
      <c r="N169" s="12">
        <v>31.347312386892931</v>
      </c>
      <c r="O169" s="12">
        <v>56.452775536857963</v>
      </c>
      <c r="P169" s="8">
        <v>0.86576529999999996</v>
      </c>
      <c r="S169" s="21"/>
      <c r="W169" s="14"/>
    </row>
    <row r="170" spans="1:23" ht="14.4" customHeight="1">
      <c r="A170" s="10" t="s">
        <v>20</v>
      </c>
      <c r="B170" s="11">
        <v>2015</v>
      </c>
      <c r="C170" s="14" t="s">
        <v>55</v>
      </c>
      <c r="D170" s="14" t="s">
        <v>54</v>
      </c>
      <c r="E170" s="3">
        <f t="shared" si="66"/>
        <v>11.955123630174725</v>
      </c>
      <c r="F170" s="12">
        <v>13.96344150737993</v>
      </c>
      <c r="G170" s="12">
        <v>34.22346463440639</v>
      </c>
      <c r="H170" s="12">
        <v>9.8666221868639763</v>
      </c>
      <c r="I170" s="12">
        <v>13.08522093062461</v>
      </c>
      <c r="J170" s="12">
        <v>55.923263746043332</v>
      </c>
      <c r="K170" s="12">
        <v>22.393584112565829</v>
      </c>
      <c r="L170" s="12">
        <v>43.228115845715791</v>
      </c>
      <c r="M170" s="12">
        <v>57.845563321958828</v>
      </c>
      <c r="N170" s="12">
        <v>32.894695338353969</v>
      </c>
      <c r="O170" s="12">
        <v>55.688749249060947</v>
      </c>
      <c r="P170" s="8">
        <v>0.81236409999999992</v>
      </c>
      <c r="S170" s="21"/>
      <c r="W170" s="14"/>
    </row>
    <row r="171" spans="1:23" ht="14.4" customHeight="1">
      <c r="A171" s="10" t="s">
        <v>20</v>
      </c>
      <c r="B171" s="11">
        <v>2016</v>
      </c>
      <c r="C171" s="14" t="s">
        <v>55</v>
      </c>
      <c r="D171" s="14" t="s">
        <v>54</v>
      </c>
      <c r="E171" s="3">
        <f t="shared" si="66"/>
        <v>16.211604095563139</v>
      </c>
      <c r="F171" s="12">
        <v>13.87283236994219</v>
      </c>
      <c r="G171" s="12">
        <v>41.040462427745673</v>
      </c>
      <c r="H171" s="12">
        <v>11.6504854368932</v>
      </c>
      <c r="I171" s="12">
        <v>18.684210526315791</v>
      </c>
      <c r="J171" s="12">
        <v>60.217809096732857</v>
      </c>
      <c r="K171" s="12">
        <v>23.541523678792039</v>
      </c>
      <c r="L171" s="12">
        <v>47.404627892432771</v>
      </c>
      <c r="M171" s="12">
        <v>58.41035120147874</v>
      </c>
      <c r="N171" s="12">
        <v>39.478114478114477</v>
      </c>
      <c r="O171" s="12">
        <v>56.169052488070889</v>
      </c>
      <c r="P171" s="8">
        <v>0.81115799999999993</v>
      </c>
      <c r="S171" s="21"/>
      <c r="W171" s="14"/>
    </row>
    <row r="172" spans="1:23" ht="14.4" customHeight="1">
      <c r="A172" s="10" t="s">
        <v>20</v>
      </c>
      <c r="B172" s="11">
        <v>2017</v>
      </c>
      <c r="C172" s="14" t="s">
        <v>55</v>
      </c>
      <c r="D172" s="14" t="s">
        <v>54</v>
      </c>
      <c r="E172" s="3">
        <f t="shared" si="66"/>
        <v>13.595583160800549</v>
      </c>
      <c r="F172" s="12">
        <v>5.0561797752808983</v>
      </c>
      <c r="G172" s="12">
        <v>50.280898876404493</v>
      </c>
      <c r="H172" s="12">
        <v>3.654822335025381</v>
      </c>
      <c r="I172" s="12">
        <v>18.71406168322007</v>
      </c>
      <c r="J172" s="12">
        <v>52.359487251725596</v>
      </c>
      <c r="K172" s="12">
        <v>11.232917855533859</v>
      </c>
      <c r="L172" s="12">
        <v>46.064434617814278</v>
      </c>
      <c r="M172" s="12">
        <v>43.578266815864723</v>
      </c>
      <c r="N172" s="12">
        <v>68.825161887141533</v>
      </c>
      <c r="O172" s="12">
        <v>67.728490622208994</v>
      </c>
      <c r="P172" s="8">
        <v>0.72192959999999995</v>
      </c>
      <c r="S172" s="21"/>
      <c r="W172" s="14"/>
    </row>
    <row r="173" spans="1:23" ht="14.4" customHeight="1">
      <c r="A173" s="10" t="s">
        <v>20</v>
      </c>
      <c r="B173" s="11">
        <v>2018</v>
      </c>
      <c r="C173" s="14" t="s">
        <v>55</v>
      </c>
      <c r="D173" s="14" t="s">
        <v>54</v>
      </c>
      <c r="E173" s="3">
        <f t="shared" si="66"/>
        <v>6.919564453811029</v>
      </c>
      <c r="F173" s="12">
        <v>2.8639618138424821</v>
      </c>
      <c r="G173" s="12">
        <v>44.152744630071602</v>
      </c>
      <c r="H173" s="12">
        <v>1.239669421487603</v>
      </c>
      <c r="I173" s="12">
        <v>9.8456625864821721</v>
      </c>
      <c r="J173" s="12">
        <v>46.599777034559636</v>
      </c>
      <c r="K173" s="12">
        <v>10.16071191393279</v>
      </c>
      <c r="L173" s="12">
        <v>40.099642309657639</v>
      </c>
      <c r="M173" s="12">
        <v>40.625</v>
      </c>
      <c r="N173" s="12">
        <v>68.4804452001855</v>
      </c>
      <c r="O173" s="12">
        <v>76.330706484169781</v>
      </c>
      <c r="P173" s="8">
        <v>0.7623048</v>
      </c>
      <c r="S173" s="21"/>
      <c r="W173" s="14"/>
    </row>
    <row r="174" spans="1:23" ht="14.4" customHeight="1">
      <c r="A174" s="10" t="s">
        <v>20</v>
      </c>
      <c r="B174" s="11">
        <v>2019</v>
      </c>
      <c r="C174" s="14" t="s">
        <v>55</v>
      </c>
      <c r="D174" s="14" t="s">
        <v>54</v>
      </c>
      <c r="E174" s="3">
        <f t="shared" si="66"/>
        <v>8.3423229054296986</v>
      </c>
      <c r="F174" s="12">
        <v>6.4965197215777257</v>
      </c>
      <c r="G174" s="12">
        <v>47.331786542923432</v>
      </c>
      <c r="H174" s="12">
        <v>2.978723404255319</v>
      </c>
      <c r="I174" s="12">
        <v>11.08093427485062</v>
      </c>
      <c r="J174" s="12">
        <v>50.408997955010229</v>
      </c>
      <c r="K174" s="12">
        <v>7.617668356263577</v>
      </c>
      <c r="L174" s="12">
        <v>50.246913580246911</v>
      </c>
      <c r="M174" s="12">
        <v>56.75</v>
      </c>
      <c r="N174" s="12">
        <v>87.277256179344704</v>
      </c>
      <c r="O174" s="12">
        <v>76.952200662565076</v>
      </c>
      <c r="P174" s="8">
        <v>0.82774459999999994</v>
      </c>
      <c r="S174" s="21"/>
      <c r="W174" s="14"/>
    </row>
    <row r="175" spans="1:23" ht="14.4" customHeight="1">
      <c r="A175" s="10" t="s">
        <v>20</v>
      </c>
      <c r="B175" s="11">
        <v>2020</v>
      </c>
      <c r="C175" s="14" t="s">
        <v>55</v>
      </c>
      <c r="D175" s="14" t="s">
        <v>54</v>
      </c>
      <c r="E175" s="3">
        <f t="shared" si="66"/>
        <v>3.7397689698629279</v>
      </c>
      <c r="F175" s="12">
        <v>3.9648750064579068</v>
      </c>
      <c r="G175" s="12">
        <v>37.173119606588557</v>
      </c>
      <c r="H175" s="12">
        <v>1.0657942563972129</v>
      </c>
      <c r="I175" s="12">
        <v>5.1061764482524481</v>
      </c>
      <c r="J175" s="12">
        <v>60.044792983945449</v>
      </c>
      <c r="K175" s="12">
        <v>6.1228924682536006</v>
      </c>
      <c r="L175" s="12">
        <v>62.730931558589987</v>
      </c>
      <c r="M175" s="12">
        <v>40.265657821246478</v>
      </c>
      <c r="N175" s="12">
        <v>51.619713743753238</v>
      </c>
      <c r="O175" s="12">
        <v>60.135199923264388</v>
      </c>
      <c r="P175" s="8">
        <v>0.68549919999999998</v>
      </c>
      <c r="S175" s="21"/>
      <c r="W175" s="14"/>
    </row>
    <row r="176" spans="1:23" ht="14.4" customHeight="1">
      <c r="A176" s="10" t="s">
        <v>20</v>
      </c>
      <c r="B176" s="11">
        <v>2021</v>
      </c>
      <c r="C176" s="14" t="s">
        <v>55</v>
      </c>
      <c r="D176" s="14" t="s">
        <v>54</v>
      </c>
      <c r="E176" s="3">
        <f t="shared" si="66"/>
        <v>2.9905077820768544</v>
      </c>
      <c r="F176" s="12">
        <v>2.4920774812953539</v>
      </c>
      <c r="G176" s="12">
        <v>46.972566521029798</v>
      </c>
      <c r="H176" s="12">
        <v>0.44459015077259528</v>
      </c>
      <c r="I176" s="12">
        <v>4.295532646048005</v>
      </c>
      <c r="J176" s="12">
        <v>60.132381300961413</v>
      </c>
      <c r="K176" s="12">
        <v>3.6903357630384299</v>
      </c>
      <c r="L176" s="12">
        <v>53.954061780619341</v>
      </c>
      <c r="M176" s="12">
        <v>44.652389270212133</v>
      </c>
      <c r="N176" s="12">
        <v>72.539243622023889</v>
      </c>
      <c r="O176" s="12">
        <v>66.353695338633329</v>
      </c>
      <c r="P176" s="8">
        <v>0.67360940000000002</v>
      </c>
      <c r="S176" s="21"/>
      <c r="W176" s="14"/>
    </row>
    <row r="177" spans="1:23" ht="14.4" customHeight="1">
      <c r="A177" s="10" t="s">
        <v>20</v>
      </c>
      <c r="B177" s="11">
        <v>2022</v>
      </c>
      <c r="C177" s="14" t="s">
        <v>55</v>
      </c>
      <c r="D177" s="14" t="s">
        <v>54</v>
      </c>
      <c r="E177" s="3">
        <f t="shared" si="66"/>
        <v>3.0045104364419544</v>
      </c>
      <c r="F177" s="12">
        <v>6.3689677851466104</v>
      </c>
      <c r="G177" s="12">
        <v>56.000699306028302</v>
      </c>
      <c r="H177" s="12">
        <v>0.9009548176021589</v>
      </c>
      <c r="I177" s="12">
        <v>4.090763320983422</v>
      </c>
      <c r="J177" s="12">
        <v>47.794962786253457</v>
      </c>
      <c r="K177" s="12">
        <v>3.1794567359870269</v>
      </c>
      <c r="L177" s="12">
        <v>46.687805127172354</v>
      </c>
      <c r="M177" s="12">
        <v>57.481169762943139</v>
      </c>
      <c r="N177" s="12">
        <v>72.259040606739319</v>
      </c>
      <c r="O177" s="12">
        <v>63.771908126178403</v>
      </c>
      <c r="P177" s="8">
        <v>0.68701970000000001</v>
      </c>
      <c r="S177" s="21"/>
      <c r="W177" s="14"/>
    </row>
    <row r="178" spans="1:23" ht="14.4" customHeight="1">
      <c r="A178" s="10" t="s">
        <v>23</v>
      </c>
      <c r="B178" s="11">
        <v>2012</v>
      </c>
      <c r="C178" s="14" t="s">
        <v>55</v>
      </c>
      <c r="D178" s="14" t="s">
        <v>54</v>
      </c>
      <c r="E178" s="3">
        <f t="shared" ref="E178:E186" si="67">(F178+G178)/((F178/H178)+(G178/I178))</f>
        <v>13.501320054478084</v>
      </c>
      <c r="F178" s="12">
        <v>18.878128572312381</v>
      </c>
      <c r="G178" s="12">
        <v>33.629057301534992</v>
      </c>
      <c r="H178" s="12">
        <v>12.83867620436482</v>
      </c>
      <c r="I178" s="12">
        <v>13.90417566666169</v>
      </c>
      <c r="J178" s="12">
        <v>49.72850604604325</v>
      </c>
      <c r="K178" s="12">
        <v>15.5700958229737</v>
      </c>
      <c r="L178" s="12">
        <v>42.492256433488123</v>
      </c>
      <c r="M178" s="12">
        <v>47.979050230496881</v>
      </c>
      <c r="N178" s="12">
        <v>17.844332789114631</v>
      </c>
      <c r="O178" s="12">
        <v>74.39546936669376</v>
      </c>
      <c r="P178" s="8">
        <v>0.9748175</v>
      </c>
      <c r="S178" s="21"/>
      <c r="W178" s="14"/>
    </row>
    <row r="179" spans="1:23" ht="14.4" customHeight="1">
      <c r="A179" s="10" t="s">
        <v>23</v>
      </c>
      <c r="B179" s="11">
        <v>2013</v>
      </c>
      <c r="C179" s="14" t="s">
        <v>55</v>
      </c>
      <c r="D179" s="14" t="s">
        <v>54</v>
      </c>
      <c r="E179" s="3">
        <f t="shared" si="67"/>
        <v>12.436991614143171</v>
      </c>
      <c r="F179" s="12">
        <v>13.24490486654477</v>
      </c>
      <c r="G179" s="12">
        <v>37.471640636965837</v>
      </c>
      <c r="H179" s="12">
        <v>8.5989233970512871</v>
      </c>
      <c r="I179" s="12">
        <v>14.766678556348319</v>
      </c>
      <c r="J179" s="12">
        <v>51.012862581934947</v>
      </c>
      <c r="K179" s="12">
        <v>20.296906447450649</v>
      </c>
      <c r="L179" s="12">
        <v>38.772776230050759</v>
      </c>
      <c r="M179" s="12">
        <v>44.461470251349198</v>
      </c>
      <c r="N179" s="12">
        <v>16.103685488822869</v>
      </c>
      <c r="O179" s="12">
        <v>58.53253998681204</v>
      </c>
      <c r="P179" s="8">
        <v>0.85216229999999993</v>
      </c>
      <c r="S179" s="21"/>
      <c r="W179" s="14"/>
    </row>
    <row r="180" spans="1:23" ht="14.4" customHeight="1">
      <c r="A180" s="10" t="s">
        <v>23</v>
      </c>
      <c r="B180" s="11">
        <v>2014</v>
      </c>
      <c r="C180" s="14" t="s">
        <v>55</v>
      </c>
      <c r="D180" s="14" t="s">
        <v>54</v>
      </c>
      <c r="E180" s="3">
        <f t="shared" si="67"/>
        <v>15.830115830115828</v>
      </c>
      <c r="F180" s="12">
        <v>24.311926605504588</v>
      </c>
      <c r="G180" s="12">
        <v>32.11009174311927</v>
      </c>
      <c r="H180" s="12">
        <v>18.150684931506849</v>
      </c>
      <c r="I180" s="12">
        <v>14.43298969072165</v>
      </c>
      <c r="J180" s="12">
        <v>54.397051079515528</v>
      </c>
      <c r="K180" s="12">
        <v>18.995290423861849</v>
      </c>
      <c r="L180" s="12">
        <v>42.571721311475407</v>
      </c>
      <c r="M180" s="12">
        <v>46.05</v>
      </c>
      <c r="N180" s="12">
        <v>23.504009870450339</v>
      </c>
      <c r="O180" s="12">
        <v>58.05201992252352</v>
      </c>
      <c r="P180" s="8">
        <v>0.72735309999999997</v>
      </c>
      <c r="S180" s="21"/>
      <c r="W180" s="14"/>
    </row>
    <row r="181" spans="1:23" ht="14.4" customHeight="1">
      <c r="A181" s="10" t="s">
        <v>23</v>
      </c>
      <c r="B181" s="11">
        <v>2015</v>
      </c>
      <c r="C181" s="14" t="s">
        <v>55</v>
      </c>
      <c r="D181" s="14" t="s">
        <v>54</v>
      </c>
      <c r="E181" s="3">
        <f t="shared" si="67"/>
        <v>12.500000000000005</v>
      </c>
      <c r="F181" s="12">
        <v>16.580310880829021</v>
      </c>
      <c r="G181" s="12">
        <v>30.569948186528499</v>
      </c>
      <c r="H181" s="12">
        <v>12.07547169811321</v>
      </c>
      <c r="I181" s="12">
        <v>12.742980561555081</v>
      </c>
      <c r="J181" s="12">
        <v>52.380952380952387</v>
      </c>
      <c r="K181" s="12">
        <v>18.7597707139135</v>
      </c>
      <c r="L181" s="12">
        <v>36.544342507645261</v>
      </c>
      <c r="M181" s="12">
        <v>41.437843235147277</v>
      </c>
      <c r="N181" s="12">
        <v>26.441102756892231</v>
      </c>
      <c r="O181" s="12">
        <v>64.230343300110732</v>
      </c>
      <c r="P181" s="8">
        <v>0.70786629999999995</v>
      </c>
      <c r="S181" s="21"/>
      <c r="W181" s="14"/>
    </row>
    <row r="182" spans="1:23" ht="14.4" customHeight="1">
      <c r="A182" s="10" t="s">
        <v>23</v>
      </c>
      <c r="B182" s="11">
        <v>2016</v>
      </c>
      <c r="C182" s="14" t="s">
        <v>55</v>
      </c>
      <c r="D182" s="14" t="s">
        <v>54</v>
      </c>
      <c r="E182" s="3">
        <f t="shared" si="67"/>
        <v>3.5862068965517242</v>
      </c>
      <c r="F182" s="12">
        <v>0.52910052910052907</v>
      </c>
      <c r="G182" s="12">
        <v>13.22751322751323</v>
      </c>
      <c r="H182" s="12">
        <v>0.38167938931297712</v>
      </c>
      <c r="I182" s="12">
        <v>5.3995680345572357</v>
      </c>
      <c r="J182" s="12">
        <v>44.025834230355223</v>
      </c>
      <c r="K182" s="12">
        <v>12.833061446438281</v>
      </c>
      <c r="L182" s="12">
        <v>32.981676846196557</v>
      </c>
      <c r="M182" s="12">
        <v>49.4</v>
      </c>
      <c r="N182" s="12">
        <v>23.03415409054805</v>
      </c>
      <c r="O182" s="12">
        <v>60.146252285191963</v>
      </c>
      <c r="P182" s="8">
        <v>0.83921190000000001</v>
      </c>
      <c r="S182" s="21"/>
      <c r="W182" s="14"/>
    </row>
    <row r="183" spans="1:23" ht="14.4" customHeight="1">
      <c r="A183" s="10" t="s">
        <v>23</v>
      </c>
      <c r="B183" s="11">
        <v>2017</v>
      </c>
      <c r="C183" s="14" t="s">
        <v>55</v>
      </c>
      <c r="D183" s="14" t="s">
        <v>54</v>
      </c>
      <c r="E183" s="3">
        <f t="shared" si="67"/>
        <v>6.0171919770773625</v>
      </c>
      <c r="F183" s="12">
        <v>1.6949152542372881</v>
      </c>
      <c r="G183" s="12">
        <v>16.101694915254239</v>
      </c>
      <c r="H183" s="12">
        <v>1.606425702811245</v>
      </c>
      <c r="I183" s="12">
        <v>8.463251670378618</v>
      </c>
      <c r="J183" s="12">
        <v>48.447537473233403</v>
      </c>
      <c r="K183" s="12">
        <v>14.87870619946092</v>
      </c>
      <c r="L183" s="12">
        <v>33.992311916529367</v>
      </c>
      <c r="M183" s="12">
        <v>45.75</v>
      </c>
      <c r="N183" s="12">
        <v>25.816485225505438</v>
      </c>
      <c r="O183" s="12">
        <v>59.987893462469742</v>
      </c>
      <c r="P183" s="8">
        <v>0.74162119999999998</v>
      </c>
      <c r="S183" s="21"/>
      <c r="W183" s="14"/>
    </row>
    <row r="184" spans="1:23" ht="14.4" customHeight="1">
      <c r="A184" s="10" t="s">
        <v>23</v>
      </c>
      <c r="B184" s="11">
        <v>2018</v>
      </c>
      <c r="C184" s="14" t="s">
        <v>55</v>
      </c>
      <c r="D184" s="14" t="s">
        <v>54</v>
      </c>
      <c r="E184" s="3">
        <f t="shared" si="67"/>
        <v>17.597428101770404</v>
      </c>
      <c r="F184" s="12">
        <v>18.14394720560939</v>
      </c>
      <c r="G184" s="12">
        <v>31.7508764693751</v>
      </c>
      <c r="H184" s="12">
        <v>19.24237784873802</v>
      </c>
      <c r="I184" s="12">
        <v>16.777821367856738</v>
      </c>
      <c r="J184" s="12">
        <v>53.291105551711702</v>
      </c>
      <c r="K184" s="12">
        <v>19.242800994625942</v>
      </c>
      <c r="L184" s="12">
        <v>34.958793699139832</v>
      </c>
      <c r="M184" s="12">
        <v>38.53765118220894</v>
      </c>
      <c r="N184" s="12">
        <v>37.405866517498268</v>
      </c>
      <c r="O184" s="12">
        <v>60.363939061936037</v>
      </c>
      <c r="P184" s="8">
        <v>0.68515029999999999</v>
      </c>
      <c r="S184" s="21"/>
      <c r="W184" s="14"/>
    </row>
    <row r="185" spans="1:23" ht="14.4" customHeight="1">
      <c r="A185" s="10" t="s">
        <v>23</v>
      </c>
      <c r="B185" s="11">
        <v>2019</v>
      </c>
      <c r="C185" s="14" t="s">
        <v>55</v>
      </c>
      <c r="D185" s="14" t="s">
        <v>54</v>
      </c>
      <c r="E185" s="3">
        <f t="shared" si="67"/>
        <v>18.79084615719205</v>
      </c>
      <c r="F185" s="12">
        <v>16.115323604080029</v>
      </c>
      <c r="G185" s="12">
        <v>31.863939909079448</v>
      </c>
      <c r="H185" s="12">
        <v>18.591907197801671</v>
      </c>
      <c r="I185" s="12">
        <v>18.893090304128449</v>
      </c>
      <c r="J185" s="12">
        <v>53.051736216832481</v>
      </c>
      <c r="K185" s="12">
        <v>19.831837854130189</v>
      </c>
      <c r="L185" s="12">
        <v>65.148756071353844</v>
      </c>
      <c r="M185" s="12">
        <v>45.653291299698132</v>
      </c>
      <c r="N185" s="12">
        <v>36.036618335720533</v>
      </c>
      <c r="O185" s="12">
        <v>58.428168210610288</v>
      </c>
      <c r="P185" s="8">
        <v>0.72724420000000001</v>
      </c>
      <c r="S185" s="21"/>
      <c r="W185" s="14"/>
    </row>
    <row r="186" spans="1:23" ht="14.4" customHeight="1">
      <c r="A186" s="10" t="s">
        <v>23</v>
      </c>
      <c r="B186" s="11">
        <v>2020</v>
      </c>
      <c r="C186" s="14" t="s">
        <v>55</v>
      </c>
      <c r="D186" s="14" t="s">
        <v>54</v>
      </c>
      <c r="E186" s="3">
        <f t="shared" si="67"/>
        <v>19.211856796822051</v>
      </c>
      <c r="F186" s="12">
        <v>15.694104912831371</v>
      </c>
      <c r="G186" s="12">
        <v>34.653562220664881</v>
      </c>
      <c r="H186" s="12">
        <v>19.42404444204135</v>
      </c>
      <c r="I186" s="12">
        <v>19.117277703606661</v>
      </c>
      <c r="J186" s="12">
        <v>56.38166222392276</v>
      </c>
      <c r="K186" s="12">
        <v>19.901398124036131</v>
      </c>
      <c r="L186" s="12">
        <v>71.903670478342477</v>
      </c>
      <c r="M186" s="12">
        <v>46.790278616384128</v>
      </c>
      <c r="N186" s="12">
        <v>40.913229472972553</v>
      </c>
      <c r="O186" s="12">
        <v>62.116894827921811</v>
      </c>
      <c r="P186" s="8">
        <v>0.60960019999999993</v>
      </c>
      <c r="S186" s="21"/>
      <c r="W186" s="14"/>
    </row>
    <row r="187" spans="1:23" ht="14.4" customHeight="1">
      <c r="A187" s="10" t="s">
        <v>23</v>
      </c>
      <c r="B187" s="11">
        <v>2021</v>
      </c>
      <c r="C187" s="14" t="s">
        <v>55</v>
      </c>
      <c r="D187" s="14" t="s">
        <v>54</v>
      </c>
      <c r="E187" s="3">
        <f t="shared" ref="E187:E232" si="68">(F187+G187)/((F187/H187)+(G187/I187))</f>
        <v>8.3590249829143861</v>
      </c>
      <c r="F187" s="12">
        <v>7.6567035380873918</v>
      </c>
      <c r="G187" s="12">
        <v>35.522083627520182</v>
      </c>
      <c r="H187" s="12">
        <v>4.3946147958035144</v>
      </c>
      <c r="I187" s="12">
        <v>10.37675313960942</v>
      </c>
      <c r="J187" s="12">
        <v>41.759987623320633</v>
      </c>
      <c r="K187" s="12">
        <v>7.8985071362170212</v>
      </c>
      <c r="L187" s="12">
        <v>53.859216216933568</v>
      </c>
      <c r="M187" s="12">
        <v>54.375247440401523</v>
      </c>
      <c r="N187" s="12">
        <v>33.386719231243099</v>
      </c>
      <c r="O187" s="12">
        <v>55.582019479583593</v>
      </c>
      <c r="P187" s="8">
        <v>0.74121579999999998</v>
      </c>
      <c r="S187" s="21"/>
      <c r="W187" s="14"/>
    </row>
    <row r="188" spans="1:23" ht="14.4" customHeight="1">
      <c r="A188" s="10" t="s">
        <v>23</v>
      </c>
      <c r="B188" s="11">
        <v>2022</v>
      </c>
      <c r="C188" s="14" t="s">
        <v>55</v>
      </c>
      <c r="D188" s="14" t="s">
        <v>54</v>
      </c>
      <c r="E188" s="3">
        <f t="shared" si="68"/>
        <v>13.464750211801686</v>
      </c>
      <c r="F188" s="12">
        <v>10.248632206396749</v>
      </c>
      <c r="G188" s="12">
        <v>30.23275295571867</v>
      </c>
      <c r="H188" s="12">
        <v>10.055465930713011</v>
      </c>
      <c r="I188" s="12">
        <v>15.2132756916765</v>
      </c>
      <c r="J188" s="12">
        <v>42.846841702279342</v>
      </c>
      <c r="K188" s="12">
        <v>13.076187655035501</v>
      </c>
      <c r="L188" s="12">
        <v>59.3222237052805</v>
      </c>
      <c r="M188" s="12">
        <v>52.743246458009047</v>
      </c>
      <c r="N188" s="12">
        <v>29.370840145942111</v>
      </c>
      <c r="O188" s="12">
        <v>64.542091522154521</v>
      </c>
      <c r="P188" s="8">
        <v>0.72617989999999999</v>
      </c>
      <c r="S188" s="21"/>
      <c r="W188" s="14"/>
    </row>
    <row r="189" spans="1:23" ht="14.4" customHeight="1">
      <c r="A189" s="10" t="s">
        <v>24</v>
      </c>
      <c r="B189" s="11">
        <v>2012</v>
      </c>
      <c r="C189" s="14" t="s">
        <v>55</v>
      </c>
      <c r="D189" s="14" t="s">
        <v>54</v>
      </c>
      <c r="E189" s="3">
        <f t="shared" si="68"/>
        <v>6.5084166897108702</v>
      </c>
      <c r="F189" s="12">
        <v>10.36142378556694</v>
      </c>
      <c r="G189" s="12">
        <v>31.391385606830831</v>
      </c>
      <c r="H189" s="12">
        <v>4.4905984981443892</v>
      </c>
      <c r="I189" s="12">
        <v>7.6418171947115994</v>
      </c>
      <c r="J189" s="12">
        <v>51.31573244029962</v>
      </c>
      <c r="K189" s="12">
        <v>14.678088187993209</v>
      </c>
      <c r="L189" s="12">
        <v>40.07528644649399</v>
      </c>
      <c r="M189" s="12">
        <v>41.495296592687872</v>
      </c>
      <c r="N189" s="12">
        <v>19.61787356896853</v>
      </c>
      <c r="O189" s="12">
        <v>71.080253501511464</v>
      </c>
      <c r="P189" s="8">
        <v>0.64341329999999997</v>
      </c>
      <c r="S189" s="21"/>
      <c r="W189" s="14"/>
    </row>
    <row r="190" spans="1:23" ht="14.4" customHeight="1">
      <c r="A190" s="10" t="s">
        <v>24</v>
      </c>
      <c r="B190" s="11">
        <v>2013</v>
      </c>
      <c r="C190" s="14" t="s">
        <v>55</v>
      </c>
      <c r="D190" s="14" t="s">
        <v>54</v>
      </c>
      <c r="E190" s="3">
        <f t="shared" si="68"/>
        <v>7.6151470926350493</v>
      </c>
      <c r="F190" s="12">
        <v>12.25220451195648</v>
      </c>
      <c r="G190" s="12">
        <v>28.833254604178801</v>
      </c>
      <c r="H190" s="12">
        <v>6.3164215939646686</v>
      </c>
      <c r="I190" s="12">
        <v>8.3441861807334625</v>
      </c>
      <c r="J190" s="12">
        <v>51.48186135135284</v>
      </c>
      <c r="K190" s="12">
        <v>14.6843727290963</v>
      </c>
      <c r="L190" s="12">
        <v>39.299972611808528</v>
      </c>
      <c r="M190" s="12">
        <v>41.977490661812404</v>
      </c>
      <c r="N190" s="12">
        <v>16.055843635090941</v>
      </c>
      <c r="O190" s="12">
        <v>68.103604337790998</v>
      </c>
      <c r="P190" s="8">
        <v>0.61761460000000001</v>
      </c>
      <c r="S190" s="21"/>
      <c r="W190" s="14"/>
    </row>
    <row r="191" spans="1:23" ht="14.4" customHeight="1">
      <c r="A191" s="10" t="s">
        <v>24</v>
      </c>
      <c r="B191" s="11">
        <v>2014</v>
      </c>
      <c r="C191" s="14" t="s">
        <v>55</v>
      </c>
      <c r="D191" s="14" t="s">
        <v>54</v>
      </c>
      <c r="E191" s="3">
        <f t="shared" si="68"/>
        <v>7.8355022254503419</v>
      </c>
      <c r="F191" s="12">
        <v>7.3219973701073942</v>
      </c>
      <c r="G191" s="12">
        <v>33.759575682755241</v>
      </c>
      <c r="H191" s="12">
        <v>4.0436171351798773</v>
      </c>
      <c r="I191" s="12">
        <v>9.8359894548943334</v>
      </c>
      <c r="J191" s="12">
        <v>48.598674919420652</v>
      </c>
      <c r="K191" s="12">
        <v>12.306248739033959</v>
      </c>
      <c r="L191" s="12">
        <v>40.494340321224868</v>
      </c>
      <c r="M191" s="12">
        <v>38.697767454791773</v>
      </c>
      <c r="N191" s="12">
        <v>17.247273841568319</v>
      </c>
      <c r="O191" s="12">
        <v>72.313719396842544</v>
      </c>
      <c r="P191" s="8">
        <v>0.53997709999999999</v>
      </c>
      <c r="S191" s="21"/>
      <c r="W191" s="14"/>
    </row>
    <row r="192" spans="1:23" ht="14.4" customHeight="1">
      <c r="A192" s="10" t="s">
        <v>24</v>
      </c>
      <c r="B192" s="11">
        <v>2015</v>
      </c>
      <c r="C192" s="14" t="s">
        <v>55</v>
      </c>
      <c r="D192" s="14" t="s">
        <v>54</v>
      </c>
      <c r="E192" s="3">
        <f t="shared" si="68"/>
        <v>8.4593407639436737</v>
      </c>
      <c r="F192" s="12">
        <v>5.4899625655455333</v>
      </c>
      <c r="G192" s="12">
        <v>42.033934090132291</v>
      </c>
      <c r="H192" s="12">
        <v>2.8320715804660721</v>
      </c>
      <c r="I192" s="12">
        <v>11.424057352443921</v>
      </c>
      <c r="J192" s="12">
        <v>48.613839391737137</v>
      </c>
      <c r="K192" s="12">
        <v>10.024066520980901</v>
      </c>
      <c r="L192" s="12">
        <v>37.223730199287971</v>
      </c>
      <c r="M192" s="12">
        <v>40.12748292666582</v>
      </c>
      <c r="N192" s="12">
        <v>20.544234150045259</v>
      </c>
      <c r="O192" s="12">
        <v>70.032692059775997</v>
      </c>
      <c r="P192" s="8">
        <v>0.574156</v>
      </c>
      <c r="S192" s="21"/>
      <c r="W192" s="14"/>
    </row>
    <row r="193" spans="1:23" ht="14.4" customHeight="1">
      <c r="A193" s="10" t="s">
        <v>24</v>
      </c>
      <c r="B193" s="11">
        <v>2016</v>
      </c>
      <c r="C193" s="14" t="s">
        <v>55</v>
      </c>
      <c r="D193" s="14" t="s">
        <v>54</v>
      </c>
      <c r="E193" s="3">
        <f t="shared" si="68"/>
        <v>13.077453451344464</v>
      </c>
      <c r="F193" s="12">
        <v>17.490584757045131</v>
      </c>
      <c r="G193" s="12">
        <v>34.604090542350562</v>
      </c>
      <c r="H193" s="12">
        <v>12.78487482016182</v>
      </c>
      <c r="I193" s="12">
        <v>13.230491347389851</v>
      </c>
      <c r="J193" s="12">
        <v>51.79918969401033</v>
      </c>
      <c r="K193" s="12">
        <v>14.25603156018969</v>
      </c>
      <c r="L193" s="12">
        <v>41.811926341419948</v>
      </c>
      <c r="M193" s="12">
        <v>35.720009101468953</v>
      </c>
      <c r="N193" s="12">
        <v>25.335240685022391</v>
      </c>
      <c r="O193" s="12">
        <v>68.983326107296435</v>
      </c>
      <c r="P193" s="8">
        <v>0.6430131</v>
      </c>
      <c r="S193" s="21"/>
      <c r="W193" s="14"/>
    </row>
    <row r="194" spans="1:23" ht="14.4" customHeight="1">
      <c r="A194" s="10" t="s">
        <v>24</v>
      </c>
      <c r="B194" s="11">
        <v>2017</v>
      </c>
      <c r="C194" s="14" t="s">
        <v>55</v>
      </c>
      <c r="D194" s="14" t="s">
        <v>54</v>
      </c>
      <c r="E194" s="3">
        <f t="shared" si="68"/>
        <v>9.7613882863340571</v>
      </c>
      <c r="F194" s="12">
        <v>11.7763087701499</v>
      </c>
      <c r="G194" s="12">
        <v>32.384849117912211</v>
      </c>
      <c r="H194" s="12">
        <v>7.5949367088607627</v>
      </c>
      <c r="I194" s="12">
        <v>10.89108910891089</v>
      </c>
      <c r="J194" s="12">
        <v>53.309533142507689</v>
      </c>
      <c r="K194" s="12">
        <v>16.723763934593411</v>
      </c>
      <c r="L194" s="12">
        <v>38.980832509501603</v>
      </c>
      <c r="M194" s="12">
        <v>34.773737734885721</v>
      </c>
      <c r="N194" s="12">
        <v>34.603102938379301</v>
      </c>
      <c r="O194" s="12">
        <v>73.418916457531907</v>
      </c>
      <c r="P194" s="8">
        <v>0.60692259999999998</v>
      </c>
      <c r="S194" s="21"/>
      <c r="W194" s="14"/>
    </row>
    <row r="195" spans="1:23" ht="14.4" customHeight="1">
      <c r="A195" s="10" t="s">
        <v>24</v>
      </c>
      <c r="B195" s="11">
        <v>2018</v>
      </c>
      <c r="C195" s="14" t="s">
        <v>55</v>
      </c>
      <c r="D195" s="14" t="s">
        <v>54</v>
      </c>
      <c r="E195" s="3">
        <f t="shared" si="68"/>
        <v>9.800362976406559</v>
      </c>
      <c r="F195" s="12">
        <v>5.1766891037023317</v>
      </c>
      <c r="G195" s="12">
        <v>41.413512829618632</v>
      </c>
      <c r="H195" s="12">
        <v>3.124999999999992</v>
      </c>
      <c r="I195" s="12">
        <v>13.37047353760453</v>
      </c>
      <c r="J195" s="12">
        <v>50.967180103107808</v>
      </c>
      <c r="K195" s="12">
        <v>16.300552190197919</v>
      </c>
      <c r="L195" s="12">
        <v>38.452360345399178</v>
      </c>
      <c r="M195" s="12">
        <v>37.41533598801059</v>
      </c>
      <c r="N195" s="12">
        <v>42.167817667282037</v>
      </c>
      <c r="O195" s="12">
        <v>75.778005904483493</v>
      </c>
      <c r="P195" s="8">
        <v>0.65141110000000002</v>
      </c>
      <c r="S195" s="21"/>
      <c r="W195" s="14"/>
    </row>
    <row r="196" spans="1:23" ht="14.4" customHeight="1">
      <c r="A196" s="10" t="s">
        <v>24</v>
      </c>
      <c r="B196" s="11">
        <v>2019</v>
      </c>
      <c r="C196" s="14" t="s">
        <v>55</v>
      </c>
      <c r="D196" s="14" t="s">
        <v>54</v>
      </c>
      <c r="E196" s="3">
        <f t="shared" si="68"/>
        <v>10.201030704132668</v>
      </c>
      <c r="F196" s="12">
        <v>4.9461551321109223</v>
      </c>
      <c r="G196" s="12">
        <v>34.599881220623253</v>
      </c>
      <c r="H196" s="12">
        <v>3.6152210797374318</v>
      </c>
      <c r="I196" s="12">
        <v>13.792927959155289</v>
      </c>
      <c r="J196" s="12">
        <v>57.455240835150818</v>
      </c>
      <c r="K196" s="12">
        <v>16.588890979938061</v>
      </c>
      <c r="L196" s="12">
        <v>60.400126542596027</v>
      </c>
      <c r="M196" s="12">
        <v>43.709633205034123</v>
      </c>
      <c r="N196" s="12">
        <v>47.585081615947281</v>
      </c>
      <c r="O196" s="12">
        <v>84.040171211389861</v>
      </c>
      <c r="P196" s="8">
        <v>0.88477279999999991</v>
      </c>
      <c r="S196" s="21"/>
      <c r="W196" s="14"/>
    </row>
    <row r="197" spans="1:23" ht="14.4" customHeight="1">
      <c r="A197" s="10" t="s">
        <v>24</v>
      </c>
      <c r="B197" s="11">
        <v>2020</v>
      </c>
      <c r="C197" s="14" t="s">
        <v>55</v>
      </c>
      <c r="D197" s="14" t="s">
        <v>54</v>
      </c>
      <c r="E197" s="3">
        <f t="shared" si="68"/>
        <v>8.7155963302751989</v>
      </c>
      <c r="F197" s="12">
        <v>5.7485375927472058</v>
      </c>
      <c r="G197" s="12">
        <v>37.940348112131574</v>
      </c>
      <c r="H197" s="12">
        <v>3.2258064516128981</v>
      </c>
      <c r="I197" s="12">
        <v>11.743772241992829</v>
      </c>
      <c r="J197" s="12">
        <v>59.402782576865711</v>
      </c>
      <c r="K197" s="12">
        <v>13.26849284962211</v>
      </c>
      <c r="L197" s="12">
        <v>57.886187219613717</v>
      </c>
      <c r="M197" s="12">
        <v>48.215854685241638</v>
      </c>
      <c r="N197" s="12">
        <v>42.032052495047587</v>
      </c>
      <c r="O197" s="12">
        <v>85.059327696490129</v>
      </c>
      <c r="P197" s="8">
        <v>0.82160289999999991</v>
      </c>
      <c r="S197" s="21"/>
      <c r="W197" s="14"/>
    </row>
    <row r="198" spans="1:23" ht="14.4" customHeight="1">
      <c r="A198" s="10" t="s">
        <v>24</v>
      </c>
      <c r="B198" s="11">
        <v>2021</v>
      </c>
      <c r="C198" s="14" t="s">
        <v>55</v>
      </c>
      <c r="D198" s="14" t="s">
        <v>54</v>
      </c>
      <c r="E198" s="3">
        <f t="shared" si="68"/>
        <v>12.268518518518485</v>
      </c>
      <c r="F198" s="12">
        <v>16.576254450597709</v>
      </c>
      <c r="G198" s="12">
        <v>38.332588417007187</v>
      </c>
      <c r="H198" s="12">
        <v>10.19108280254777</v>
      </c>
      <c r="I198" s="12">
        <v>13.4545454545454</v>
      </c>
      <c r="J198" s="12">
        <v>58.538886794498957</v>
      </c>
      <c r="K198" s="12">
        <v>16.087059667895879</v>
      </c>
      <c r="L198" s="12">
        <v>54.595886700082673</v>
      </c>
      <c r="M198" s="12">
        <v>44.878360639772389</v>
      </c>
      <c r="N198" s="12">
        <v>51.4929029394388</v>
      </c>
      <c r="O198" s="12">
        <v>85.870450440331879</v>
      </c>
      <c r="P198" s="8">
        <v>0.82947439999999995</v>
      </c>
      <c r="S198" s="21"/>
      <c r="W198" s="14"/>
    </row>
    <row r="199" spans="1:23" ht="14.4" customHeight="1">
      <c r="A199" s="10" t="s">
        <v>24</v>
      </c>
      <c r="B199" s="11">
        <v>2022</v>
      </c>
      <c r="C199" s="14" t="s">
        <v>55</v>
      </c>
      <c r="D199" s="14" t="s">
        <v>54</v>
      </c>
      <c r="E199" s="3">
        <f t="shared" si="68"/>
        <v>13.411764705882373</v>
      </c>
      <c r="F199" s="12">
        <v>13.73515075259165</v>
      </c>
      <c r="G199" s="12">
        <v>35.19632380351613</v>
      </c>
      <c r="H199" s="12">
        <v>10.38961038961039</v>
      </c>
      <c r="I199" s="12">
        <v>15.129151291512949</v>
      </c>
      <c r="J199" s="12">
        <v>62.814779446117022</v>
      </c>
      <c r="K199" s="12">
        <v>17.187669586599711</v>
      </c>
      <c r="L199" s="12">
        <v>53.464920891307322</v>
      </c>
      <c r="M199" s="12">
        <v>48.880337772448918</v>
      </c>
      <c r="N199" s="12">
        <v>54.957038384836501</v>
      </c>
      <c r="O199" s="12">
        <v>88.615598710056361</v>
      </c>
      <c r="P199" s="8">
        <v>0.73721689999999995</v>
      </c>
      <c r="S199" s="21"/>
      <c r="W199" s="14"/>
    </row>
    <row r="200" spans="1:23" ht="14.4" customHeight="1">
      <c r="A200" s="10" t="s">
        <v>25</v>
      </c>
      <c r="B200" s="11">
        <v>2012</v>
      </c>
      <c r="C200" s="14" t="s">
        <v>60</v>
      </c>
      <c r="D200" s="14" t="s">
        <v>52</v>
      </c>
      <c r="E200" s="3">
        <f t="shared" si="68"/>
        <v>6.8345110049715041</v>
      </c>
      <c r="F200" s="12">
        <v>16.506926850884451</v>
      </c>
      <c r="G200" s="12">
        <v>32.202552302100862</v>
      </c>
      <c r="H200" s="12">
        <v>5.0083651082518728</v>
      </c>
      <c r="I200" s="12">
        <v>8.4055259488930147</v>
      </c>
      <c r="J200" s="12">
        <v>39.49844611505727</v>
      </c>
      <c r="K200" s="12">
        <v>13.95586567900124</v>
      </c>
      <c r="L200" s="12">
        <v>30.15036511846014</v>
      </c>
      <c r="M200" s="12">
        <v>33.375048788709179</v>
      </c>
      <c r="N200" s="12">
        <v>35.468135381871193</v>
      </c>
      <c r="O200" s="12">
        <v>73.991928839306141</v>
      </c>
      <c r="P200" s="8">
        <v>0.64214039999999994</v>
      </c>
      <c r="S200" s="21"/>
      <c r="W200" s="14"/>
    </row>
    <row r="201" spans="1:23" ht="14.4" customHeight="1">
      <c r="A201" s="10" t="s">
        <v>25</v>
      </c>
      <c r="B201" s="11">
        <v>2013</v>
      </c>
      <c r="C201" s="14" t="s">
        <v>60</v>
      </c>
      <c r="D201" s="14" t="s">
        <v>52</v>
      </c>
      <c r="E201" s="3">
        <f t="shared" si="68"/>
        <v>11.062776571063374</v>
      </c>
      <c r="F201" s="12">
        <v>18.64891160481417</v>
      </c>
      <c r="G201" s="12">
        <v>35.855382417642737</v>
      </c>
      <c r="H201" s="12">
        <v>7.8444892738731191</v>
      </c>
      <c r="I201" s="12">
        <v>14.063734685794531</v>
      </c>
      <c r="J201" s="12">
        <v>42.677020566517832</v>
      </c>
      <c r="K201" s="12">
        <v>15.4453763079878</v>
      </c>
      <c r="L201" s="12">
        <v>31.365815942352501</v>
      </c>
      <c r="M201" s="12">
        <v>27.14934947798103</v>
      </c>
      <c r="N201" s="12">
        <v>37.853222117960087</v>
      </c>
      <c r="O201" s="12">
        <v>74.716469464061504</v>
      </c>
      <c r="P201" s="8">
        <v>0.62470439999999994</v>
      </c>
      <c r="S201" s="21"/>
      <c r="W201" s="14"/>
    </row>
    <row r="202" spans="1:23" ht="14.4" customHeight="1">
      <c r="A202" s="10" t="s">
        <v>25</v>
      </c>
      <c r="B202" s="11">
        <v>2014</v>
      </c>
      <c r="C202" s="14" t="s">
        <v>60</v>
      </c>
      <c r="D202" s="14" t="s">
        <v>52</v>
      </c>
      <c r="E202" s="3">
        <f t="shared" si="68"/>
        <v>7.1247522917876358</v>
      </c>
      <c r="F202" s="12">
        <v>15.901704187502091</v>
      </c>
      <c r="G202" s="12">
        <v>37.283306735478376</v>
      </c>
      <c r="H202" s="12">
        <v>4.7774853656247904</v>
      </c>
      <c r="I202" s="12">
        <v>9.013565325806006</v>
      </c>
      <c r="J202" s="12">
        <v>37.647522699916458</v>
      </c>
      <c r="K202" s="12">
        <v>11.80148147583466</v>
      </c>
      <c r="L202" s="12">
        <v>29.038178800731512</v>
      </c>
      <c r="M202" s="12">
        <v>25.500552245001039</v>
      </c>
      <c r="N202" s="12">
        <v>36.995626146135727</v>
      </c>
      <c r="O202" s="12">
        <v>72.91944124762891</v>
      </c>
      <c r="P202" s="8">
        <v>0.40166399999999997</v>
      </c>
      <c r="S202" s="21"/>
      <c r="W202" s="14"/>
    </row>
    <row r="203" spans="1:23" ht="14.4" customHeight="1">
      <c r="A203" s="10" t="s">
        <v>25</v>
      </c>
      <c r="B203" s="11">
        <v>2015</v>
      </c>
      <c r="C203" s="14" t="s">
        <v>60</v>
      </c>
      <c r="D203" s="14" t="s">
        <v>52</v>
      </c>
      <c r="E203" s="3">
        <f t="shared" si="68"/>
        <v>8.9264082892476839</v>
      </c>
      <c r="F203" s="12">
        <v>15.292684783436091</v>
      </c>
      <c r="G203" s="12">
        <v>34.349547080764253</v>
      </c>
      <c r="H203" s="12">
        <v>6.3140360802061926</v>
      </c>
      <c r="I203" s="12">
        <v>10.941913895321379</v>
      </c>
      <c r="J203" s="12">
        <v>45.437785424275027</v>
      </c>
      <c r="K203" s="12">
        <v>12.951416732313341</v>
      </c>
      <c r="L203" s="12">
        <v>35.01240207962546</v>
      </c>
      <c r="M203" s="12">
        <v>32.987751362805092</v>
      </c>
      <c r="N203" s="12">
        <v>40.905456359394897</v>
      </c>
      <c r="O203" s="12">
        <v>76.137951085299477</v>
      </c>
      <c r="P203" s="8">
        <v>0.29466229999999999</v>
      </c>
      <c r="S203" s="21"/>
      <c r="W203" s="14"/>
    </row>
    <row r="204" spans="1:23" ht="14.4" customHeight="1">
      <c r="A204" s="10" t="s">
        <v>25</v>
      </c>
      <c r="B204" s="11">
        <v>2016</v>
      </c>
      <c r="C204" s="14" t="s">
        <v>60</v>
      </c>
      <c r="D204" s="14" t="s">
        <v>52</v>
      </c>
      <c r="E204" s="3">
        <f t="shared" si="68"/>
        <v>6.4399341088400002</v>
      </c>
      <c r="F204" s="12">
        <v>21.516159859990101</v>
      </c>
      <c r="G204" s="12">
        <v>26.104155392568881</v>
      </c>
      <c r="H204" s="12">
        <v>6.6669359080804256</v>
      </c>
      <c r="I204" s="12">
        <v>6.2641339860432241</v>
      </c>
      <c r="J204" s="12">
        <v>37.873437253400851</v>
      </c>
      <c r="K204" s="12">
        <v>12.35858810616547</v>
      </c>
      <c r="L204" s="12">
        <v>30.971044824622449</v>
      </c>
      <c r="M204" s="12">
        <v>35.601550678030122</v>
      </c>
      <c r="N204" s="12">
        <v>35.025836672373757</v>
      </c>
      <c r="O204" s="12">
        <v>78.135708376481702</v>
      </c>
      <c r="P204" s="8">
        <v>0.26113039999999998</v>
      </c>
      <c r="S204" s="21"/>
      <c r="W204" s="14"/>
    </row>
    <row r="205" spans="1:23" ht="14.4" customHeight="1">
      <c r="A205" s="10" t="s">
        <v>25</v>
      </c>
      <c r="B205" s="11">
        <v>2017</v>
      </c>
      <c r="C205" s="14" t="s">
        <v>60</v>
      </c>
      <c r="D205" s="14" t="s">
        <v>52</v>
      </c>
      <c r="E205" s="3">
        <f t="shared" si="68"/>
        <v>11.976091165976072</v>
      </c>
      <c r="F205" s="12">
        <v>17.98877796400204</v>
      </c>
      <c r="G205" s="12">
        <v>38.059607957443703</v>
      </c>
      <c r="H205" s="12">
        <v>8.7840280565115734</v>
      </c>
      <c r="I205" s="12">
        <v>14.45963918730212</v>
      </c>
      <c r="J205" s="12">
        <v>39.932027006397611</v>
      </c>
      <c r="K205" s="12">
        <v>15.21350277428334</v>
      </c>
      <c r="L205" s="12">
        <v>30.16172373877939</v>
      </c>
      <c r="M205" s="12">
        <v>36.194323680487152</v>
      </c>
      <c r="N205" s="12">
        <v>43.172945859781663</v>
      </c>
      <c r="O205" s="12">
        <v>74.860906119997878</v>
      </c>
      <c r="P205" s="8">
        <v>0.22967869999999999</v>
      </c>
      <c r="S205" s="21"/>
      <c r="W205" s="14"/>
    </row>
    <row r="206" spans="1:23" ht="14.4" customHeight="1">
      <c r="A206" s="23" t="s">
        <v>25</v>
      </c>
      <c r="B206" s="24">
        <v>2018</v>
      </c>
      <c r="C206" s="25" t="s">
        <v>60</v>
      </c>
      <c r="D206" s="25" t="s">
        <v>52</v>
      </c>
      <c r="E206" s="26">
        <f t="shared" si="68"/>
        <v>11.445434442424533</v>
      </c>
      <c r="F206" s="27">
        <f>AVERAGE(F205,F207)</f>
        <v>17.163593349691702</v>
      </c>
      <c r="G206" s="27">
        <f t="shared" ref="G206" si="69">AVERAGE(G205,G207)</f>
        <v>37.677056965217332</v>
      </c>
      <c r="H206" s="27">
        <f t="shared" ref="H206" si="70">AVERAGE(H205,H207)</f>
        <v>8.5729340096426192</v>
      </c>
      <c r="I206" s="27">
        <f t="shared" ref="I206" si="71">AVERAGE(I205,I207)</f>
        <v>13.507132304319954</v>
      </c>
      <c r="J206" s="27">
        <f t="shared" ref="J206" si="72">AVERAGE(J205,J207)</f>
        <v>50.14318168738923</v>
      </c>
      <c r="K206" s="27">
        <f t="shared" ref="K206" si="73">AVERAGE(K205,K207)</f>
        <v>15.54391354306569</v>
      </c>
      <c r="L206" s="27">
        <f t="shared" ref="L206" si="74">AVERAGE(L205,L207)</f>
        <v>29.223054738828154</v>
      </c>
      <c r="M206" s="27">
        <f t="shared" ref="M206" si="75">AVERAGE(M205,M207)</f>
        <v>41.384516923819277</v>
      </c>
      <c r="N206" s="27">
        <f t="shared" ref="N206" si="76">AVERAGE(N205,N207)</f>
        <v>51.790204495772642</v>
      </c>
      <c r="O206" s="27">
        <f t="shared" ref="O206" si="77">AVERAGE(O205,O207)</f>
        <v>78.508767255626381</v>
      </c>
      <c r="P206" s="28">
        <v>6.854049999999999E-2</v>
      </c>
      <c r="S206" s="21"/>
      <c r="W206" s="14"/>
    </row>
    <row r="207" spans="1:23" ht="14.4" customHeight="1">
      <c r="A207" s="10" t="s">
        <v>25</v>
      </c>
      <c r="B207" s="11">
        <v>2019</v>
      </c>
      <c r="C207" s="14" t="s">
        <v>60</v>
      </c>
      <c r="D207" s="14" t="s">
        <v>52</v>
      </c>
      <c r="E207" s="3">
        <f t="shared" si="68"/>
        <v>10.891028723802526</v>
      </c>
      <c r="F207" s="12">
        <v>16.338408735381361</v>
      </c>
      <c r="G207" s="12">
        <v>37.294505972990969</v>
      </c>
      <c r="H207" s="12">
        <v>8.361839962773665</v>
      </c>
      <c r="I207" s="12">
        <v>12.554625421337789</v>
      </c>
      <c r="J207" s="12">
        <v>60.354336368380842</v>
      </c>
      <c r="K207" s="12">
        <v>15.87432431184804</v>
      </c>
      <c r="L207" s="12">
        <v>28.284385738876921</v>
      </c>
      <c r="M207" s="12">
        <v>46.574710167151402</v>
      </c>
      <c r="N207" s="12">
        <v>60.40746313176362</v>
      </c>
      <c r="O207" s="12">
        <v>82.156628391254884</v>
      </c>
      <c r="P207" s="8">
        <v>0.11879999999999999</v>
      </c>
      <c r="S207" s="21"/>
      <c r="W207" s="14"/>
    </row>
    <row r="208" spans="1:23" ht="14.4" customHeight="1">
      <c r="A208" s="23" t="s">
        <v>25</v>
      </c>
      <c r="B208" s="24">
        <v>2020</v>
      </c>
      <c r="C208" s="25" t="s">
        <v>60</v>
      </c>
      <c r="D208" s="25" t="s">
        <v>52</v>
      </c>
      <c r="E208" s="26">
        <f t="shared" si="68"/>
        <v>15.044124716502004</v>
      </c>
      <c r="F208" s="27">
        <f>AVERAGE(F207,F209)</f>
        <v>20.554785218080667</v>
      </c>
      <c r="G208" s="27">
        <f t="shared" ref="G208" si="78">AVERAGE(G207,G209)</f>
        <v>37.224030814871028</v>
      </c>
      <c r="H208" s="27">
        <f t="shared" ref="H208" si="79">AVERAGE(H207,H209)</f>
        <v>13.847726867509353</v>
      </c>
      <c r="I208" s="27">
        <f t="shared" ref="I208" si="80">AVERAGE(I207,I209)</f>
        <v>15.797798208715625</v>
      </c>
      <c r="J208" s="27">
        <f t="shared" ref="J208" si="81">AVERAGE(J207,J209)</f>
        <v>65.024061812876511</v>
      </c>
      <c r="K208" s="27">
        <f t="shared" ref="K208" si="82">AVERAGE(K207,K209)</f>
        <v>22.794503474841779</v>
      </c>
      <c r="L208" s="27">
        <f t="shared" ref="L208" si="83">AVERAGE(L207,L209)</f>
        <v>32.942368387991408</v>
      </c>
      <c r="M208" s="27">
        <f t="shared" ref="M208" si="84">AVERAGE(M207,M209)</f>
        <v>47.948035437748352</v>
      </c>
      <c r="N208" s="27">
        <f t="shared" ref="N208" si="85">AVERAGE(N207,N209)</f>
        <v>59.141432346368802</v>
      </c>
      <c r="O208" s="27">
        <f t="shared" ref="O208" si="86">AVERAGE(O207,O209)</f>
        <v>82.040410041126933</v>
      </c>
      <c r="P208" s="28">
        <v>8.9906699999999992E-2</v>
      </c>
      <c r="S208" s="21"/>
      <c r="W208" s="14"/>
    </row>
    <row r="209" spans="1:23" ht="14.4" customHeight="1">
      <c r="A209" s="10" t="s">
        <v>25</v>
      </c>
      <c r="B209" s="11">
        <v>2021</v>
      </c>
      <c r="C209" s="14" t="s">
        <v>60</v>
      </c>
      <c r="D209" s="14" t="s">
        <v>52</v>
      </c>
      <c r="E209" s="3">
        <f t="shared" si="68"/>
        <v>19.15696453699319</v>
      </c>
      <c r="F209" s="12">
        <v>24.77116170077997</v>
      </c>
      <c r="G209" s="12">
        <v>37.153555656751081</v>
      </c>
      <c r="H209" s="12">
        <v>19.333613772245041</v>
      </c>
      <c r="I209" s="12">
        <v>19.04097099609346</v>
      </c>
      <c r="J209" s="12">
        <v>69.693787257372179</v>
      </c>
      <c r="K209" s="12">
        <v>29.714682637835519</v>
      </c>
      <c r="L209" s="12">
        <v>37.600351037105902</v>
      </c>
      <c r="M209" s="12">
        <v>49.321360708345303</v>
      </c>
      <c r="N209" s="12">
        <v>57.875401560973991</v>
      </c>
      <c r="O209" s="12">
        <v>81.924191690998995</v>
      </c>
      <c r="P209" s="8">
        <v>1.7739100000000001E-2</v>
      </c>
      <c r="S209" s="21"/>
      <c r="W209" s="14"/>
    </row>
    <row r="210" spans="1:23" ht="14.4" customHeight="1">
      <c r="A210" s="10" t="s">
        <v>25</v>
      </c>
      <c r="B210" s="11">
        <v>2022</v>
      </c>
      <c r="C210" s="14" t="s">
        <v>60</v>
      </c>
      <c r="D210" s="14" t="s">
        <v>52</v>
      </c>
      <c r="E210" s="3">
        <f t="shared" si="68"/>
        <v>9.333851626542419</v>
      </c>
      <c r="F210" s="12">
        <v>21.140405105758131</v>
      </c>
      <c r="G210" s="12">
        <v>36.896615937308333</v>
      </c>
      <c r="H210" s="12">
        <v>7.9370255484308512</v>
      </c>
      <c r="I210" s="12">
        <v>10.38057718292972</v>
      </c>
      <c r="J210" s="12">
        <v>63.731210456739383</v>
      </c>
      <c r="K210" s="12">
        <v>10.06443502932547</v>
      </c>
      <c r="L210" s="12">
        <v>33.54950357106538</v>
      </c>
      <c r="M210" s="12">
        <v>51.253065188608637</v>
      </c>
      <c r="N210" s="12">
        <v>61.311913106038887</v>
      </c>
      <c r="O210" s="12">
        <v>79.838207235859144</v>
      </c>
      <c r="P210" s="8">
        <v>-6.2298199999999998E-2</v>
      </c>
      <c r="S210" s="21"/>
      <c r="W210" s="14"/>
    </row>
    <row r="211" spans="1:23" ht="14.4" customHeight="1">
      <c r="A211" s="10" t="s">
        <v>26</v>
      </c>
      <c r="B211" s="11">
        <v>2012</v>
      </c>
      <c r="C211" s="14" t="s">
        <v>59</v>
      </c>
      <c r="D211" s="14" t="s">
        <v>54</v>
      </c>
      <c r="E211" s="3">
        <f t="shared" si="68"/>
        <v>3.9880066874932916</v>
      </c>
      <c r="F211" s="12">
        <v>2.3278614988445341</v>
      </c>
      <c r="G211" s="12">
        <v>18.657566583331182</v>
      </c>
      <c r="H211" s="12">
        <v>1.1801038918976521</v>
      </c>
      <c r="I211" s="12">
        <v>5.6717784506220701</v>
      </c>
      <c r="J211" s="12">
        <v>26.926623307732299</v>
      </c>
      <c r="K211" s="12">
        <v>14.6014264818514</v>
      </c>
      <c r="L211" s="12">
        <v>28.670253012100641</v>
      </c>
      <c r="M211" s="12">
        <v>40.37141677181986</v>
      </c>
      <c r="N211" s="12">
        <v>12.51824049890368</v>
      </c>
      <c r="O211" s="12">
        <v>69.588657170496802</v>
      </c>
      <c r="P211" s="8">
        <v>0.92886069999999998</v>
      </c>
      <c r="S211" s="21"/>
      <c r="W211" s="14"/>
    </row>
    <row r="212" spans="1:23" ht="14.4" customHeight="1">
      <c r="A212" s="10" t="s">
        <v>26</v>
      </c>
      <c r="B212" s="11">
        <v>2013</v>
      </c>
      <c r="C212" s="14" t="s">
        <v>59</v>
      </c>
      <c r="D212" s="14" t="s">
        <v>54</v>
      </c>
      <c r="E212" s="3">
        <f t="shared" si="68"/>
        <v>3.6753694891914579</v>
      </c>
      <c r="F212" s="12">
        <v>0.69579744409264033</v>
      </c>
      <c r="G212" s="12">
        <v>17.673139808455939</v>
      </c>
      <c r="H212" s="12">
        <v>0.35388741603812401</v>
      </c>
      <c r="I212" s="12">
        <v>5.8294622668099292</v>
      </c>
      <c r="J212" s="12">
        <v>28.09805916995391</v>
      </c>
      <c r="K212" s="12">
        <v>13.63539958085086</v>
      </c>
      <c r="L212" s="12">
        <v>30.64542505270477</v>
      </c>
      <c r="M212" s="12">
        <v>44.525917439058901</v>
      </c>
      <c r="N212" s="12">
        <v>12.727952791326089</v>
      </c>
      <c r="O212" s="12">
        <v>67.801443406132137</v>
      </c>
      <c r="P212" s="8">
        <v>1.0180913999999999</v>
      </c>
      <c r="S212" s="21"/>
      <c r="W212" s="14"/>
    </row>
    <row r="213" spans="1:23" ht="14.4" customHeight="1">
      <c r="A213" s="23" t="s">
        <v>26</v>
      </c>
      <c r="B213" s="24">
        <v>2014</v>
      </c>
      <c r="C213" s="25" t="s">
        <v>59</v>
      </c>
      <c r="D213" s="25" t="s">
        <v>54</v>
      </c>
      <c r="E213" s="26">
        <f t="shared" si="68"/>
        <v>3.7328290225736454</v>
      </c>
      <c r="F213" s="27">
        <f>AVERAGE(F212,F214)</f>
        <v>1.9775403630387036</v>
      </c>
      <c r="G213" s="27">
        <f t="shared" ref="G213" si="87">AVERAGE(G212,G214)</f>
        <v>13.693064147782387</v>
      </c>
      <c r="H213" s="27">
        <f t="shared" ref="H213" si="88">AVERAGE(H212,H214)</f>
        <v>1.2654306570063936</v>
      </c>
      <c r="I213" s="27">
        <f t="shared" ref="I213" si="89">AVERAGE(I212,I214)</f>
        <v>5.1959985888459883</v>
      </c>
      <c r="J213" s="27">
        <f t="shared" ref="J213" si="90">AVERAGE(J212,J214)</f>
        <v>27.753784120270584</v>
      </c>
      <c r="K213" s="27">
        <f t="shared" ref="K213" si="91">AVERAGE(K212,K214)</f>
        <v>11.709086696091527</v>
      </c>
      <c r="L213" s="27">
        <f t="shared" ref="L213" si="92">AVERAGE(L212,L214)</f>
        <v>33.849812706452582</v>
      </c>
      <c r="M213" s="27">
        <f t="shared" ref="M213" si="93">AVERAGE(M212,M214)</f>
        <v>40.884791575322225</v>
      </c>
      <c r="N213" s="27">
        <f t="shared" ref="N213" si="94">AVERAGE(N212,N214)</f>
        <v>13.560250268205115</v>
      </c>
      <c r="O213" s="27">
        <f t="shared" ref="O213" si="95">AVERAGE(O212,O214)</f>
        <v>60.660643080333962</v>
      </c>
      <c r="P213" s="28">
        <v>0.99375979999999997</v>
      </c>
      <c r="S213" s="21"/>
      <c r="W213" s="14"/>
    </row>
    <row r="214" spans="1:23" ht="14.4" customHeight="1">
      <c r="A214" s="10" t="s">
        <v>26</v>
      </c>
      <c r="B214" s="11">
        <v>2015</v>
      </c>
      <c r="C214" s="14" t="s">
        <v>59</v>
      </c>
      <c r="D214" s="14" t="s">
        <v>54</v>
      </c>
      <c r="E214" s="3">
        <f t="shared" si="68"/>
        <v>3.577550868301417</v>
      </c>
      <c r="F214" s="12">
        <v>3.259283281984767</v>
      </c>
      <c r="G214" s="12">
        <v>9.7129884871088361</v>
      </c>
      <c r="H214" s="12">
        <v>2.1769738979746629</v>
      </c>
      <c r="I214" s="12">
        <v>4.5625349108820474</v>
      </c>
      <c r="J214" s="12">
        <v>27.409509070587259</v>
      </c>
      <c r="K214" s="12">
        <v>9.7827738113321931</v>
      </c>
      <c r="L214" s="12">
        <v>37.054200360200397</v>
      </c>
      <c r="M214" s="12">
        <v>37.243665711585543</v>
      </c>
      <c r="N214" s="12">
        <v>14.392547745084141</v>
      </c>
      <c r="O214" s="12">
        <v>53.519842754535787</v>
      </c>
      <c r="P214" s="8">
        <v>0.99612899999999993</v>
      </c>
      <c r="S214" s="21"/>
      <c r="W214" s="14"/>
    </row>
    <row r="215" spans="1:23" ht="14.4" customHeight="1">
      <c r="A215" s="10" t="s">
        <v>26</v>
      </c>
      <c r="B215" s="11">
        <v>2016</v>
      </c>
      <c r="C215" s="14" t="s">
        <v>59</v>
      </c>
      <c r="D215" s="14" t="s">
        <v>54</v>
      </c>
      <c r="E215" s="3">
        <f t="shared" si="68"/>
        <v>3.5132686418818126</v>
      </c>
      <c r="F215" s="12">
        <v>3.6838480074459778</v>
      </c>
      <c r="G215" s="12">
        <v>13.455353345323489</v>
      </c>
      <c r="H215" s="12">
        <v>1.804627839592623</v>
      </c>
      <c r="I215" s="12">
        <v>4.7426659298969334</v>
      </c>
      <c r="J215" s="12">
        <v>45.09208482142634</v>
      </c>
      <c r="K215" s="12">
        <v>28.13579394450516</v>
      </c>
      <c r="L215" s="12">
        <v>39.106818914558858</v>
      </c>
      <c r="M215" s="12">
        <v>33.909262422888467</v>
      </c>
      <c r="N215" s="12">
        <v>35.323131762831331</v>
      </c>
      <c r="O215" s="12">
        <v>60.201987857823433</v>
      </c>
      <c r="P215" s="8">
        <v>0.97589569999999992</v>
      </c>
      <c r="S215" s="21"/>
      <c r="W215" s="14"/>
    </row>
    <row r="216" spans="1:23" ht="14.4" customHeight="1">
      <c r="A216" s="10" t="s">
        <v>26</v>
      </c>
      <c r="B216" s="11">
        <v>2017</v>
      </c>
      <c r="C216" s="14" t="s">
        <v>59</v>
      </c>
      <c r="D216" s="14" t="s">
        <v>54</v>
      </c>
      <c r="E216" s="3">
        <f t="shared" si="68"/>
        <v>8.8572840203594172</v>
      </c>
      <c r="F216" s="12">
        <v>3.4676287064357401</v>
      </c>
      <c r="G216" s="12">
        <v>18.50978171674323</v>
      </c>
      <c r="H216" s="12">
        <v>3.3457249070507742</v>
      </c>
      <c r="I216" s="12">
        <v>12.81090909089264</v>
      </c>
      <c r="J216" s="12">
        <v>45.679538650559643</v>
      </c>
      <c r="K216" s="12">
        <v>25.014108399605291</v>
      </c>
      <c r="L216" s="12">
        <v>42.9365377509829</v>
      </c>
      <c r="M216" s="12">
        <v>32.560675688398668</v>
      </c>
      <c r="N216" s="12">
        <v>35.300162277754168</v>
      </c>
      <c r="O216" s="12">
        <v>68.571247014176734</v>
      </c>
      <c r="P216" s="8">
        <v>0.95930419999999994</v>
      </c>
      <c r="S216" s="21"/>
      <c r="W216" s="14"/>
    </row>
    <row r="217" spans="1:23" ht="14.4" customHeight="1">
      <c r="A217" s="10" t="s">
        <v>26</v>
      </c>
      <c r="B217" s="11">
        <v>2018</v>
      </c>
      <c r="C217" s="14" t="s">
        <v>59</v>
      </c>
      <c r="D217" s="14" t="s">
        <v>54</v>
      </c>
      <c r="E217" s="3">
        <f t="shared" si="68"/>
        <v>12.507868448472001</v>
      </c>
      <c r="F217" s="12">
        <v>7.6704016397974737</v>
      </c>
      <c r="G217" s="12">
        <v>19.231339727679291</v>
      </c>
      <c r="H217" s="12">
        <v>8.5749540053404161</v>
      </c>
      <c r="I217" s="12">
        <v>15.308246867721349</v>
      </c>
      <c r="J217" s="12">
        <v>49.676846793817802</v>
      </c>
      <c r="K217" s="12">
        <v>32.59390155873713</v>
      </c>
      <c r="L217" s="12">
        <v>43.498177077651981</v>
      </c>
      <c r="M217" s="12">
        <v>29.697482454658498</v>
      </c>
      <c r="N217" s="12">
        <v>45.675339083395968</v>
      </c>
      <c r="O217" s="12">
        <v>69.951133536261594</v>
      </c>
      <c r="P217" s="8">
        <v>0.95691939999999998</v>
      </c>
      <c r="S217" s="21"/>
      <c r="W217" s="14"/>
    </row>
    <row r="218" spans="1:23" ht="14.4" customHeight="1">
      <c r="A218" s="10" t="s">
        <v>26</v>
      </c>
      <c r="B218" s="11">
        <v>2019</v>
      </c>
      <c r="C218" s="14" t="s">
        <v>59</v>
      </c>
      <c r="D218" s="14" t="s">
        <v>54</v>
      </c>
      <c r="E218" s="3">
        <f t="shared" si="68"/>
        <v>9.652917988654881</v>
      </c>
      <c r="F218" s="12">
        <v>3.6717207216253129</v>
      </c>
      <c r="G218" s="12">
        <v>16.490946212805749</v>
      </c>
      <c r="H218" s="12">
        <v>4.2671541932472206</v>
      </c>
      <c r="I218" s="12">
        <v>13.4257997711046</v>
      </c>
      <c r="J218" s="12">
        <v>51.701204758860818</v>
      </c>
      <c r="K218" s="12">
        <v>32.977055362572408</v>
      </c>
      <c r="L218" s="12">
        <v>37.112093380806641</v>
      </c>
      <c r="M218" s="12">
        <v>17.13675811870155</v>
      </c>
      <c r="N218" s="12">
        <v>42.888577947828459</v>
      </c>
      <c r="O218" s="12">
        <v>85.965092205037024</v>
      </c>
      <c r="P218" s="8">
        <v>0.91201549999999998</v>
      </c>
      <c r="S218" s="21"/>
      <c r="W218" s="14"/>
    </row>
    <row r="219" spans="1:23" ht="14.4" customHeight="1">
      <c r="A219" s="10" t="s">
        <v>26</v>
      </c>
      <c r="B219" s="11">
        <v>2020</v>
      </c>
      <c r="C219" s="14" t="s">
        <v>59</v>
      </c>
      <c r="D219" s="14" t="s">
        <v>54</v>
      </c>
      <c r="E219" s="3">
        <f t="shared" si="68"/>
        <v>10.284463463781297</v>
      </c>
      <c r="F219" s="12">
        <v>6.850476657745129</v>
      </c>
      <c r="G219" s="12">
        <v>17.751383063720301</v>
      </c>
      <c r="H219" s="12">
        <v>7.0966135458167088</v>
      </c>
      <c r="I219" s="12">
        <v>12.441202896191561</v>
      </c>
      <c r="J219" s="12">
        <v>53.011821046922471</v>
      </c>
      <c r="K219" s="12">
        <v>34.346224283569768</v>
      </c>
      <c r="L219" s="12">
        <v>39.927130184780907</v>
      </c>
      <c r="M219" s="12">
        <v>20.28966320395789</v>
      </c>
      <c r="N219" s="12">
        <v>44.639269329579633</v>
      </c>
      <c r="O219" s="12">
        <v>87.694163309760441</v>
      </c>
      <c r="P219" s="8">
        <v>0.90831989999999996</v>
      </c>
      <c r="S219" s="21"/>
      <c r="W219" s="14"/>
    </row>
    <row r="220" spans="1:23" ht="14.4" customHeight="1">
      <c r="A220" s="10" t="s">
        <v>26</v>
      </c>
      <c r="B220" s="11">
        <v>2021</v>
      </c>
      <c r="C220" s="14" t="s">
        <v>59</v>
      </c>
      <c r="D220" s="14" t="s">
        <v>54</v>
      </c>
      <c r="E220" s="3">
        <f t="shared" si="68"/>
        <v>10.858995137780949</v>
      </c>
      <c r="F220" s="12">
        <v>7.4686220877506218</v>
      </c>
      <c r="G220" s="12">
        <v>17.551261906213981</v>
      </c>
      <c r="H220" s="12">
        <v>8.2644628099515263</v>
      </c>
      <c r="I220" s="12">
        <v>12.533333333333269</v>
      </c>
      <c r="J220" s="12">
        <v>53.950248959479971</v>
      </c>
      <c r="K220" s="12">
        <v>35.19635516617533</v>
      </c>
      <c r="L220" s="12">
        <v>40.46187709962539</v>
      </c>
      <c r="M220" s="12">
        <v>21.735941558431321</v>
      </c>
      <c r="N220" s="12">
        <v>43.994014029387458</v>
      </c>
      <c r="O220" s="12">
        <v>89.382757106802472</v>
      </c>
      <c r="P220" s="8">
        <v>0.98799949999999992</v>
      </c>
      <c r="S220" s="21"/>
      <c r="W220" s="14"/>
    </row>
    <row r="221" spans="1:23" ht="14.4" customHeight="1">
      <c r="A221" s="10" t="s">
        <v>26</v>
      </c>
      <c r="B221" s="11">
        <v>2022</v>
      </c>
      <c r="C221" s="14" t="s">
        <v>59</v>
      </c>
      <c r="D221" s="14" t="s">
        <v>54</v>
      </c>
      <c r="E221" s="3">
        <f t="shared" si="68"/>
        <v>10.73170731707317</v>
      </c>
      <c r="F221" s="12">
        <v>9.2436974789915975</v>
      </c>
      <c r="G221" s="12">
        <v>18.487394957983199</v>
      </c>
      <c r="H221" s="12">
        <v>9.4017094017094021</v>
      </c>
      <c r="I221" s="12">
        <v>11.54855643044619</v>
      </c>
      <c r="J221" s="12">
        <v>54.810725552050478</v>
      </c>
      <c r="K221" s="12">
        <v>34.200000000000003</v>
      </c>
      <c r="L221" s="12">
        <v>39.450000000000003</v>
      </c>
      <c r="M221" s="12">
        <v>21.95</v>
      </c>
      <c r="N221" s="12">
        <v>41.034985422740533</v>
      </c>
      <c r="O221" s="12">
        <v>90.125173852573013</v>
      </c>
      <c r="P221" s="8">
        <v>1.01728</v>
      </c>
      <c r="S221" s="21"/>
      <c r="W221" s="14"/>
    </row>
    <row r="222" spans="1:23" ht="14.4" customHeight="1">
      <c r="A222" s="10" t="s">
        <v>27</v>
      </c>
      <c r="B222" s="11">
        <v>2012</v>
      </c>
      <c r="C222" s="14" t="s">
        <v>55</v>
      </c>
      <c r="D222" s="14" t="s">
        <v>54</v>
      </c>
      <c r="E222" s="3">
        <f t="shared" si="68"/>
        <v>6.4670064620276326</v>
      </c>
      <c r="F222" s="12">
        <v>6.9061907757787537</v>
      </c>
      <c r="G222" s="12">
        <v>33.187084717464913</v>
      </c>
      <c r="H222" s="12">
        <v>3.4358683184358578</v>
      </c>
      <c r="I222" s="12">
        <v>7.9212305729523997</v>
      </c>
      <c r="J222" s="12">
        <v>50.375299348957213</v>
      </c>
      <c r="K222" s="12">
        <v>12.04624842414114</v>
      </c>
      <c r="L222" s="12">
        <v>31.099002019271481</v>
      </c>
      <c r="M222" s="12">
        <v>51.586963801131802</v>
      </c>
      <c r="N222" s="12">
        <v>13.904733133750071</v>
      </c>
      <c r="O222" s="12">
        <v>63.714034871170092</v>
      </c>
      <c r="P222" s="8">
        <v>0.87281179999999992</v>
      </c>
      <c r="S222" s="21"/>
      <c r="W222" s="14"/>
    </row>
    <row r="223" spans="1:23" ht="14.4" customHeight="1">
      <c r="A223" s="10" t="s">
        <v>27</v>
      </c>
      <c r="B223" s="11">
        <v>2013</v>
      </c>
      <c r="C223" s="14" t="s">
        <v>55</v>
      </c>
      <c r="D223" s="14" t="s">
        <v>54</v>
      </c>
      <c r="E223" s="3">
        <f t="shared" si="68"/>
        <v>5.1688701601654623</v>
      </c>
      <c r="F223" s="12">
        <v>7.19076748372557</v>
      </c>
      <c r="G223" s="12">
        <v>27.874376422153251</v>
      </c>
      <c r="H223" s="12">
        <v>3.2692535103769882</v>
      </c>
      <c r="I223" s="12">
        <v>6.0802733846225294</v>
      </c>
      <c r="J223" s="12">
        <v>48.394601833646043</v>
      </c>
      <c r="K223" s="12">
        <v>9.3455809730469586</v>
      </c>
      <c r="L223" s="12">
        <v>30.807578864013351</v>
      </c>
      <c r="M223" s="12">
        <v>47.698075329158037</v>
      </c>
      <c r="N223" s="12">
        <v>16.006041313873709</v>
      </c>
      <c r="O223" s="12">
        <v>52.337892911450368</v>
      </c>
      <c r="P223" s="8">
        <v>0.87416889999999992</v>
      </c>
      <c r="S223" s="21"/>
      <c r="W223" s="14"/>
    </row>
    <row r="224" spans="1:23" ht="14.4" customHeight="1">
      <c r="A224" s="10" t="s">
        <v>27</v>
      </c>
      <c r="B224" s="11">
        <v>2014</v>
      </c>
      <c r="C224" s="14" t="s">
        <v>55</v>
      </c>
      <c r="D224" s="14" t="s">
        <v>54</v>
      </c>
      <c r="E224" s="3">
        <f t="shared" si="68"/>
        <v>5.5534156526969669</v>
      </c>
      <c r="F224" s="12">
        <v>6.7641542484576638</v>
      </c>
      <c r="G224" s="12">
        <v>25.780313578787101</v>
      </c>
      <c r="H224" s="12">
        <v>3.8084067631329228</v>
      </c>
      <c r="I224" s="12">
        <v>6.3122834332782611</v>
      </c>
      <c r="J224" s="12">
        <v>48.133004419352503</v>
      </c>
      <c r="K224" s="12">
        <v>8.0324957893102589</v>
      </c>
      <c r="L224" s="12">
        <v>35.714147786178962</v>
      </c>
      <c r="M224" s="12">
        <v>46.51690771922879</v>
      </c>
      <c r="N224" s="12">
        <v>22.61278854121381</v>
      </c>
      <c r="O224" s="12">
        <v>48.994081094689669</v>
      </c>
      <c r="P224" s="8">
        <v>0.69688410000000001</v>
      </c>
      <c r="S224" s="21"/>
      <c r="W224" s="14"/>
    </row>
    <row r="225" spans="1:23" ht="14.4" customHeight="1">
      <c r="A225" s="10" t="s">
        <v>27</v>
      </c>
      <c r="B225" s="11">
        <v>2015</v>
      </c>
      <c r="C225" s="14" t="s">
        <v>55</v>
      </c>
      <c r="D225" s="14" t="s">
        <v>54</v>
      </c>
      <c r="E225" s="3">
        <f t="shared" si="68"/>
        <v>5.9626317180483674</v>
      </c>
      <c r="F225" s="12">
        <v>5.6810777680484774</v>
      </c>
      <c r="G225" s="12">
        <v>26.778235177486589</v>
      </c>
      <c r="H225" s="12">
        <v>3.3695236457177349</v>
      </c>
      <c r="I225" s="12">
        <v>7.1260944161294431</v>
      </c>
      <c r="J225" s="12">
        <v>45.256805846065227</v>
      </c>
      <c r="K225" s="12">
        <v>6.0508951546239764</v>
      </c>
      <c r="L225" s="12">
        <v>33.664506061997677</v>
      </c>
      <c r="M225" s="12">
        <v>43.092196619740427</v>
      </c>
      <c r="N225" s="12">
        <v>25.96777526237608</v>
      </c>
      <c r="O225" s="12">
        <v>48.384359337911711</v>
      </c>
      <c r="P225" s="8">
        <v>0.80442079999999994</v>
      </c>
      <c r="S225" s="21"/>
      <c r="W225" s="14"/>
    </row>
    <row r="226" spans="1:23" ht="14.4" customHeight="1">
      <c r="A226" s="10" t="s">
        <v>27</v>
      </c>
      <c r="B226" s="11">
        <v>2016</v>
      </c>
      <c r="C226" s="14" t="s">
        <v>55</v>
      </c>
      <c r="D226" s="14" t="s">
        <v>54</v>
      </c>
      <c r="E226" s="3">
        <f t="shared" si="68"/>
        <v>6.1584369422625134</v>
      </c>
      <c r="F226" s="12">
        <v>4.7811568470280861</v>
      </c>
      <c r="G226" s="12">
        <v>30.58928045643195</v>
      </c>
      <c r="H226" s="12">
        <v>2.632053425524564</v>
      </c>
      <c r="I226" s="12">
        <v>7.7896776864818644</v>
      </c>
      <c r="J226" s="12">
        <v>46.69438153677735</v>
      </c>
      <c r="K226" s="12">
        <v>6.0702889320151794</v>
      </c>
      <c r="L226" s="12">
        <v>35.596488280187792</v>
      </c>
      <c r="M226" s="12">
        <v>45.02321933893603</v>
      </c>
      <c r="N226" s="12">
        <v>25.564107587447712</v>
      </c>
      <c r="O226" s="12">
        <v>50.67400609412045</v>
      </c>
      <c r="P226" s="8">
        <v>0.96256949999999997</v>
      </c>
      <c r="S226" s="21"/>
      <c r="W226" s="14"/>
    </row>
    <row r="227" spans="1:23" ht="14.4" customHeight="1">
      <c r="A227" s="10" t="s">
        <v>27</v>
      </c>
      <c r="B227" s="11">
        <v>2017</v>
      </c>
      <c r="C227" s="14" t="s">
        <v>55</v>
      </c>
      <c r="D227" s="14" t="s">
        <v>54</v>
      </c>
      <c r="E227" s="3">
        <f t="shared" si="68"/>
        <v>7.0486674980930104</v>
      </c>
      <c r="F227" s="12">
        <v>8.4010415564445413</v>
      </c>
      <c r="G227" s="12">
        <v>25.30878468862181</v>
      </c>
      <c r="H227" s="12">
        <v>4.8724675101550456</v>
      </c>
      <c r="I227" s="12">
        <v>8.2755685340136704</v>
      </c>
      <c r="J227" s="12">
        <v>44.804048384309127</v>
      </c>
      <c r="K227" s="12">
        <v>6.8305656650738289</v>
      </c>
      <c r="L227" s="12">
        <v>32.962515190790882</v>
      </c>
      <c r="M227" s="12">
        <v>43.552664083513591</v>
      </c>
      <c r="N227" s="12">
        <v>31.859351202543781</v>
      </c>
      <c r="O227" s="12">
        <v>47.880523077534278</v>
      </c>
      <c r="P227" s="8">
        <v>0.88675090000000001</v>
      </c>
      <c r="S227" s="21"/>
      <c r="W227" s="14"/>
    </row>
    <row r="228" spans="1:23" ht="14.4" customHeight="1">
      <c r="A228" s="10" t="s">
        <v>27</v>
      </c>
      <c r="B228" s="11">
        <v>2018</v>
      </c>
      <c r="C228" s="14" t="s">
        <v>55</v>
      </c>
      <c r="D228" s="14" t="s">
        <v>54</v>
      </c>
      <c r="E228" s="3">
        <f t="shared" si="68"/>
        <v>5.9677911908495176</v>
      </c>
      <c r="F228" s="12">
        <v>5.4532406719235658</v>
      </c>
      <c r="G228" s="12">
        <v>22.207693368538969</v>
      </c>
      <c r="H228" s="12">
        <v>3.2517254781249001</v>
      </c>
      <c r="I228" s="12">
        <v>7.50765324827751</v>
      </c>
      <c r="J228" s="12">
        <v>48.462274802377323</v>
      </c>
      <c r="K228" s="12">
        <v>6.8068056739439466</v>
      </c>
      <c r="L228" s="12">
        <v>33.361947371579717</v>
      </c>
      <c r="M228" s="12">
        <v>43.072934242989263</v>
      </c>
      <c r="N228" s="12">
        <v>29.086436766934</v>
      </c>
      <c r="O228" s="12">
        <v>49.753555751977103</v>
      </c>
      <c r="P228" s="8">
        <v>0.88369569999999997</v>
      </c>
      <c r="S228" s="21"/>
      <c r="W228" s="14"/>
    </row>
    <row r="229" spans="1:23" ht="14.4" customHeight="1">
      <c r="A229" s="10" t="s">
        <v>27</v>
      </c>
      <c r="B229" s="11">
        <v>2019</v>
      </c>
      <c r="C229" s="14" t="s">
        <v>55</v>
      </c>
      <c r="D229" s="14" t="s">
        <v>54</v>
      </c>
      <c r="E229" s="3">
        <f t="shared" si="68"/>
        <v>7.1896666661431397</v>
      </c>
      <c r="F229" s="12">
        <v>8.615307153776504</v>
      </c>
      <c r="G229" s="12">
        <v>25.29692135034162</v>
      </c>
      <c r="H229" s="12">
        <v>4.9668753143117996</v>
      </c>
      <c r="I229" s="12">
        <v>8.4824995178351248</v>
      </c>
      <c r="J229" s="12">
        <v>50.817418303969113</v>
      </c>
      <c r="K229" s="12">
        <v>8.0653525056397459</v>
      </c>
      <c r="L229" s="12">
        <v>42.096935339515248</v>
      </c>
      <c r="M229" s="12">
        <v>55.133596707107401</v>
      </c>
      <c r="N229" s="12">
        <v>36.133588451429063</v>
      </c>
      <c r="O229" s="12">
        <v>57.846360357773463</v>
      </c>
      <c r="P229" s="8">
        <v>0.94465729999999992</v>
      </c>
      <c r="S229" s="21"/>
      <c r="W229" s="14"/>
    </row>
    <row r="230" spans="1:23" ht="14.4" customHeight="1">
      <c r="A230" s="10" t="s">
        <v>27</v>
      </c>
      <c r="B230" s="11">
        <v>2020</v>
      </c>
      <c r="C230" s="14" t="s">
        <v>55</v>
      </c>
      <c r="D230" s="14" t="s">
        <v>54</v>
      </c>
      <c r="E230" s="3">
        <f t="shared" si="68"/>
        <v>4.8074594737757499</v>
      </c>
      <c r="F230" s="12">
        <v>9.4843705445751834</v>
      </c>
      <c r="G230" s="12">
        <v>17.52875725382982</v>
      </c>
      <c r="H230" s="12">
        <v>4.5237548556501137</v>
      </c>
      <c r="I230" s="12">
        <v>4.9763219683676256</v>
      </c>
      <c r="J230" s="12">
        <v>51.870393075248401</v>
      </c>
      <c r="K230" s="12">
        <v>6.991129310492779</v>
      </c>
      <c r="L230" s="12">
        <v>37.346361759934787</v>
      </c>
      <c r="M230" s="12">
        <v>63.98279696160796</v>
      </c>
      <c r="N230" s="12">
        <v>16.480252465585341</v>
      </c>
      <c r="O230" s="12">
        <v>61.144394876001627</v>
      </c>
      <c r="P230" s="8">
        <v>0.83709279999999997</v>
      </c>
      <c r="S230" s="21"/>
      <c r="W230" s="14"/>
    </row>
    <row r="231" spans="1:23" ht="14.4" customHeight="1">
      <c r="A231" s="10" t="s">
        <v>27</v>
      </c>
      <c r="B231" s="11">
        <v>2021</v>
      </c>
      <c r="C231" s="14" t="s">
        <v>55</v>
      </c>
      <c r="D231" s="14" t="s">
        <v>54</v>
      </c>
      <c r="E231" s="3">
        <f t="shared" si="68"/>
        <v>5.3474523891084917</v>
      </c>
      <c r="F231" s="12">
        <v>5.8548221092150126</v>
      </c>
      <c r="G231" s="12">
        <v>22.36994809255788</v>
      </c>
      <c r="H231" s="12">
        <v>2.9265774366729769</v>
      </c>
      <c r="I231" s="12">
        <v>6.8250965602248748</v>
      </c>
      <c r="J231" s="12">
        <v>49.750407716033052</v>
      </c>
      <c r="K231" s="12">
        <v>8.9970138177349952</v>
      </c>
      <c r="L231" s="12">
        <v>38.102049641809877</v>
      </c>
      <c r="M231" s="12">
        <v>58.432414632392963</v>
      </c>
      <c r="N231" s="12">
        <v>30.023274583432759</v>
      </c>
      <c r="O231" s="12">
        <v>60.697707444401303</v>
      </c>
      <c r="P231" s="8">
        <v>0.92116949999999997</v>
      </c>
      <c r="S231" s="21"/>
      <c r="W231" s="14"/>
    </row>
    <row r="232" spans="1:23" ht="14.4" customHeight="1">
      <c r="A232" s="10" t="s">
        <v>27</v>
      </c>
      <c r="B232" s="11">
        <v>2022</v>
      </c>
      <c r="C232" s="14" t="s">
        <v>55</v>
      </c>
      <c r="D232" s="14" t="s">
        <v>54</v>
      </c>
      <c r="E232" s="3">
        <f t="shared" si="68"/>
        <v>5.9582194466890703</v>
      </c>
      <c r="F232" s="12">
        <v>6.2454969354620653</v>
      </c>
      <c r="G232" s="12">
        <v>22.7004021468445</v>
      </c>
      <c r="H232" s="12">
        <v>3.3451207856739309</v>
      </c>
      <c r="I232" s="12">
        <v>7.5893180008900734</v>
      </c>
      <c r="J232" s="12">
        <v>46.517703102810337</v>
      </c>
      <c r="K232" s="12">
        <v>9.3694963946206009</v>
      </c>
      <c r="L232" s="12">
        <v>41.286011961842931</v>
      </c>
      <c r="M232" s="12">
        <v>58.454670980122202</v>
      </c>
      <c r="N232" s="12">
        <v>26.027950342069129</v>
      </c>
      <c r="O232" s="12">
        <v>55.444405393576787</v>
      </c>
      <c r="P232" s="8">
        <v>0.83790789999999993</v>
      </c>
      <c r="S232" s="21"/>
      <c r="W232" s="14"/>
    </row>
    <row r="233" spans="1:23" ht="14.4" customHeight="1">
      <c r="A233" s="10" t="s">
        <v>28</v>
      </c>
      <c r="B233" s="11">
        <v>2012</v>
      </c>
      <c r="C233" s="14" t="s">
        <v>55</v>
      </c>
      <c r="D233" s="14" t="s">
        <v>54</v>
      </c>
      <c r="E233" s="3">
        <f t="shared" ref="E233:E240" si="96">(F233+G233)/((F233/H233)+(G233/I233))</f>
        <v>6.8287265665408974</v>
      </c>
      <c r="F233" s="12">
        <v>12.5625599522321</v>
      </c>
      <c r="G233" s="12">
        <v>25.77603256467593</v>
      </c>
      <c r="H233" s="12">
        <v>5.14512705321021</v>
      </c>
      <c r="I233" s="12">
        <v>8.1244017992538673</v>
      </c>
      <c r="J233" s="12">
        <v>36.985863898472907</v>
      </c>
      <c r="K233" s="12">
        <v>11.72209977909926</v>
      </c>
      <c r="L233" s="12">
        <v>41.042188512248018</v>
      </c>
      <c r="M233" s="12">
        <v>38.929945176962491</v>
      </c>
      <c r="N233" s="12">
        <v>66.47828323114264</v>
      </c>
      <c r="O233" s="12" t="s">
        <v>35</v>
      </c>
      <c r="P233" s="8">
        <v>2.0214290999999998</v>
      </c>
      <c r="S233" s="21"/>
      <c r="W233" s="14"/>
    </row>
    <row r="234" spans="1:23" ht="14.4" customHeight="1">
      <c r="A234" s="10" t="s">
        <v>28</v>
      </c>
      <c r="B234" s="11">
        <v>2013</v>
      </c>
      <c r="C234" s="14" t="s">
        <v>55</v>
      </c>
      <c r="D234" s="14" t="s">
        <v>54</v>
      </c>
      <c r="E234" s="3">
        <f t="shared" si="96"/>
        <v>7.6069090191074791</v>
      </c>
      <c r="F234" s="12">
        <v>12.26367005817866</v>
      </c>
      <c r="G234" s="12">
        <v>21.38891485400509</v>
      </c>
      <c r="H234" s="12">
        <v>6.4072602951482134</v>
      </c>
      <c r="I234" s="12">
        <v>8.5217420081214375</v>
      </c>
      <c r="J234" s="12">
        <v>38.798263669720548</v>
      </c>
      <c r="K234" s="12">
        <v>11.016674417982269</v>
      </c>
      <c r="L234" s="12">
        <v>37.136980045102668</v>
      </c>
      <c r="M234" s="12">
        <v>39.733962963651308</v>
      </c>
      <c r="N234" s="12">
        <v>64.44932826688499</v>
      </c>
      <c r="O234" s="12">
        <v>71.513476630394749</v>
      </c>
      <c r="P234" s="8">
        <v>1.9712277999999999</v>
      </c>
      <c r="S234" s="21"/>
      <c r="W234" s="14"/>
    </row>
    <row r="235" spans="1:23" ht="14.4" customHeight="1">
      <c r="A235" s="10" t="s">
        <v>28</v>
      </c>
      <c r="B235" s="11">
        <v>2014</v>
      </c>
      <c r="C235" s="14" t="s">
        <v>55</v>
      </c>
      <c r="D235" s="14" t="s">
        <v>54</v>
      </c>
      <c r="E235" s="3">
        <f t="shared" si="96"/>
        <v>6.009412891656301</v>
      </c>
      <c r="F235" s="12">
        <v>8.9375392565635963</v>
      </c>
      <c r="G235" s="12">
        <v>23.74848726349656</v>
      </c>
      <c r="H235" s="12">
        <v>3.7979585850799711</v>
      </c>
      <c r="I235" s="12">
        <v>7.6958311101573971</v>
      </c>
      <c r="J235" s="12">
        <v>36.654103354500677</v>
      </c>
      <c r="K235" s="12">
        <v>10.06968350378261</v>
      </c>
      <c r="L235" s="12">
        <v>37.477240575731152</v>
      </c>
      <c r="M235" s="12">
        <v>40.679610560097132</v>
      </c>
      <c r="N235" s="12">
        <v>70.073005775077007</v>
      </c>
      <c r="O235" s="12">
        <v>70.897635536366749</v>
      </c>
      <c r="P235" s="8">
        <v>1.7257536</v>
      </c>
      <c r="S235" s="21"/>
      <c r="W235" s="14"/>
    </row>
    <row r="236" spans="1:23" ht="14.4" customHeight="1">
      <c r="A236" s="10" t="s">
        <v>28</v>
      </c>
      <c r="B236" s="11">
        <v>2015</v>
      </c>
      <c r="C236" s="14" t="s">
        <v>55</v>
      </c>
      <c r="D236" s="14" t="s">
        <v>54</v>
      </c>
      <c r="E236" s="3">
        <f t="shared" si="96"/>
        <v>7.7651296660010427</v>
      </c>
      <c r="F236" s="12">
        <v>11.766193415196639</v>
      </c>
      <c r="G236" s="12">
        <v>28.149527845331718</v>
      </c>
      <c r="H236" s="12">
        <v>5.5892455284244553</v>
      </c>
      <c r="I236" s="12">
        <v>9.2742598538965026</v>
      </c>
      <c r="J236" s="12">
        <v>36.696354866669743</v>
      </c>
      <c r="K236" s="12">
        <v>10.049557758360599</v>
      </c>
      <c r="L236" s="12">
        <v>38.660901067132507</v>
      </c>
      <c r="M236" s="12">
        <v>41.635546160579644</v>
      </c>
      <c r="N236" s="12">
        <v>70.221954223923916</v>
      </c>
      <c r="O236" s="12">
        <v>69.808612863423946</v>
      </c>
      <c r="P236" s="8">
        <v>1.7858201</v>
      </c>
      <c r="S236" s="21"/>
      <c r="W236" s="14"/>
    </row>
    <row r="237" spans="1:23" ht="14.4" customHeight="1">
      <c r="A237" s="10" t="s">
        <v>28</v>
      </c>
      <c r="B237" s="11">
        <v>2016</v>
      </c>
      <c r="C237" s="14" t="s">
        <v>55</v>
      </c>
      <c r="D237" s="14" t="s">
        <v>54</v>
      </c>
      <c r="E237" s="3">
        <f t="shared" si="96"/>
        <v>7.4263137540765296</v>
      </c>
      <c r="F237" s="12">
        <v>8.6156236551071732</v>
      </c>
      <c r="G237" s="12">
        <v>27.596974073609829</v>
      </c>
      <c r="H237" s="12">
        <v>4.4069989505159839</v>
      </c>
      <c r="I237" s="12">
        <v>9.4469155620849179</v>
      </c>
      <c r="J237" s="12">
        <v>35.505723439054357</v>
      </c>
      <c r="K237" s="12">
        <v>10.361288526951579</v>
      </c>
      <c r="L237" s="12">
        <v>37.309934330711393</v>
      </c>
      <c r="M237" s="12">
        <v>45.445291553770957</v>
      </c>
      <c r="N237" s="12">
        <v>78.499239298672251</v>
      </c>
      <c r="O237" s="12">
        <v>69.881967762667657</v>
      </c>
      <c r="P237" s="8">
        <v>1.8059921999999999</v>
      </c>
      <c r="S237" s="21"/>
      <c r="W237" s="14"/>
    </row>
    <row r="238" spans="1:23" ht="14.4" customHeight="1">
      <c r="A238" s="10" t="s">
        <v>28</v>
      </c>
      <c r="B238" s="11">
        <v>2017</v>
      </c>
      <c r="C238" s="14" t="s">
        <v>55</v>
      </c>
      <c r="D238" s="14" t="s">
        <v>54</v>
      </c>
      <c r="E238" s="3">
        <f t="shared" si="96"/>
        <v>8.0951970792852777</v>
      </c>
      <c r="F238" s="12">
        <v>15.72337705675065</v>
      </c>
      <c r="G238" s="12">
        <v>25.502944528758011</v>
      </c>
      <c r="H238" s="12">
        <v>7.9473019921681463</v>
      </c>
      <c r="I238" s="12">
        <v>8.1891539556731754</v>
      </c>
      <c r="J238" s="12">
        <v>34.501941952343572</v>
      </c>
      <c r="K238" s="12">
        <v>9.9966722188961654</v>
      </c>
      <c r="L238" s="12">
        <v>36.110632843278758</v>
      </c>
      <c r="M238" s="12">
        <v>43.066354444322883</v>
      </c>
      <c r="N238" s="12">
        <v>79.488970852203693</v>
      </c>
      <c r="O238" s="12">
        <v>70.523085980911276</v>
      </c>
      <c r="P238" s="8">
        <v>1.7455156999999999</v>
      </c>
      <c r="S238" s="21"/>
      <c r="W238" s="14"/>
    </row>
    <row r="239" spans="1:23" ht="14.4" customHeight="1">
      <c r="A239" s="10" t="s">
        <v>28</v>
      </c>
      <c r="B239" s="11">
        <v>2018</v>
      </c>
      <c r="C239" s="14" t="s">
        <v>55</v>
      </c>
      <c r="D239" s="14" t="s">
        <v>54</v>
      </c>
      <c r="E239" s="3">
        <f t="shared" si="96"/>
        <v>8.8672581777028157</v>
      </c>
      <c r="F239" s="12">
        <v>20.941215438120821</v>
      </c>
      <c r="G239" s="12">
        <v>27.437674037043141</v>
      </c>
      <c r="H239" s="12">
        <v>10.25887177768753</v>
      </c>
      <c r="I239" s="12">
        <v>8.0353446885402331</v>
      </c>
      <c r="J239" s="12">
        <v>38.416644815413363</v>
      </c>
      <c r="K239" s="12">
        <v>11.350969077022111</v>
      </c>
      <c r="L239" s="12">
        <v>39.241109497077652</v>
      </c>
      <c r="M239" s="12">
        <v>42.148960488411348</v>
      </c>
      <c r="N239" s="12">
        <v>81.556521613631503</v>
      </c>
      <c r="O239" s="12">
        <v>72.132545303804335</v>
      </c>
      <c r="P239" s="8">
        <v>1.7593835999999998</v>
      </c>
      <c r="S239" s="21"/>
      <c r="W239" s="14"/>
    </row>
    <row r="240" spans="1:23" ht="14.4" customHeight="1">
      <c r="A240" s="10" t="s">
        <v>28</v>
      </c>
      <c r="B240" s="11">
        <v>2019</v>
      </c>
      <c r="C240" s="14" t="s">
        <v>55</v>
      </c>
      <c r="D240" s="14" t="s">
        <v>54</v>
      </c>
      <c r="E240" s="3">
        <f t="shared" si="96"/>
        <v>11.636886393400754</v>
      </c>
      <c r="F240" s="12">
        <v>21.641268201129751</v>
      </c>
      <c r="G240" s="12">
        <v>30.884198637495359</v>
      </c>
      <c r="H240" s="12">
        <v>13.17873499664128</v>
      </c>
      <c r="I240" s="12">
        <v>10.755164857339899</v>
      </c>
      <c r="J240" s="12">
        <v>50.688259101233868</v>
      </c>
      <c r="K240" s="12">
        <v>15.32048971405875</v>
      </c>
      <c r="L240" s="12">
        <v>54.62745157464699</v>
      </c>
      <c r="M240" s="12">
        <v>44.502585935780431</v>
      </c>
      <c r="N240" s="12">
        <v>79.791846631581322</v>
      </c>
      <c r="O240" s="12">
        <v>78.721160250542539</v>
      </c>
      <c r="P240" s="8">
        <v>1.7778064999999998</v>
      </c>
      <c r="S240" s="21"/>
      <c r="W240" s="14"/>
    </row>
    <row r="241" spans="1:23" ht="14.4" customHeight="1">
      <c r="A241" s="10" t="s">
        <v>28</v>
      </c>
      <c r="B241" s="11">
        <v>2020</v>
      </c>
      <c r="C241" s="14" t="s">
        <v>55</v>
      </c>
      <c r="D241" s="14" t="s">
        <v>54</v>
      </c>
      <c r="E241" s="3">
        <f t="shared" ref="E241:E276" si="97">(F241+G241)/((F241/H241)+(G241/I241))</f>
        <v>9.9133186566368856</v>
      </c>
      <c r="F241" s="12">
        <v>18.336797156753999</v>
      </c>
      <c r="G241" s="12">
        <v>32.281378892798962</v>
      </c>
      <c r="H241" s="12">
        <v>10.03692773658986</v>
      </c>
      <c r="I241" s="12">
        <v>9.8444514446551974</v>
      </c>
      <c r="J241" s="12">
        <v>52.090962583186872</v>
      </c>
      <c r="K241" s="12">
        <v>10.597369896301711</v>
      </c>
      <c r="L241" s="12">
        <v>48.495588222920929</v>
      </c>
      <c r="M241" s="12">
        <v>46.426168656942373</v>
      </c>
      <c r="N241" s="12">
        <v>62.485845116877151</v>
      </c>
      <c r="O241" s="12" t="s">
        <v>35</v>
      </c>
      <c r="P241" s="8">
        <v>1.715293</v>
      </c>
      <c r="S241" s="21"/>
      <c r="W241" s="14"/>
    </row>
    <row r="242" spans="1:23" ht="14.4" customHeight="1">
      <c r="A242" s="10" t="s">
        <v>28</v>
      </c>
      <c r="B242" s="11">
        <v>2021</v>
      </c>
      <c r="C242" s="14" t="s">
        <v>55</v>
      </c>
      <c r="D242" s="14" t="s">
        <v>54</v>
      </c>
      <c r="E242" s="3">
        <f t="shared" si="97"/>
        <v>9.2334373086700978</v>
      </c>
      <c r="F242" s="12">
        <v>14.38789220857158</v>
      </c>
      <c r="G242" s="12">
        <v>23.759089155072871</v>
      </c>
      <c r="H242" s="12">
        <v>9.7952746605816792</v>
      </c>
      <c r="I242" s="12">
        <v>8.9234843095655147</v>
      </c>
      <c r="J242" s="12">
        <v>49.900506462798113</v>
      </c>
      <c r="K242" s="12">
        <v>15.006376721967181</v>
      </c>
      <c r="L242" s="12">
        <v>55.059165228916839</v>
      </c>
      <c r="M242" s="12">
        <v>44.049724066043382</v>
      </c>
      <c r="N242" s="12">
        <v>79.607310106623842</v>
      </c>
      <c r="O242" s="12" t="s">
        <v>35</v>
      </c>
      <c r="P242" s="8">
        <v>1.6807618</v>
      </c>
      <c r="S242" s="21"/>
      <c r="W242" s="14"/>
    </row>
    <row r="243" spans="1:23" ht="14.4" customHeight="1">
      <c r="A243" s="10" t="s">
        <v>28</v>
      </c>
      <c r="B243" s="11">
        <v>2022</v>
      </c>
      <c r="C243" s="14" t="s">
        <v>55</v>
      </c>
      <c r="D243" s="14" t="s">
        <v>54</v>
      </c>
      <c r="E243" s="3">
        <f t="shared" si="97"/>
        <v>12.204268686466989</v>
      </c>
      <c r="F243" s="12">
        <v>22.591380436994651</v>
      </c>
      <c r="G243" s="12">
        <v>26.97326090896836</v>
      </c>
      <c r="H243" s="12">
        <v>15.548220346260351</v>
      </c>
      <c r="I243" s="12">
        <v>10.34145192470478</v>
      </c>
      <c r="J243" s="12">
        <v>49.415585870057043</v>
      </c>
      <c r="K243" s="12">
        <v>15.97974157300836</v>
      </c>
      <c r="L243" s="12">
        <v>53.800714965802129</v>
      </c>
      <c r="M243" s="12">
        <v>45.483696665284157</v>
      </c>
      <c r="N243" s="12">
        <v>76.723393127744828</v>
      </c>
      <c r="O243" s="12" t="s">
        <v>35</v>
      </c>
      <c r="P243" s="8">
        <v>1.6240804</v>
      </c>
      <c r="S243" s="21"/>
      <c r="W243" s="14"/>
    </row>
    <row r="244" spans="1:23" ht="14.4" customHeight="1">
      <c r="A244" s="10" t="s">
        <v>29</v>
      </c>
      <c r="B244" s="11">
        <v>2012</v>
      </c>
      <c r="C244" s="14" t="s">
        <v>55</v>
      </c>
      <c r="D244" s="14" t="s">
        <v>54</v>
      </c>
      <c r="E244" s="3">
        <f t="shared" si="97"/>
        <v>4.0838542003549332</v>
      </c>
      <c r="F244" s="12">
        <v>6.3902055125352657</v>
      </c>
      <c r="G244" s="12">
        <v>17.0253079107862</v>
      </c>
      <c r="H244" s="12">
        <v>2.8623985723729271</v>
      </c>
      <c r="I244" s="12">
        <v>4.862685978523074</v>
      </c>
      <c r="J244" s="12">
        <v>37.337810194130917</v>
      </c>
      <c r="K244" s="12">
        <v>8.3121386045824686</v>
      </c>
      <c r="L244" s="12">
        <v>32.342881850368187</v>
      </c>
      <c r="M244" s="12">
        <v>32.191604375343779</v>
      </c>
      <c r="N244" s="12">
        <v>35.670497306037788</v>
      </c>
      <c r="O244" s="12">
        <v>63.463233769764841</v>
      </c>
      <c r="P244" s="8">
        <v>1.8492675999999999</v>
      </c>
      <c r="S244" s="21"/>
      <c r="W244" s="14"/>
    </row>
    <row r="245" spans="1:23" ht="14.4" customHeight="1">
      <c r="A245" s="10" t="s">
        <v>29</v>
      </c>
      <c r="B245" s="11">
        <v>2013</v>
      </c>
      <c r="C245" s="14" t="s">
        <v>55</v>
      </c>
      <c r="D245" s="14" t="s">
        <v>54</v>
      </c>
      <c r="E245" s="3">
        <f t="shared" si="97"/>
        <v>6.5413948441382583</v>
      </c>
      <c r="F245" s="12">
        <v>4.2383475200611889</v>
      </c>
      <c r="G245" s="12">
        <v>22.937253042343379</v>
      </c>
      <c r="H245" s="12">
        <v>2.6185108482509278</v>
      </c>
      <c r="I245" s="12">
        <v>9.0453904643166361</v>
      </c>
      <c r="J245" s="12">
        <v>44.721887895029873</v>
      </c>
      <c r="K245" s="12">
        <v>11.31332068084699</v>
      </c>
      <c r="L245" s="12">
        <v>30.01318369291273</v>
      </c>
      <c r="M245" s="12">
        <v>35.465654979909132</v>
      </c>
      <c r="N245" s="12">
        <v>41.515307791351759</v>
      </c>
      <c r="O245" s="12">
        <v>64.955901505586382</v>
      </c>
      <c r="P245" s="8">
        <v>1.7970842999999999</v>
      </c>
      <c r="S245" s="21"/>
      <c r="W245" s="14"/>
    </row>
    <row r="246" spans="1:23" ht="14.4" customHeight="1">
      <c r="A246" s="10" t="s">
        <v>29</v>
      </c>
      <c r="B246" s="11">
        <v>2014</v>
      </c>
      <c r="C246" s="14" t="s">
        <v>55</v>
      </c>
      <c r="D246" s="14" t="s">
        <v>54</v>
      </c>
      <c r="E246" s="3">
        <f t="shared" si="97"/>
        <v>5.2467377873040286</v>
      </c>
      <c r="F246" s="12">
        <v>6.1916927170468119</v>
      </c>
      <c r="G246" s="12">
        <v>18.91836848461589</v>
      </c>
      <c r="H246" s="12">
        <v>3.3608573971360411</v>
      </c>
      <c r="I246" s="12">
        <v>6.4270651530655307</v>
      </c>
      <c r="J246" s="12">
        <v>41.585285890808457</v>
      </c>
      <c r="K246" s="12">
        <v>8.8236128222985233</v>
      </c>
      <c r="L246" s="12">
        <v>28.63840234798916</v>
      </c>
      <c r="M246" s="12">
        <v>33.982849766680609</v>
      </c>
      <c r="N246" s="12">
        <v>43.671193232013181</v>
      </c>
      <c r="O246" s="12">
        <v>65.812289283329392</v>
      </c>
      <c r="P246" s="8">
        <v>1.9141281999999999</v>
      </c>
      <c r="S246" s="21"/>
      <c r="W246" s="14"/>
    </row>
    <row r="247" spans="1:23" ht="14.4" customHeight="1">
      <c r="A247" s="10" t="s">
        <v>29</v>
      </c>
      <c r="B247" s="11">
        <v>2015</v>
      </c>
      <c r="C247" s="14" t="s">
        <v>55</v>
      </c>
      <c r="D247" s="14" t="s">
        <v>54</v>
      </c>
      <c r="E247" s="3">
        <f t="shared" si="97"/>
        <v>6.6652430687190245</v>
      </c>
      <c r="F247" s="12">
        <v>5.5334178844479647</v>
      </c>
      <c r="G247" s="12">
        <v>25.651791251944879</v>
      </c>
      <c r="H247" s="12">
        <v>3.135682075946419</v>
      </c>
      <c r="I247" s="12">
        <v>8.8025892987898846</v>
      </c>
      <c r="J247" s="12">
        <v>43.995155743898259</v>
      </c>
      <c r="K247" s="12">
        <v>9.5307812884180763</v>
      </c>
      <c r="L247" s="12">
        <v>28.995113397840019</v>
      </c>
      <c r="M247" s="12">
        <v>37.033194616571961</v>
      </c>
      <c r="N247" s="12">
        <v>41.790931555378677</v>
      </c>
      <c r="O247" s="12">
        <v>66.511958888976281</v>
      </c>
      <c r="P247" s="8">
        <v>1.7962761999999999</v>
      </c>
      <c r="S247" s="21"/>
      <c r="W247" s="14"/>
    </row>
    <row r="248" spans="1:23" ht="14.4" customHeight="1">
      <c r="A248" s="10" t="s">
        <v>29</v>
      </c>
      <c r="B248" s="11">
        <v>2016</v>
      </c>
      <c r="C248" s="14" t="s">
        <v>55</v>
      </c>
      <c r="D248" s="14" t="s">
        <v>54</v>
      </c>
      <c r="E248" s="3">
        <f t="shared" si="97"/>
        <v>6.3693811655727748</v>
      </c>
      <c r="F248" s="12">
        <v>5.2165736159492386</v>
      </c>
      <c r="G248" s="12">
        <v>21.249281360330279</v>
      </c>
      <c r="H248" s="12">
        <v>3.3609897264143318</v>
      </c>
      <c r="I248" s="12">
        <v>8.1631476463140551</v>
      </c>
      <c r="J248" s="12">
        <v>43.254966392037737</v>
      </c>
      <c r="K248" s="12">
        <v>10.8825519301373</v>
      </c>
      <c r="L248" s="12">
        <v>31.289520032241189</v>
      </c>
      <c r="M248" s="12">
        <v>36.092334352758193</v>
      </c>
      <c r="N248" s="12">
        <v>41.417785724378518</v>
      </c>
      <c r="O248" s="12">
        <v>66.001736574865859</v>
      </c>
      <c r="P248" s="8">
        <v>1.9192621999999999</v>
      </c>
      <c r="S248" s="21"/>
      <c r="W248" s="14"/>
    </row>
    <row r="249" spans="1:23" ht="14.4" customHeight="1">
      <c r="A249" s="10" t="s">
        <v>29</v>
      </c>
      <c r="B249" s="11">
        <v>2017</v>
      </c>
      <c r="C249" s="14" t="s">
        <v>55</v>
      </c>
      <c r="D249" s="14" t="s">
        <v>54</v>
      </c>
      <c r="E249" s="3">
        <f t="shared" si="97"/>
        <v>7.6360448528738756</v>
      </c>
      <c r="F249" s="12">
        <v>4.5433367366480217</v>
      </c>
      <c r="G249" s="12">
        <v>26.359608233201609</v>
      </c>
      <c r="H249" s="12">
        <v>2.9944983919410428</v>
      </c>
      <c r="I249" s="12">
        <v>10.41982574110034</v>
      </c>
      <c r="J249" s="12">
        <v>42.093840159464492</v>
      </c>
      <c r="K249" s="12">
        <v>12.25824212068893</v>
      </c>
      <c r="L249" s="12">
        <v>33.856959280961782</v>
      </c>
      <c r="M249" s="12">
        <v>35.227668966066872</v>
      </c>
      <c r="N249" s="12">
        <v>47.162101304053287</v>
      </c>
      <c r="O249" s="12">
        <v>73.204234110230345</v>
      </c>
      <c r="P249" s="8">
        <v>1.9074994999999999</v>
      </c>
      <c r="S249" s="21"/>
      <c r="W249" s="14"/>
    </row>
    <row r="250" spans="1:23" ht="14.4" customHeight="1">
      <c r="A250" s="10" t="s">
        <v>29</v>
      </c>
      <c r="B250" s="11">
        <v>2018</v>
      </c>
      <c r="C250" s="14" t="s">
        <v>55</v>
      </c>
      <c r="D250" s="14" t="s">
        <v>54</v>
      </c>
      <c r="E250" s="3">
        <f t="shared" si="97"/>
        <v>7.3878139371361646</v>
      </c>
      <c r="F250" s="12">
        <v>3.790579366306055</v>
      </c>
      <c r="G250" s="12">
        <v>30.57215394306478</v>
      </c>
      <c r="H250" s="12">
        <v>2.1737740373422798</v>
      </c>
      <c r="I250" s="12">
        <v>10.514949417988939</v>
      </c>
      <c r="J250" s="12">
        <v>36.260624545490813</v>
      </c>
      <c r="K250" s="12">
        <v>9.8035229774913226</v>
      </c>
      <c r="L250" s="12">
        <v>28.418212576573399</v>
      </c>
      <c r="M250" s="12">
        <v>41.110920552247542</v>
      </c>
      <c r="N250" s="12">
        <v>45.48283343879487</v>
      </c>
      <c r="O250" s="12">
        <v>69.709924077216399</v>
      </c>
      <c r="P250" s="8">
        <v>1.8048586999999998</v>
      </c>
      <c r="S250" s="21"/>
      <c r="W250" s="14"/>
    </row>
    <row r="251" spans="1:23" ht="14.4" customHeight="1">
      <c r="A251" s="10" t="s">
        <v>29</v>
      </c>
      <c r="B251" s="11">
        <v>2019</v>
      </c>
      <c r="C251" s="14" t="s">
        <v>55</v>
      </c>
      <c r="D251" s="14" t="s">
        <v>54</v>
      </c>
      <c r="E251" s="3">
        <f t="shared" si="97"/>
        <v>11.299977201307868</v>
      </c>
      <c r="F251" s="12">
        <v>15.303451544019589</v>
      </c>
      <c r="G251" s="12">
        <v>23.993617292590429</v>
      </c>
      <c r="H251" s="12">
        <v>12.11680942251315</v>
      </c>
      <c r="I251" s="12">
        <v>10.83414151759154</v>
      </c>
      <c r="J251" s="12">
        <v>49.145198732507012</v>
      </c>
      <c r="K251" s="12">
        <v>15.0635701912813</v>
      </c>
      <c r="L251" s="12">
        <v>54.711316899117492</v>
      </c>
      <c r="M251" s="12">
        <v>27.16198766843009</v>
      </c>
      <c r="N251" s="12">
        <v>40.66291802079202</v>
      </c>
      <c r="O251" s="12">
        <v>76.184336160412386</v>
      </c>
      <c r="P251" s="8">
        <v>1.7671209999999999</v>
      </c>
      <c r="S251" s="21"/>
      <c r="W251" s="14"/>
    </row>
    <row r="252" spans="1:23" ht="14.4" customHeight="1">
      <c r="A252" s="10" t="s">
        <v>29</v>
      </c>
      <c r="B252" s="11">
        <v>2020</v>
      </c>
      <c r="C252" s="14" t="s">
        <v>55</v>
      </c>
      <c r="D252" s="14" t="s">
        <v>54</v>
      </c>
      <c r="E252" s="3">
        <f t="shared" si="97"/>
        <v>7.2177320582743372</v>
      </c>
      <c r="F252" s="12">
        <v>8.02933369683557</v>
      </c>
      <c r="G252" s="12">
        <v>18.514792889345539</v>
      </c>
      <c r="H252" s="12">
        <v>6.0116446073811023</v>
      </c>
      <c r="I252" s="12">
        <v>7.9055582209698789</v>
      </c>
      <c r="J252" s="12">
        <v>44.522369779223467</v>
      </c>
      <c r="K252" s="12">
        <v>10.1087579975453</v>
      </c>
      <c r="L252" s="12">
        <v>44.582877977287957</v>
      </c>
      <c r="M252" s="12">
        <v>45.462918013289148</v>
      </c>
      <c r="N252" s="12">
        <v>26.721836369002101</v>
      </c>
      <c r="O252" s="12">
        <v>71.923703071752314</v>
      </c>
      <c r="P252" s="8">
        <v>1.6431817</v>
      </c>
      <c r="S252" s="21"/>
      <c r="W252" s="14"/>
    </row>
    <row r="253" spans="1:23" ht="14.4" customHeight="1">
      <c r="A253" s="10" t="s">
        <v>29</v>
      </c>
      <c r="B253" s="11">
        <v>2021</v>
      </c>
      <c r="C253" s="14" t="s">
        <v>55</v>
      </c>
      <c r="D253" s="14" t="s">
        <v>54</v>
      </c>
      <c r="E253" s="3">
        <f t="shared" si="97"/>
        <v>8.8531126636090072</v>
      </c>
      <c r="F253" s="12">
        <v>9.9713912027477267</v>
      </c>
      <c r="G253" s="12">
        <v>20.358137325073859</v>
      </c>
      <c r="H253" s="12">
        <v>8.1502771842329409</v>
      </c>
      <c r="I253" s="12">
        <v>9.2435372969618737</v>
      </c>
      <c r="J253" s="12">
        <v>49.568087961171777</v>
      </c>
      <c r="K253" s="12">
        <v>18.37997323956435</v>
      </c>
      <c r="L253" s="12">
        <v>54.723574146773949</v>
      </c>
      <c r="M253" s="12">
        <v>38.174702719965069</v>
      </c>
      <c r="N253" s="12">
        <v>54.707645668252361</v>
      </c>
      <c r="O253" s="12">
        <v>75.793636383680337</v>
      </c>
      <c r="P253" s="8">
        <v>1.7598954</v>
      </c>
      <c r="S253" s="21"/>
      <c r="W253" s="14"/>
    </row>
    <row r="254" spans="1:23" ht="14.4" customHeight="1">
      <c r="A254" s="10" t="s">
        <v>29</v>
      </c>
      <c r="B254" s="11">
        <v>2022</v>
      </c>
      <c r="C254" s="14" t="s">
        <v>55</v>
      </c>
      <c r="D254" s="14" t="s">
        <v>54</v>
      </c>
      <c r="E254" s="3">
        <f t="shared" si="97"/>
        <v>6.5667861056190135</v>
      </c>
      <c r="F254" s="12">
        <v>10.399756531847</v>
      </c>
      <c r="G254" s="12">
        <v>19.510300507838181</v>
      </c>
      <c r="H254" s="12">
        <v>6.3935948235767297</v>
      </c>
      <c r="I254" s="12">
        <v>6.6629937398140786</v>
      </c>
      <c r="J254" s="12">
        <v>47.559664502799542</v>
      </c>
      <c r="K254" s="12">
        <v>14.23285058360417</v>
      </c>
      <c r="L254" s="12">
        <v>52.077974071847777</v>
      </c>
      <c r="M254" s="12">
        <v>41.875476934923363</v>
      </c>
      <c r="N254" s="12">
        <v>46.947450475122757</v>
      </c>
      <c r="O254" s="12">
        <v>74.067156616379052</v>
      </c>
      <c r="P254" s="8">
        <v>1.7620013999999999</v>
      </c>
      <c r="S254" s="21"/>
      <c r="W254" s="14"/>
    </row>
    <row r="255" spans="1:23" ht="14.4" customHeight="1">
      <c r="A255" s="10" t="s">
        <v>30</v>
      </c>
      <c r="B255" s="11">
        <v>2012</v>
      </c>
      <c r="C255" s="14" t="s">
        <v>59</v>
      </c>
      <c r="D255" s="14" t="s">
        <v>54</v>
      </c>
      <c r="E255" s="3">
        <f t="shared" si="97"/>
        <v>9.4489598144159501</v>
      </c>
      <c r="F255" s="12">
        <v>10.601700753017271</v>
      </c>
      <c r="G255" s="12">
        <v>35.9338651302172</v>
      </c>
      <c r="H255" s="12">
        <v>5.7740905304973991</v>
      </c>
      <c r="I255" s="12">
        <v>11.633377822316721</v>
      </c>
      <c r="J255" s="12">
        <v>26.375968385215131</v>
      </c>
      <c r="K255" s="12">
        <v>26.84588297753389</v>
      </c>
      <c r="L255" s="12">
        <v>31.311295253101449</v>
      </c>
      <c r="M255" s="12">
        <v>40.782392920296402</v>
      </c>
      <c r="N255" s="12">
        <v>38.546673899053687</v>
      </c>
      <c r="O255" s="12">
        <v>62.846024238421343</v>
      </c>
      <c r="P255" s="8">
        <v>1.2319344999999999</v>
      </c>
      <c r="S255" s="21"/>
      <c r="W255" s="14"/>
    </row>
    <row r="256" spans="1:23" ht="14.4" customHeight="1">
      <c r="A256" s="10" t="s">
        <v>30</v>
      </c>
      <c r="B256" s="11">
        <v>2013</v>
      </c>
      <c r="C256" s="14" t="s">
        <v>59</v>
      </c>
      <c r="D256" s="14" t="s">
        <v>54</v>
      </c>
      <c r="E256" s="3">
        <f t="shared" si="97"/>
        <v>10.6560033890149</v>
      </c>
      <c r="F256" s="12">
        <v>11.65105908175885</v>
      </c>
      <c r="G256" s="12">
        <v>36.007131756826929</v>
      </c>
      <c r="H256" s="12">
        <v>6.8816782526997784</v>
      </c>
      <c r="I256" s="12">
        <v>12.95513456687126</v>
      </c>
      <c r="J256" s="12">
        <v>27.220105748568219</v>
      </c>
      <c r="K256" s="12">
        <v>29.132795450391171</v>
      </c>
      <c r="L256" s="12">
        <v>35.258904043537157</v>
      </c>
      <c r="M256" s="12">
        <v>41.229989773785867</v>
      </c>
      <c r="N256" s="12">
        <v>42.031884175809402</v>
      </c>
      <c r="O256" s="12">
        <v>64.453768213126352</v>
      </c>
      <c r="P256" s="8">
        <v>1.1881192999999999</v>
      </c>
      <c r="S256" s="21"/>
      <c r="W256" s="14"/>
    </row>
    <row r="257" spans="1:23" ht="14.4" customHeight="1">
      <c r="A257" s="10" t="s">
        <v>30</v>
      </c>
      <c r="B257" s="11">
        <v>2014</v>
      </c>
      <c r="C257" s="14" t="s">
        <v>59</v>
      </c>
      <c r="D257" s="14" t="s">
        <v>54</v>
      </c>
      <c r="E257" s="3">
        <f t="shared" si="97"/>
        <v>10.849120891699826</v>
      </c>
      <c r="F257" s="12">
        <v>11.982710131825071</v>
      </c>
      <c r="G257" s="12">
        <v>33.782851017704687</v>
      </c>
      <c r="H257" s="12">
        <v>7.5050664497975452</v>
      </c>
      <c r="I257" s="12">
        <v>12.885612473220061</v>
      </c>
      <c r="J257" s="12">
        <v>28.995752043363009</v>
      </c>
      <c r="K257" s="12">
        <v>28.094873262266379</v>
      </c>
      <c r="L257" s="12">
        <v>35.967314564951138</v>
      </c>
      <c r="M257" s="12">
        <v>40.011474174520693</v>
      </c>
      <c r="N257" s="12">
        <v>33.468356261099373</v>
      </c>
      <c r="O257" s="12">
        <v>62.573535279798328</v>
      </c>
      <c r="P257" s="8">
        <v>1.2541708</v>
      </c>
      <c r="S257" s="21"/>
      <c r="W257" s="14"/>
    </row>
    <row r="258" spans="1:23" ht="14.4" customHeight="1">
      <c r="A258" s="10" t="s">
        <v>30</v>
      </c>
      <c r="B258" s="11">
        <v>2015</v>
      </c>
      <c r="C258" s="14" t="s">
        <v>59</v>
      </c>
      <c r="D258" s="14" t="s">
        <v>54</v>
      </c>
      <c r="E258" s="3">
        <f t="shared" si="97"/>
        <v>11.249033765877034</v>
      </c>
      <c r="F258" s="12">
        <v>18.69844033887124</v>
      </c>
      <c r="G258" s="12">
        <v>35.358709301904888</v>
      </c>
      <c r="H258" s="12">
        <v>10.06562868106918</v>
      </c>
      <c r="I258" s="12">
        <v>11.994784985749179</v>
      </c>
      <c r="J258" s="12">
        <v>25.429190336331359</v>
      </c>
      <c r="K258" s="12">
        <v>27.487736728629489</v>
      </c>
      <c r="L258" s="12">
        <v>35.338131686117428</v>
      </c>
      <c r="M258" s="12">
        <v>40.932962385197683</v>
      </c>
      <c r="N258" s="12">
        <v>30.217095783157909</v>
      </c>
      <c r="O258" s="12">
        <v>62.653740629805732</v>
      </c>
      <c r="P258" s="8">
        <v>1.3226419</v>
      </c>
      <c r="S258" s="21"/>
      <c r="W258" s="14"/>
    </row>
    <row r="259" spans="1:23" ht="14.4" customHeight="1">
      <c r="A259" s="10" t="s">
        <v>30</v>
      </c>
      <c r="B259" s="11">
        <v>2016</v>
      </c>
      <c r="C259" s="14" t="s">
        <v>59</v>
      </c>
      <c r="D259" s="14" t="s">
        <v>54</v>
      </c>
      <c r="E259" s="3">
        <f t="shared" si="97"/>
        <v>9.6109809153096695</v>
      </c>
      <c r="F259" s="12">
        <v>7.1680448276810136</v>
      </c>
      <c r="G259" s="12">
        <v>33.216286944920618</v>
      </c>
      <c r="H259" s="12">
        <v>4.4213038195623424</v>
      </c>
      <c r="I259" s="12">
        <v>12.871319232643041</v>
      </c>
      <c r="J259" s="12">
        <v>25.24073372389471</v>
      </c>
      <c r="K259" s="12">
        <v>28.324512411030419</v>
      </c>
      <c r="L259" s="12">
        <v>36.513495835288523</v>
      </c>
      <c r="M259" s="12">
        <v>41.780278012402157</v>
      </c>
      <c r="N259" s="12">
        <v>26.45719995635412</v>
      </c>
      <c r="O259" s="12">
        <v>62.176322021903253</v>
      </c>
      <c r="P259" s="8">
        <v>1.2847005999999999</v>
      </c>
      <c r="S259" s="21"/>
      <c r="W259" s="14"/>
    </row>
    <row r="260" spans="1:23" ht="14.4" customHeight="1">
      <c r="A260" s="10" t="s">
        <v>30</v>
      </c>
      <c r="B260" s="11">
        <v>2017</v>
      </c>
      <c r="C260" s="14" t="s">
        <v>59</v>
      </c>
      <c r="D260" s="14" t="s">
        <v>54</v>
      </c>
      <c r="E260" s="3">
        <f t="shared" si="97"/>
        <v>11.846239694682405</v>
      </c>
      <c r="F260" s="12">
        <v>13.508573066845759</v>
      </c>
      <c r="G260" s="12">
        <v>33.221291043607337</v>
      </c>
      <c r="H260" s="12">
        <v>8.7137048828199912</v>
      </c>
      <c r="I260" s="12">
        <v>13.87438885131769</v>
      </c>
      <c r="J260" s="12">
        <v>25.888722182622772</v>
      </c>
      <c r="K260" s="12">
        <v>29.538221165893439</v>
      </c>
      <c r="L260" s="12">
        <v>41.02357875564374</v>
      </c>
      <c r="M260" s="12">
        <v>42.241976256794104</v>
      </c>
      <c r="N260" s="12">
        <v>26.574824199782078</v>
      </c>
      <c r="O260" s="12">
        <v>60.131889940052652</v>
      </c>
      <c r="P260" s="8">
        <v>1.2754467</v>
      </c>
      <c r="S260" s="21"/>
      <c r="W260" s="14"/>
    </row>
    <row r="261" spans="1:23" ht="14.4" customHeight="1">
      <c r="A261" s="10" t="s">
        <v>30</v>
      </c>
      <c r="B261" s="11">
        <v>2018</v>
      </c>
      <c r="C261" s="14" t="s">
        <v>59</v>
      </c>
      <c r="D261" s="14" t="s">
        <v>54</v>
      </c>
      <c r="E261" s="3">
        <f t="shared" si="97"/>
        <v>14.507723652476516</v>
      </c>
      <c r="F261" s="12">
        <v>14.849723839323721</v>
      </c>
      <c r="G261" s="12">
        <v>35.863787785593708</v>
      </c>
      <c r="H261" s="12">
        <v>10.79045105487206</v>
      </c>
      <c r="I261" s="12">
        <v>16.921427804950589</v>
      </c>
      <c r="J261" s="12">
        <v>28.179002912882389</v>
      </c>
      <c r="K261" s="12">
        <v>27.374341206390849</v>
      </c>
      <c r="L261" s="12">
        <v>41.029143203617807</v>
      </c>
      <c r="M261" s="12">
        <v>44.316896222858219</v>
      </c>
      <c r="N261" s="12">
        <v>26.737246213014711</v>
      </c>
      <c r="O261" s="12">
        <v>76.43502534700761</v>
      </c>
      <c r="P261" s="8">
        <v>1.2548778</v>
      </c>
      <c r="S261" s="21"/>
      <c r="W261" s="14"/>
    </row>
    <row r="262" spans="1:23" ht="14.4" customHeight="1">
      <c r="A262" s="10" t="s">
        <v>30</v>
      </c>
      <c r="B262" s="11">
        <v>2019</v>
      </c>
      <c r="C262" s="14" t="s">
        <v>59</v>
      </c>
      <c r="D262" s="14" t="s">
        <v>54</v>
      </c>
      <c r="E262" s="3">
        <f t="shared" si="97"/>
        <v>9.5284843089412519</v>
      </c>
      <c r="F262" s="12">
        <v>9.7458085302514945</v>
      </c>
      <c r="G262" s="12">
        <v>27.658718144760119</v>
      </c>
      <c r="H262" s="12">
        <v>6.2532222517747398</v>
      </c>
      <c r="I262" s="12">
        <v>11.685025026603739</v>
      </c>
      <c r="J262" s="12">
        <v>41.9726923343705</v>
      </c>
      <c r="K262" s="12">
        <v>16.819054940381491</v>
      </c>
      <c r="L262" s="12">
        <v>35.567515301744322</v>
      </c>
      <c r="M262" s="12">
        <v>36.10638396801459</v>
      </c>
      <c r="N262" s="12">
        <v>41.162031069114498</v>
      </c>
      <c r="O262" s="12">
        <v>61.062808160569169</v>
      </c>
      <c r="P262" s="8">
        <v>1.3021531</v>
      </c>
      <c r="S262" s="21"/>
      <c r="W262" s="14"/>
    </row>
    <row r="263" spans="1:23" ht="14.4" customHeight="1">
      <c r="A263" s="10" t="s">
        <v>30</v>
      </c>
      <c r="B263" s="11">
        <v>2020</v>
      </c>
      <c r="C263" s="14" t="s">
        <v>59</v>
      </c>
      <c r="D263" s="14" t="s">
        <v>54</v>
      </c>
      <c r="E263" s="3">
        <f t="shared" si="97"/>
        <v>9.0530187398153039</v>
      </c>
      <c r="F263" s="12">
        <v>9.7128916023232517</v>
      </c>
      <c r="G263" s="12">
        <v>25.022142443155829</v>
      </c>
      <c r="H263" s="12">
        <v>6.4384668287305091</v>
      </c>
      <c r="I263" s="12">
        <v>10.747081051138711</v>
      </c>
      <c r="J263" s="12">
        <v>44.806224194975321</v>
      </c>
      <c r="K263" s="12">
        <v>17.367950514236959</v>
      </c>
      <c r="L263" s="12">
        <v>32.329407406520779</v>
      </c>
      <c r="M263" s="12">
        <v>42.040800856259231</v>
      </c>
      <c r="N263" s="12">
        <v>39.2530296332367</v>
      </c>
      <c r="O263" s="12">
        <v>60.399961592618823</v>
      </c>
      <c r="P263" s="8">
        <v>1.2702715</v>
      </c>
      <c r="S263" s="21"/>
      <c r="W263" s="14"/>
    </row>
    <row r="264" spans="1:23" ht="14.4" customHeight="1">
      <c r="A264" s="23" t="s">
        <v>30</v>
      </c>
      <c r="B264" s="24">
        <v>2021</v>
      </c>
      <c r="C264" s="25" t="s">
        <v>59</v>
      </c>
      <c r="D264" s="25" t="s">
        <v>54</v>
      </c>
      <c r="E264" s="26">
        <f t="shared" si="97"/>
        <v>8.3269433037622544</v>
      </c>
      <c r="F264" s="27">
        <f>AVERAGE(F263,F265)</f>
        <v>9.4883098965993611</v>
      </c>
      <c r="G264" s="27">
        <f t="shared" ref="G264" si="98">AVERAGE(G263,G265)</f>
        <v>29.500094688318125</v>
      </c>
      <c r="H264" s="27">
        <f t="shared" ref="H264" si="99">AVERAGE(H263,H265)</f>
        <v>5.3920925906899448</v>
      </c>
      <c r="I264" s="27">
        <f t="shared" ref="I264" si="100">AVERAGE(I263,I265)</f>
        <v>10.094034234066882</v>
      </c>
      <c r="J264" s="27">
        <f t="shared" ref="J264" si="101">AVERAGE(J263,J265)</f>
        <v>42.371531561651238</v>
      </c>
      <c r="K264" s="27">
        <f t="shared" ref="K264" si="102">AVERAGE(K263,K265)</f>
        <v>17.094921768786527</v>
      </c>
      <c r="L264" s="27">
        <f t="shared" ref="L264" si="103">AVERAGE(L263,L265)</f>
        <v>30.647114939281721</v>
      </c>
      <c r="M264" s="27">
        <f t="shared" ref="M264" si="104">AVERAGE(M263,M265)</f>
        <v>43.289983855113682</v>
      </c>
      <c r="N264" s="27">
        <f t="shared" ref="N264" si="105">AVERAGE(N263,N265)</f>
        <v>43.032617349119747</v>
      </c>
      <c r="O264" s="27">
        <f t="shared" ref="O264" si="106">AVERAGE(O263,O265)</f>
        <v>59.18494806657273</v>
      </c>
      <c r="P264" s="28">
        <v>1.3411035999999998</v>
      </c>
      <c r="S264" s="21"/>
      <c r="W264" s="14"/>
    </row>
    <row r="265" spans="1:23" ht="14.4" customHeight="1">
      <c r="A265" s="10" t="s">
        <v>30</v>
      </c>
      <c r="B265" s="11">
        <v>2022</v>
      </c>
      <c r="C265" s="14" t="s">
        <v>59</v>
      </c>
      <c r="D265" s="14" t="s">
        <v>54</v>
      </c>
      <c r="E265" s="3">
        <f t="shared" si="97"/>
        <v>7.5456571264562395</v>
      </c>
      <c r="F265" s="12">
        <v>9.2637281908754723</v>
      </c>
      <c r="G265" s="12">
        <v>33.978046933480421</v>
      </c>
      <c r="H265" s="12">
        <v>4.3457183526493814</v>
      </c>
      <c r="I265" s="12">
        <v>9.4409874169950552</v>
      </c>
      <c r="J265" s="12">
        <v>39.936838928327163</v>
      </c>
      <c r="K265" s="12">
        <v>16.821893023336091</v>
      </c>
      <c r="L265" s="12">
        <v>28.964822472042659</v>
      </c>
      <c r="M265" s="12">
        <v>44.539166853968133</v>
      </c>
      <c r="N265" s="12">
        <v>46.812205065002793</v>
      </c>
      <c r="O265" s="12">
        <v>57.969934540526637</v>
      </c>
      <c r="P265" s="8">
        <v>1.2984028999999999</v>
      </c>
      <c r="S265" s="21"/>
      <c r="W265" s="14"/>
    </row>
    <row r="266" spans="1:23" ht="14.4" customHeight="1">
      <c r="A266" s="10" t="s">
        <v>32</v>
      </c>
      <c r="B266" s="11">
        <v>2012</v>
      </c>
      <c r="C266" s="14" t="s">
        <v>55</v>
      </c>
      <c r="D266" s="14" t="s">
        <v>54</v>
      </c>
      <c r="E266" s="3">
        <f t="shared" si="97"/>
        <v>8.9515137604653052</v>
      </c>
      <c r="F266" s="12">
        <v>13.48272718897582</v>
      </c>
      <c r="G266" s="12">
        <v>24.01017115226518</v>
      </c>
      <c r="H266" s="12">
        <v>7.099601424653895</v>
      </c>
      <c r="I266" s="12">
        <v>10.487722102173469</v>
      </c>
      <c r="J266" s="12">
        <v>47.128362417499623</v>
      </c>
      <c r="K266" s="12">
        <v>11.458642155813649</v>
      </c>
      <c r="L266" s="12">
        <v>30.070464356310431</v>
      </c>
      <c r="M266" s="12">
        <v>40.935590845790948</v>
      </c>
      <c r="N266" s="12">
        <v>32.81816162961875</v>
      </c>
      <c r="O266" s="12">
        <v>76.694727409309678</v>
      </c>
      <c r="P266" s="8">
        <v>1.6452123999999999</v>
      </c>
      <c r="S266" s="21"/>
      <c r="W266" s="14"/>
    </row>
    <row r="267" spans="1:23" ht="14.4" customHeight="1">
      <c r="A267" s="10" t="s">
        <v>32</v>
      </c>
      <c r="B267" s="11">
        <v>2013</v>
      </c>
      <c r="C267" s="14" t="s">
        <v>55</v>
      </c>
      <c r="D267" s="14" t="s">
        <v>54</v>
      </c>
      <c r="E267" s="3">
        <f t="shared" si="97"/>
        <v>7.006409105947446</v>
      </c>
      <c r="F267" s="12">
        <v>12.21994420779153</v>
      </c>
      <c r="G267" s="12">
        <v>23.740192735594441</v>
      </c>
      <c r="H267" s="12">
        <v>5.7759022352971261</v>
      </c>
      <c r="I267" s="12">
        <v>7.869365629330324</v>
      </c>
      <c r="J267" s="12">
        <v>43.846120090228773</v>
      </c>
      <c r="K267" s="12">
        <v>7.6026385638709062</v>
      </c>
      <c r="L267" s="12">
        <v>29.25221436150003</v>
      </c>
      <c r="M267" s="12">
        <v>39.837798752432171</v>
      </c>
      <c r="N267" s="12">
        <v>35.539189695425769</v>
      </c>
      <c r="O267" s="12">
        <v>79.333375967123658</v>
      </c>
      <c r="P267" s="8">
        <v>1.7276963999999999</v>
      </c>
      <c r="S267" s="21"/>
      <c r="W267" s="14"/>
    </row>
    <row r="268" spans="1:23" ht="14.4" customHeight="1">
      <c r="A268" s="10" t="s">
        <v>32</v>
      </c>
      <c r="B268" s="11">
        <v>2014</v>
      </c>
      <c r="C268" s="14" t="s">
        <v>55</v>
      </c>
      <c r="D268" s="14" t="s">
        <v>54</v>
      </c>
      <c r="E268" s="3">
        <f t="shared" si="97"/>
        <v>11.815591046967103</v>
      </c>
      <c r="F268" s="12">
        <v>9.7721627598373271</v>
      </c>
      <c r="G268" s="12">
        <v>30.85283517214819</v>
      </c>
      <c r="H268" s="12">
        <v>6.8949202313803646</v>
      </c>
      <c r="I268" s="12">
        <v>15.266465708053</v>
      </c>
      <c r="J268" s="12">
        <v>46.436022732117671</v>
      </c>
      <c r="K268" s="12">
        <v>8.9235223868314293</v>
      </c>
      <c r="L268" s="12">
        <v>30.952753648222458</v>
      </c>
      <c r="M268" s="12">
        <v>37.668443745065417</v>
      </c>
      <c r="N268" s="12">
        <v>40.985348629599663</v>
      </c>
      <c r="O268" s="12">
        <v>74.98929089920658</v>
      </c>
      <c r="P268" s="8">
        <v>1.7334141999999999</v>
      </c>
      <c r="S268" s="21"/>
      <c r="W268" s="14"/>
    </row>
    <row r="269" spans="1:23" ht="14.4" customHeight="1">
      <c r="A269" s="10" t="s">
        <v>32</v>
      </c>
      <c r="B269" s="11">
        <v>2015</v>
      </c>
      <c r="C269" s="14" t="s">
        <v>55</v>
      </c>
      <c r="D269" s="14" t="s">
        <v>54</v>
      </c>
      <c r="E269" s="3">
        <f t="shared" si="97"/>
        <v>5.9351821827316531</v>
      </c>
      <c r="F269" s="12">
        <v>8.5958778552434563</v>
      </c>
      <c r="G269" s="12">
        <v>22.675668874030219</v>
      </c>
      <c r="H269" s="12">
        <v>3.9434714877390902</v>
      </c>
      <c r="I269" s="12">
        <v>7.3406151444509584</v>
      </c>
      <c r="J269" s="12">
        <v>43.565641267259167</v>
      </c>
      <c r="K269" s="12">
        <v>9.4205189182523608</v>
      </c>
      <c r="L269" s="12">
        <v>29.741630750967239</v>
      </c>
      <c r="M269" s="12">
        <v>37.16112010615722</v>
      </c>
      <c r="N269" s="12">
        <v>41.554528369796067</v>
      </c>
      <c r="O269" s="12">
        <v>79.239173661170028</v>
      </c>
      <c r="P269" s="8">
        <v>1.8137277999999999</v>
      </c>
      <c r="S269" s="21"/>
      <c r="W269" s="14"/>
    </row>
    <row r="270" spans="1:23" ht="14.4" customHeight="1">
      <c r="A270" s="10" t="s">
        <v>32</v>
      </c>
      <c r="B270" s="11">
        <v>2016</v>
      </c>
      <c r="C270" s="14" t="s">
        <v>55</v>
      </c>
      <c r="D270" s="14" t="s">
        <v>54</v>
      </c>
      <c r="E270" s="3">
        <f t="shared" si="97"/>
        <v>9.1822130240404789</v>
      </c>
      <c r="F270" s="12">
        <v>13.885475518584711</v>
      </c>
      <c r="G270" s="12">
        <v>24.747671957808091</v>
      </c>
      <c r="H270" s="12">
        <v>8.2072574782925187</v>
      </c>
      <c r="I270" s="12">
        <v>9.8379307487897627</v>
      </c>
      <c r="J270" s="12">
        <v>47.958360624837461</v>
      </c>
      <c r="K270" s="12">
        <v>11.275256241702751</v>
      </c>
      <c r="L270" s="12">
        <v>33.168240719008708</v>
      </c>
      <c r="M270" s="12">
        <v>36.182835599326317</v>
      </c>
      <c r="N270" s="12">
        <v>42.303642381500488</v>
      </c>
      <c r="O270" s="12">
        <v>77.179606163929222</v>
      </c>
      <c r="P270" s="8">
        <v>1.6810284999999998</v>
      </c>
      <c r="S270" s="21"/>
      <c r="W270" s="14"/>
    </row>
    <row r="271" spans="1:23" ht="14.4" customHeight="1">
      <c r="A271" s="10" t="s">
        <v>32</v>
      </c>
      <c r="B271" s="11">
        <v>2017</v>
      </c>
      <c r="C271" s="14" t="s">
        <v>55</v>
      </c>
      <c r="D271" s="14" t="s">
        <v>54</v>
      </c>
      <c r="E271" s="3">
        <f t="shared" si="97"/>
        <v>9.6575994224340818</v>
      </c>
      <c r="F271" s="12">
        <v>11.923315144374101</v>
      </c>
      <c r="G271" s="12">
        <v>30.607807892214819</v>
      </c>
      <c r="H271" s="12">
        <v>6.7709212520827347</v>
      </c>
      <c r="I271" s="12">
        <v>11.58095603060594</v>
      </c>
      <c r="J271" s="12">
        <v>48.213663253785533</v>
      </c>
      <c r="K271" s="12">
        <v>9.2105833313593504</v>
      </c>
      <c r="L271" s="12">
        <v>33.151348652896431</v>
      </c>
      <c r="M271" s="12">
        <v>37.265973717225457</v>
      </c>
      <c r="N271" s="12">
        <v>42.981157357455288</v>
      </c>
      <c r="O271" s="12">
        <v>75.596158897994727</v>
      </c>
      <c r="P271" s="8">
        <v>1.6694232999999998</v>
      </c>
      <c r="S271" s="21"/>
      <c r="W271" s="14"/>
    </row>
    <row r="272" spans="1:23" ht="14.4" customHeight="1">
      <c r="A272" s="10" t="s">
        <v>32</v>
      </c>
      <c r="B272" s="11">
        <v>2018</v>
      </c>
      <c r="C272" s="14" t="s">
        <v>55</v>
      </c>
      <c r="D272" s="14" t="s">
        <v>54</v>
      </c>
      <c r="E272" s="3">
        <f t="shared" si="97"/>
        <v>9.9618466129077827</v>
      </c>
      <c r="F272" s="12">
        <v>13.777777851482311</v>
      </c>
      <c r="G272" s="12">
        <v>30.87243718247721</v>
      </c>
      <c r="H272" s="12">
        <v>7.7772936366686878</v>
      </c>
      <c r="I272" s="12">
        <v>11.389591054252961</v>
      </c>
      <c r="J272" s="12">
        <v>46.62891989697728</v>
      </c>
      <c r="K272" s="12">
        <v>8.3141529564801981</v>
      </c>
      <c r="L272" s="12">
        <v>33.273235102257281</v>
      </c>
      <c r="M272" s="12">
        <v>39.789708510332183</v>
      </c>
      <c r="N272" s="12">
        <v>44.022871593735573</v>
      </c>
      <c r="O272" s="12">
        <v>76.423606615108881</v>
      </c>
      <c r="P272" s="8">
        <v>1.6748822999999999</v>
      </c>
      <c r="S272" s="21"/>
      <c r="W272" s="14"/>
    </row>
    <row r="273" spans="1:23" ht="14.4" customHeight="1">
      <c r="A273" s="10" t="s">
        <v>32</v>
      </c>
      <c r="B273" s="11">
        <v>2019</v>
      </c>
      <c r="C273" s="14" t="s">
        <v>55</v>
      </c>
      <c r="D273" s="14" t="s">
        <v>54</v>
      </c>
      <c r="E273" s="3">
        <f t="shared" si="97"/>
        <v>10.861453356238554</v>
      </c>
      <c r="F273" s="12">
        <v>18.468902770572189</v>
      </c>
      <c r="G273" s="12">
        <v>24.098549870738871</v>
      </c>
      <c r="H273" s="12">
        <v>12.16124443411632</v>
      </c>
      <c r="I273" s="12">
        <v>10.03913144971516</v>
      </c>
      <c r="J273" s="12">
        <v>55.179601837909132</v>
      </c>
      <c r="K273" s="12">
        <v>9.8941853127151234</v>
      </c>
      <c r="L273" s="12">
        <v>49.089599533599667</v>
      </c>
      <c r="M273" s="12">
        <v>48.665191429076167</v>
      </c>
      <c r="N273" s="12">
        <v>43.838962543237237</v>
      </c>
      <c r="O273" s="12">
        <v>76.669540696394805</v>
      </c>
      <c r="P273" s="8">
        <v>1.7134916999999998</v>
      </c>
      <c r="S273" s="21"/>
      <c r="W273" s="14"/>
    </row>
    <row r="274" spans="1:23" ht="14.4" customHeight="1">
      <c r="A274" s="10" t="s">
        <v>32</v>
      </c>
      <c r="B274" s="11">
        <v>2020</v>
      </c>
      <c r="C274" s="14" t="s">
        <v>55</v>
      </c>
      <c r="D274" s="14" t="s">
        <v>54</v>
      </c>
      <c r="E274" s="3">
        <f t="shared" si="97"/>
        <v>11.480583435317183</v>
      </c>
      <c r="F274" s="12">
        <v>17.403746656625561</v>
      </c>
      <c r="G274" s="12">
        <v>35.879403176828298</v>
      </c>
      <c r="H274" s="12">
        <v>9.7331630771196824</v>
      </c>
      <c r="I274" s="12">
        <v>12.575735228658839</v>
      </c>
      <c r="J274" s="12">
        <v>54.505786435653782</v>
      </c>
      <c r="K274" s="12">
        <v>10.402863868883429</v>
      </c>
      <c r="L274" s="12">
        <v>49.808407451887291</v>
      </c>
      <c r="M274" s="12">
        <v>56.188739728798083</v>
      </c>
      <c r="N274" s="12">
        <v>27.341801150195309</v>
      </c>
      <c r="O274" s="12">
        <v>77.101131949004838</v>
      </c>
      <c r="P274" s="8">
        <v>1.6013639</v>
      </c>
      <c r="S274" s="21"/>
      <c r="W274" s="14"/>
    </row>
    <row r="275" spans="1:23" ht="14.4" customHeight="1">
      <c r="A275" s="10" t="s">
        <v>32</v>
      </c>
      <c r="B275" s="11">
        <v>2021</v>
      </c>
      <c r="C275" s="14" t="s">
        <v>55</v>
      </c>
      <c r="D275" s="14" t="s">
        <v>54</v>
      </c>
      <c r="E275" s="3">
        <f t="shared" si="97"/>
        <v>16.021135228307116</v>
      </c>
      <c r="F275" s="12">
        <v>18.917688514670619</v>
      </c>
      <c r="G275" s="12">
        <v>27.426988465136301</v>
      </c>
      <c r="H275" s="12">
        <v>16.974568796199112</v>
      </c>
      <c r="I275" s="12">
        <v>15.423594870019061</v>
      </c>
      <c r="J275" s="12">
        <v>51.052237315722003</v>
      </c>
      <c r="K275" s="12">
        <v>12.12983219989529</v>
      </c>
      <c r="L275" s="12">
        <v>49.790647743884783</v>
      </c>
      <c r="M275" s="12">
        <v>58.35811886848122</v>
      </c>
      <c r="N275" s="12">
        <v>61.22154885651134</v>
      </c>
      <c r="O275" s="12">
        <v>83.484973627561587</v>
      </c>
      <c r="P275" s="8">
        <v>1.6007579999999999</v>
      </c>
      <c r="S275" s="21"/>
      <c r="W275" s="14"/>
    </row>
    <row r="276" spans="1:23" ht="14.4" customHeight="1">
      <c r="A276" s="10" t="s">
        <v>32</v>
      </c>
      <c r="B276" s="11">
        <v>2022</v>
      </c>
      <c r="C276" s="14" t="s">
        <v>55</v>
      </c>
      <c r="D276" s="14" t="s">
        <v>54</v>
      </c>
      <c r="E276" s="3">
        <f t="shared" si="97"/>
        <v>15.875674315658246</v>
      </c>
      <c r="F276" s="12">
        <v>15.929935348067961</v>
      </c>
      <c r="G276" s="12">
        <v>28.58846668048292</v>
      </c>
      <c r="H276" s="12">
        <v>14.80829516109308</v>
      </c>
      <c r="I276" s="12">
        <v>16.539986081984619</v>
      </c>
      <c r="J276" s="12">
        <v>53.4859150846519</v>
      </c>
      <c r="K276" s="12">
        <v>13.020224915533831</v>
      </c>
      <c r="L276" s="12">
        <v>47.585361836817228</v>
      </c>
      <c r="M276" s="12">
        <v>59.608622493731708</v>
      </c>
      <c r="N276" s="12">
        <v>44.353781084651061</v>
      </c>
      <c r="O276" s="12">
        <v>82.476048021612982</v>
      </c>
      <c r="P276" s="8">
        <v>1.6491931</v>
      </c>
      <c r="S276" s="21"/>
      <c r="W276" s="14"/>
    </row>
    <row r="277" spans="1:23" ht="14.4" customHeight="1">
      <c r="A277" s="10" t="s">
        <v>33</v>
      </c>
      <c r="B277" s="11">
        <v>2012</v>
      </c>
      <c r="C277" s="14" t="s">
        <v>53</v>
      </c>
      <c r="D277" s="14" t="s">
        <v>54</v>
      </c>
      <c r="E277" s="3">
        <f t="shared" ref="E277:E283" si="107">(F277+G277)/((F277/H277)+(G277/I277))</f>
        <v>12.434509701815179</v>
      </c>
      <c r="F277" s="12">
        <v>11.75607318983193</v>
      </c>
      <c r="G277" s="12">
        <v>23.436587361479031</v>
      </c>
      <c r="H277" s="12">
        <v>10.107721242195829</v>
      </c>
      <c r="I277" s="12">
        <v>14.057769236363461</v>
      </c>
      <c r="J277" s="12">
        <v>55.876489635502033</v>
      </c>
      <c r="K277" s="12">
        <v>16.5355467609333</v>
      </c>
      <c r="L277" s="12">
        <v>28.947447786457399</v>
      </c>
      <c r="M277" s="12">
        <v>37.830922749972842</v>
      </c>
      <c r="N277" s="12">
        <v>43.485916808293247</v>
      </c>
      <c r="O277" s="12" t="s">
        <v>35</v>
      </c>
      <c r="P277" s="8">
        <v>1.4422743</v>
      </c>
      <c r="S277" s="21"/>
      <c r="W277" s="14"/>
    </row>
    <row r="278" spans="1:23" ht="14.4" customHeight="1">
      <c r="A278" s="10" t="s">
        <v>33</v>
      </c>
      <c r="B278" s="11">
        <v>2013</v>
      </c>
      <c r="C278" s="14" t="s">
        <v>53</v>
      </c>
      <c r="D278" s="14" t="s">
        <v>54</v>
      </c>
      <c r="E278" s="3">
        <f t="shared" si="107"/>
        <v>13.839255805490955</v>
      </c>
      <c r="F278" s="12">
        <v>14.450385440379129</v>
      </c>
      <c r="G278" s="12">
        <v>25.057387293981911</v>
      </c>
      <c r="H278" s="12">
        <v>12.308068736792061</v>
      </c>
      <c r="I278" s="12">
        <v>14.90886882102969</v>
      </c>
      <c r="J278" s="12">
        <v>55.743005918050038</v>
      </c>
      <c r="K278" s="12">
        <v>16.637012654568782</v>
      </c>
      <c r="L278" s="12">
        <v>27.205611007701901</v>
      </c>
      <c r="M278" s="12">
        <v>35.023307920739867</v>
      </c>
      <c r="N278" s="12">
        <v>47.162294419564553</v>
      </c>
      <c r="O278" s="12" t="s">
        <v>35</v>
      </c>
      <c r="P278" s="8">
        <v>1.3908666999999999</v>
      </c>
      <c r="S278" s="21"/>
      <c r="W278" s="14"/>
    </row>
    <row r="279" spans="1:23" ht="14.4" customHeight="1">
      <c r="A279" s="10" t="s">
        <v>33</v>
      </c>
      <c r="B279" s="11">
        <v>2014</v>
      </c>
      <c r="C279" s="14" t="s">
        <v>53</v>
      </c>
      <c r="D279" s="14" t="s">
        <v>54</v>
      </c>
      <c r="E279" s="3">
        <f t="shared" si="107"/>
        <v>16.19330080650964</v>
      </c>
      <c r="F279" s="12">
        <v>14.85829026833337</v>
      </c>
      <c r="G279" s="12">
        <v>28.28528040451214</v>
      </c>
      <c r="H279" s="12">
        <v>13.461938125377459</v>
      </c>
      <c r="I279" s="12">
        <v>18.125092840866579</v>
      </c>
      <c r="J279" s="12">
        <v>53.3352519963139</v>
      </c>
      <c r="K279" s="12">
        <v>16.231707609811579</v>
      </c>
      <c r="L279" s="12">
        <v>28.811407041359949</v>
      </c>
      <c r="M279" s="12">
        <v>32.812445017401267</v>
      </c>
      <c r="N279" s="12">
        <v>50.852579511317707</v>
      </c>
      <c r="O279" s="12">
        <v>76.873729778298966</v>
      </c>
      <c r="P279" s="8">
        <v>1.2856554999999998</v>
      </c>
      <c r="S279" s="21"/>
      <c r="W279" s="14"/>
    </row>
    <row r="280" spans="1:23" ht="14.4" customHeight="1">
      <c r="A280" s="10" t="s">
        <v>33</v>
      </c>
      <c r="B280" s="11">
        <v>2015</v>
      </c>
      <c r="C280" s="14" t="s">
        <v>53</v>
      </c>
      <c r="D280" s="14" t="s">
        <v>54</v>
      </c>
      <c r="E280" s="3">
        <f t="shared" si="107"/>
        <v>12.24734470173129</v>
      </c>
      <c r="F280" s="12">
        <v>13.390738183827271</v>
      </c>
      <c r="G280" s="12">
        <v>24.569727149949081</v>
      </c>
      <c r="H280" s="12">
        <v>10.15572238438587</v>
      </c>
      <c r="I280" s="12">
        <v>13.79589980297412</v>
      </c>
      <c r="J280" s="12">
        <v>55.71171245543308</v>
      </c>
      <c r="K280" s="12">
        <v>17.13855137012543</v>
      </c>
      <c r="L280" s="12">
        <v>29.840834917350811</v>
      </c>
      <c r="M280" s="12">
        <v>31.547686657133511</v>
      </c>
      <c r="N280" s="12">
        <v>46.634915857907103</v>
      </c>
      <c r="O280" s="12" t="s">
        <v>35</v>
      </c>
      <c r="P280" s="8">
        <v>1.2919441999999999</v>
      </c>
      <c r="S280" s="21"/>
      <c r="W280" s="14"/>
    </row>
    <row r="281" spans="1:23" ht="14.4" customHeight="1">
      <c r="A281" s="10" t="s">
        <v>33</v>
      </c>
      <c r="B281" s="11">
        <v>2016</v>
      </c>
      <c r="C281" s="14" t="s">
        <v>53</v>
      </c>
      <c r="D281" s="14" t="s">
        <v>54</v>
      </c>
      <c r="E281" s="3">
        <f t="shared" si="107"/>
        <v>13.53086757940552</v>
      </c>
      <c r="F281" s="12">
        <v>13.259042405979811</v>
      </c>
      <c r="G281" s="12">
        <v>26.1910497005175</v>
      </c>
      <c r="H281" s="12">
        <v>10.690196051016279</v>
      </c>
      <c r="I281" s="12">
        <v>15.633989328376609</v>
      </c>
      <c r="J281" s="12">
        <v>55.04825725940313</v>
      </c>
      <c r="K281" s="12">
        <v>16.41140738029171</v>
      </c>
      <c r="L281" s="12">
        <v>30.601779431905051</v>
      </c>
      <c r="M281" s="12">
        <v>34.895404481204842</v>
      </c>
      <c r="N281" s="12">
        <v>57.271158235868292</v>
      </c>
      <c r="O281" s="12">
        <v>74.42850857252688</v>
      </c>
      <c r="P281" s="8">
        <v>1.4076515999999999</v>
      </c>
      <c r="S281" s="21"/>
      <c r="W281" s="14"/>
    </row>
    <row r="282" spans="1:23" ht="14.4" customHeight="1">
      <c r="A282" s="10" t="s">
        <v>33</v>
      </c>
      <c r="B282" s="11">
        <v>2017</v>
      </c>
      <c r="C282" s="14" t="s">
        <v>53</v>
      </c>
      <c r="D282" s="14" t="s">
        <v>54</v>
      </c>
      <c r="E282" s="3">
        <f t="shared" si="107"/>
        <v>14.817740029273862</v>
      </c>
      <c r="F282" s="12">
        <v>13.086283430955779</v>
      </c>
      <c r="G282" s="12">
        <v>26.930851155910499</v>
      </c>
      <c r="H282" s="12">
        <v>11.39064176240338</v>
      </c>
      <c r="I282" s="12">
        <v>17.35502912760316</v>
      </c>
      <c r="J282" s="12">
        <v>54.30553610077019</v>
      </c>
      <c r="K282" s="12">
        <v>18.968977342045381</v>
      </c>
      <c r="L282" s="12">
        <v>32.775556390923242</v>
      </c>
      <c r="M282" s="12">
        <v>34.44722279064635</v>
      </c>
      <c r="N282" s="12">
        <v>63.586673562256323</v>
      </c>
      <c r="O282" s="12">
        <v>75.488856177895244</v>
      </c>
      <c r="P282" s="8">
        <v>1.5090249999999998</v>
      </c>
      <c r="S282" s="21"/>
      <c r="W282" s="14"/>
    </row>
    <row r="283" spans="1:23" ht="14.4" customHeight="1">
      <c r="A283" s="10" t="s">
        <v>33</v>
      </c>
      <c r="B283" s="11">
        <v>2018</v>
      </c>
      <c r="C283" s="14" t="s">
        <v>53</v>
      </c>
      <c r="D283" s="14" t="s">
        <v>54</v>
      </c>
      <c r="E283" s="3">
        <f t="shared" si="107"/>
        <v>16.707236252764357</v>
      </c>
      <c r="F283" s="12">
        <v>14.47054709298976</v>
      </c>
      <c r="G283" s="12">
        <v>24.898265515732739</v>
      </c>
      <c r="H283" s="12">
        <v>14.729830212087339</v>
      </c>
      <c r="I283" s="12">
        <v>18.121068117746798</v>
      </c>
      <c r="J283" s="12">
        <v>55.617150196325717</v>
      </c>
      <c r="K283" s="12">
        <v>18.543414714107179</v>
      </c>
      <c r="L283" s="12">
        <v>38.509369785201983</v>
      </c>
      <c r="M283" s="12">
        <v>39.437652356409231</v>
      </c>
      <c r="N283" s="12">
        <v>69.826133972845085</v>
      </c>
      <c r="O283" s="12">
        <v>78.687714102030242</v>
      </c>
      <c r="P283" s="8">
        <v>1.4842169999999999</v>
      </c>
      <c r="S283" s="21"/>
      <c r="W283" s="14"/>
    </row>
    <row r="284" spans="1:23" ht="14.4" customHeight="1">
      <c r="A284" s="10" t="s">
        <v>33</v>
      </c>
      <c r="B284" s="11">
        <v>2019</v>
      </c>
      <c r="C284" s="14" t="s">
        <v>53</v>
      </c>
      <c r="D284" s="14" t="s">
        <v>54</v>
      </c>
      <c r="E284" s="3">
        <f t="shared" ref="E284:E287" si="108">(F284+G284)/((F284/H284)+(G284/I284))</f>
        <v>19.404973732596172</v>
      </c>
      <c r="F284" s="12">
        <v>14.139311423518031</v>
      </c>
      <c r="G284" s="12">
        <v>26.795923061973689</v>
      </c>
      <c r="H284" s="12">
        <v>15.80226227491673</v>
      </c>
      <c r="I284" s="12">
        <v>22.058655157166822</v>
      </c>
      <c r="J284" s="12">
        <v>65.505891575582993</v>
      </c>
      <c r="K284" s="12">
        <v>20.441541339190241</v>
      </c>
      <c r="L284" s="12">
        <v>60.845953636082371</v>
      </c>
      <c r="M284" s="12">
        <v>43.494124874417182</v>
      </c>
      <c r="N284" s="12">
        <v>67.238318161469238</v>
      </c>
      <c r="O284" s="12">
        <v>79.662553475611332</v>
      </c>
      <c r="P284" s="8">
        <v>1.3675576</v>
      </c>
      <c r="S284" s="21"/>
      <c r="W284" s="14"/>
    </row>
    <row r="285" spans="1:23" ht="14.4" customHeight="1">
      <c r="A285" s="10" t="s">
        <v>33</v>
      </c>
      <c r="B285" s="11">
        <v>2020</v>
      </c>
      <c r="C285" s="14" t="s">
        <v>53</v>
      </c>
      <c r="D285" s="14" t="s">
        <v>54</v>
      </c>
      <c r="E285" s="3">
        <f t="shared" si="108"/>
        <v>17.047877048009262</v>
      </c>
      <c r="F285" s="12">
        <v>15.282370696247069</v>
      </c>
      <c r="G285" s="12">
        <v>25.408730501191229</v>
      </c>
      <c r="H285" s="12">
        <v>15.050727039630839</v>
      </c>
      <c r="I285" s="12">
        <v>18.526488558210911</v>
      </c>
      <c r="J285" s="12">
        <v>63.997621438531191</v>
      </c>
      <c r="K285" s="12">
        <v>18.55061517195583</v>
      </c>
      <c r="L285" s="12">
        <v>60.922225096870072</v>
      </c>
      <c r="M285" s="12">
        <v>50.526456807746847</v>
      </c>
      <c r="N285" s="12">
        <v>48.609148988867439</v>
      </c>
      <c r="O285" s="12">
        <v>78.326274016865298</v>
      </c>
      <c r="P285" s="8">
        <v>1.2778639000000001</v>
      </c>
      <c r="S285" s="21"/>
      <c r="W285" s="14"/>
    </row>
    <row r="286" spans="1:23" ht="14.4" customHeight="1">
      <c r="A286" s="10" t="s">
        <v>33</v>
      </c>
      <c r="B286" s="11">
        <v>2021</v>
      </c>
      <c r="C286" s="14" t="s">
        <v>53</v>
      </c>
      <c r="D286" s="14" t="s">
        <v>54</v>
      </c>
      <c r="E286" s="3">
        <f t="shared" si="108"/>
        <v>18.915636471869817</v>
      </c>
      <c r="F286" s="12">
        <v>17.14647393978786</v>
      </c>
      <c r="G286" s="12">
        <v>26.151744471557649</v>
      </c>
      <c r="H286" s="12">
        <v>18.940781929046679</v>
      </c>
      <c r="I286" s="12">
        <v>18.899185979899929</v>
      </c>
      <c r="J286" s="12">
        <v>64.548913409234629</v>
      </c>
      <c r="K286" s="12">
        <v>20.51461974658919</v>
      </c>
      <c r="L286" s="12">
        <v>58.819746012007244</v>
      </c>
      <c r="M286" s="12">
        <v>48.366414144038643</v>
      </c>
      <c r="N286" s="12">
        <v>63.152581219785731</v>
      </c>
      <c r="O286" s="12">
        <v>80.377308700678739</v>
      </c>
      <c r="P286" s="8">
        <v>1.4642419</v>
      </c>
      <c r="S286" s="21"/>
      <c r="W286" s="14"/>
    </row>
    <row r="287" spans="1:23" ht="14.4" customHeight="1">
      <c r="A287" s="10" t="s">
        <v>33</v>
      </c>
      <c r="B287" s="11">
        <v>2022</v>
      </c>
      <c r="C287" s="14" t="s">
        <v>53</v>
      </c>
      <c r="D287" s="14" t="s">
        <v>54</v>
      </c>
      <c r="E287" s="3">
        <f t="shared" si="108"/>
        <v>26.982668729897835</v>
      </c>
      <c r="F287" s="12">
        <v>21.89142819607412</v>
      </c>
      <c r="G287" s="12">
        <v>31.270960076635252</v>
      </c>
      <c r="H287" s="12">
        <v>28.094846422238671</v>
      </c>
      <c r="I287" s="12">
        <v>26.255067315922531</v>
      </c>
      <c r="J287" s="12">
        <v>66.799856473472516</v>
      </c>
      <c r="K287" s="12">
        <v>22.509955509021669</v>
      </c>
      <c r="L287" s="12">
        <v>55.617029144072283</v>
      </c>
      <c r="M287" s="12">
        <v>55.134508364716297</v>
      </c>
      <c r="N287" s="12">
        <v>46.01396701731494</v>
      </c>
      <c r="O287" s="12">
        <v>79.863615568795225</v>
      </c>
      <c r="P287" s="8">
        <v>1.4588295</v>
      </c>
      <c r="S287" s="21"/>
      <c r="W287" s="14"/>
    </row>
    <row r="288" spans="1:23" ht="14.4" customHeight="1">
      <c r="S288" s="7"/>
    </row>
    <row r="289" spans="5:19" ht="14.4" customHeight="1">
      <c r="S289" s="7"/>
    </row>
    <row r="290" spans="5:19" ht="14.4" customHeight="1">
      <c r="S290" s="7"/>
    </row>
    <row r="291" spans="5:19" ht="14.4" customHeight="1">
      <c r="S291" s="7"/>
    </row>
    <row r="292" spans="5:19" ht="14.4" customHeight="1">
      <c r="E292" s="3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5:19" ht="14.4" customHeight="1">
      <c r="S293" s="7"/>
    </row>
    <row r="294" spans="5:19" ht="14.4" customHeight="1">
      <c r="S294" s="7"/>
    </row>
    <row r="295" spans="5:19" ht="14.4" customHeight="1">
      <c r="S295" s="7"/>
    </row>
    <row r="296" spans="5:19" ht="14.4" customHeight="1">
      <c r="S296" s="7"/>
    </row>
    <row r="297" spans="5:19" ht="14.4" customHeight="1">
      <c r="S297" s="7"/>
    </row>
    <row r="298" spans="5:19" ht="14.4" customHeight="1">
      <c r="S298" s="7"/>
    </row>
    <row r="299" spans="5:19" ht="14.4" customHeight="1">
      <c r="S299" s="7"/>
    </row>
    <row r="300" spans="5:19" ht="14.4" customHeight="1">
      <c r="S300" s="7"/>
    </row>
    <row r="301" spans="5:19" ht="14.4" customHeight="1">
      <c r="S301" s="7"/>
    </row>
    <row r="302" spans="5:19" ht="14.4" customHeight="1">
      <c r="S302" s="7"/>
    </row>
    <row r="303" spans="5:19" ht="14.4" customHeight="1">
      <c r="S303" s="7"/>
    </row>
    <row r="304" spans="5:19" ht="14.4" customHeight="1">
      <c r="E304" s="3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9:19" ht="14.4" customHeight="1">
      <c r="S305" s="7"/>
    </row>
    <row r="306" spans="19:19" ht="14.4" customHeight="1">
      <c r="S306" s="7"/>
    </row>
    <row r="307" spans="19:19" ht="14.4" customHeight="1">
      <c r="S307" s="7"/>
    </row>
    <row r="308" spans="19:19" ht="14.4" customHeight="1">
      <c r="S308" s="7"/>
    </row>
    <row r="309" spans="19:19" ht="14.4" customHeight="1">
      <c r="S309" s="7"/>
    </row>
    <row r="310" spans="19:19" ht="14.4" customHeight="1">
      <c r="S310" s="7"/>
    </row>
    <row r="311" spans="19:19" ht="14.4" customHeight="1">
      <c r="S311" s="7"/>
    </row>
    <row r="312" spans="19:19" ht="14.4" customHeight="1">
      <c r="S312" s="7"/>
    </row>
    <row r="313" spans="19:19" ht="14.4" customHeight="1">
      <c r="S313" s="7"/>
    </row>
    <row r="314" spans="19:19" ht="14.4" customHeight="1">
      <c r="S314" s="7"/>
    </row>
    <row r="315" spans="19:19" ht="14.4" customHeight="1">
      <c r="S315" s="7"/>
    </row>
    <row r="316" spans="19:19" ht="14.4" customHeight="1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86"/>
  <sheetViews>
    <sheetView workbookViewId="0">
      <selection activeCell="C1" sqref="C1"/>
    </sheetView>
  </sheetViews>
  <sheetFormatPr defaultRowHeight="14.4"/>
  <cols>
    <col min="1" max="1" width="18" bestFit="1" customWidth="1"/>
    <col min="3" max="3" width="23.33203125" bestFit="1" customWidth="1"/>
    <col min="4" max="4" width="18.44140625" customWidth="1"/>
    <col min="5" max="15" width="15.77734375" customWidth="1"/>
    <col min="16" max="16" width="21.109375" bestFit="1" customWidth="1"/>
    <col min="17" max="17" width="18.44140625" bestFit="1" customWidth="1"/>
    <col min="18" max="18" width="21.109375" bestFit="1" customWidth="1"/>
    <col min="19" max="19" width="13" style="7" customWidth="1"/>
    <col min="20" max="20" width="19.33203125" style="7" bestFit="1" customWidth="1"/>
    <col min="21" max="28" width="13" customWidth="1"/>
    <col min="29" max="29" width="16.21875" bestFit="1" customWidth="1"/>
    <col min="30" max="40" width="13" customWidth="1"/>
  </cols>
  <sheetData>
    <row r="1" spans="1:29" ht="14.4" customHeight="1">
      <c r="A1" s="1" t="s">
        <v>50</v>
      </c>
      <c r="B1" s="1" t="s">
        <v>49</v>
      </c>
      <c r="C1" s="1" t="s">
        <v>47</v>
      </c>
      <c r="D1" s="1" t="s">
        <v>48</v>
      </c>
      <c r="E1" s="13" t="s">
        <v>77</v>
      </c>
      <c r="F1" s="1" t="s">
        <v>34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78</v>
      </c>
      <c r="R1" s="13" t="s">
        <v>46</v>
      </c>
      <c r="S1" s="1" t="s">
        <v>34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5" t="s">
        <v>45</v>
      </c>
    </row>
    <row r="2" spans="1:29" ht="14.4" customHeight="1">
      <c r="A2" s="4" t="s">
        <v>1</v>
      </c>
      <c r="B2" s="5">
        <v>2019</v>
      </c>
      <c r="C2" s="14" t="s">
        <v>53</v>
      </c>
      <c r="D2" s="14" t="s">
        <v>54</v>
      </c>
      <c r="E2" s="3">
        <f t="shared" ref="E2:E41" si="0">(F2+G2)/((F2/H2)+(G2/I2))</f>
        <v>28.195825070904228</v>
      </c>
      <c r="F2" s="6">
        <v>19.610852386861101</v>
      </c>
      <c r="G2" s="6">
        <v>34.249300449658023</v>
      </c>
      <c r="H2" s="6">
        <v>25.66530183684279</v>
      </c>
      <c r="I2" s="6">
        <v>29.882888012215851</v>
      </c>
      <c r="J2" s="6">
        <v>56.802298466382773</v>
      </c>
      <c r="K2" s="6">
        <v>21.252376825384861</v>
      </c>
      <c r="L2" s="6">
        <v>55.113367333269423</v>
      </c>
      <c r="M2" s="6">
        <v>49.673021276665693</v>
      </c>
      <c r="N2" s="6">
        <v>67.081864521111243</v>
      </c>
      <c r="O2" s="6">
        <v>79.896290373398045</v>
      </c>
      <c r="P2" s="8">
        <v>1.6826482999999999</v>
      </c>
      <c r="R2" s="20">
        <f>AVERAGE(E$2:E$117)</f>
        <v>14.36676626758466</v>
      </c>
      <c r="S2" s="20">
        <f>AVERAGE(F$2:F$117)</f>
        <v>15.562504361522981</v>
      </c>
      <c r="T2" s="20">
        <f t="shared" ref="T2:AC2" si="1">AVERAGE(G$2:G$117)</f>
        <v>32.441295690227392</v>
      </c>
      <c r="U2" s="20">
        <f t="shared" si="1"/>
        <v>12.414133281282579</v>
      </c>
      <c r="V2" s="20">
        <f t="shared" si="1"/>
        <v>15.580531369665216</v>
      </c>
      <c r="W2" s="20">
        <f t="shared" si="1"/>
        <v>58.421606164753946</v>
      </c>
      <c r="X2" s="20">
        <f t="shared" si="1"/>
        <v>27.130319684081041</v>
      </c>
      <c r="Y2" s="20">
        <f t="shared" si="1"/>
        <v>51.677900555456539</v>
      </c>
      <c r="Z2" s="20">
        <f t="shared" si="1"/>
        <v>45.606054372413581</v>
      </c>
      <c r="AA2" s="20">
        <f t="shared" si="1"/>
        <v>51.982672037193929</v>
      </c>
      <c r="AB2" s="20">
        <f t="shared" si="1"/>
        <v>75.243143839634698</v>
      </c>
      <c r="AC2" s="20">
        <f t="shared" si="1"/>
        <v>0.66090347241379321</v>
      </c>
    </row>
    <row r="3" spans="1:29" ht="14.4" customHeight="1">
      <c r="A3" s="4" t="s">
        <v>1</v>
      </c>
      <c r="B3" s="5">
        <v>2020</v>
      </c>
      <c r="C3" s="14" t="s">
        <v>53</v>
      </c>
      <c r="D3" s="14" t="s">
        <v>54</v>
      </c>
      <c r="E3" s="3">
        <f t="shared" si="0"/>
        <v>22.068606879891579</v>
      </c>
      <c r="F3" s="6">
        <v>19.863716135426621</v>
      </c>
      <c r="G3" s="6">
        <v>29.216807236502561</v>
      </c>
      <c r="H3" s="6">
        <v>22.43099991381505</v>
      </c>
      <c r="I3" s="6">
        <v>21.82883977171775</v>
      </c>
      <c r="J3" s="6">
        <v>55.61602182505586</v>
      </c>
      <c r="K3" s="6">
        <v>17.723338188258431</v>
      </c>
      <c r="L3" s="6">
        <v>50.962200355422787</v>
      </c>
      <c r="M3" s="6">
        <v>57.466361073788562</v>
      </c>
      <c r="N3" s="6">
        <v>49.10500530685011</v>
      </c>
      <c r="O3" s="6">
        <v>81.342945112450408</v>
      </c>
      <c r="P3" s="8">
        <v>1.5928787999999998</v>
      </c>
      <c r="R3" s="7">
        <f>_xlfn.STDEV.S(E$2:E$117)</f>
        <v>7.7005455094429855</v>
      </c>
      <c r="S3" s="7">
        <f>_xlfn.STDEV.S(F$2:F$117)</f>
        <v>6.9073388430698239</v>
      </c>
      <c r="T3" s="7">
        <f t="shared" ref="T3:AC3" si="2">_xlfn.STDEV.S(G$2:G$117)</f>
        <v>8.0693188909396572</v>
      </c>
      <c r="U3" s="7">
        <f t="shared" si="2"/>
        <v>7.9002115114145424</v>
      </c>
      <c r="V3" s="7">
        <f t="shared" si="2"/>
        <v>7.9180865422909577</v>
      </c>
      <c r="W3" s="7">
        <f t="shared" si="2"/>
        <v>14.659897076318794</v>
      </c>
      <c r="X3" s="7">
        <f>_xlfn.STDEV.S(K$2:K$117)</f>
        <v>15.97650126513928</v>
      </c>
      <c r="Y3" s="7">
        <f t="shared" si="2"/>
        <v>14.848062272083364</v>
      </c>
      <c r="Z3" s="7">
        <f t="shared" si="2"/>
        <v>8.7993489528231859</v>
      </c>
      <c r="AA3" s="7">
        <f t="shared" si="2"/>
        <v>18.887067803482541</v>
      </c>
      <c r="AB3" s="7">
        <f t="shared" si="2"/>
        <v>11.718176073682056</v>
      </c>
      <c r="AC3" s="7">
        <f t="shared" si="2"/>
        <v>0.73542863500815281</v>
      </c>
    </row>
    <row r="4" spans="1:29" ht="14.4" customHeight="1">
      <c r="A4" s="4" t="s">
        <v>1</v>
      </c>
      <c r="B4" s="5">
        <v>2021</v>
      </c>
      <c r="C4" s="14" t="s">
        <v>53</v>
      </c>
      <c r="D4" s="14" t="s">
        <v>54</v>
      </c>
      <c r="E4" s="3">
        <f t="shared" si="0"/>
        <v>31.297988354699644</v>
      </c>
      <c r="F4" s="6">
        <v>21.365880262245788</v>
      </c>
      <c r="G4" s="6">
        <v>32.692276003141231</v>
      </c>
      <c r="H4" s="6">
        <v>30.828454848119279</v>
      </c>
      <c r="I4" s="6">
        <v>31.612655531793269</v>
      </c>
      <c r="J4" s="6">
        <v>58.928482889337197</v>
      </c>
      <c r="K4" s="6">
        <v>22.482471826629808</v>
      </c>
      <c r="L4" s="6">
        <v>51.702710181685298</v>
      </c>
      <c r="M4" s="6">
        <v>52.996602444187147</v>
      </c>
      <c r="N4" s="6">
        <v>70.499761169454388</v>
      </c>
      <c r="O4" s="31">
        <f>AVERAGE(O3,O5)</f>
        <v>80.499084662760765</v>
      </c>
      <c r="P4" s="8">
        <v>1.6316738</v>
      </c>
      <c r="T4" s="14"/>
    </row>
    <row r="5" spans="1:29" ht="14.4" customHeight="1">
      <c r="A5" s="4" t="s">
        <v>1</v>
      </c>
      <c r="B5" s="5">
        <v>2022</v>
      </c>
      <c r="C5" s="14" t="s">
        <v>53</v>
      </c>
      <c r="D5" s="14" t="s">
        <v>54</v>
      </c>
      <c r="E5" s="3">
        <f t="shared" si="0"/>
        <v>24.363704766097364</v>
      </c>
      <c r="F5" s="6">
        <v>16.687971458361549</v>
      </c>
      <c r="G5" s="6">
        <v>35.011123494352987</v>
      </c>
      <c r="H5" s="6">
        <v>20.77966808981683</v>
      </c>
      <c r="I5" s="6">
        <v>26.546092670697121</v>
      </c>
      <c r="J5" s="6">
        <v>55.40126480099844</v>
      </c>
      <c r="K5" s="6">
        <v>20.08149309790905</v>
      </c>
      <c r="L5" s="6">
        <v>47.264803852361318</v>
      </c>
      <c r="M5" s="6">
        <v>52.258502228936763</v>
      </c>
      <c r="N5" s="6">
        <v>58.838594483381591</v>
      </c>
      <c r="O5" s="6">
        <v>79.655224213071122</v>
      </c>
      <c r="P5" s="8">
        <v>1.6322147999999999</v>
      </c>
      <c r="T5" s="14"/>
    </row>
    <row r="6" spans="1:29" ht="14.4" customHeight="1">
      <c r="A6" s="4" t="s">
        <v>3</v>
      </c>
      <c r="B6" s="5">
        <v>2019</v>
      </c>
      <c r="C6" s="14" t="s">
        <v>51</v>
      </c>
      <c r="D6" s="14" t="s">
        <v>52</v>
      </c>
      <c r="E6" s="3">
        <f t="shared" si="0"/>
        <v>26.201727894151951</v>
      </c>
      <c r="F6" s="6">
        <v>19.783133554204881</v>
      </c>
      <c r="G6" s="6">
        <v>30.33680772058737</v>
      </c>
      <c r="H6" s="6">
        <v>24.958627683087471</v>
      </c>
      <c r="I6" s="6">
        <v>27.08131821547035</v>
      </c>
      <c r="J6" s="6">
        <v>72.372129661653901</v>
      </c>
      <c r="K6" s="6">
        <v>42.193640763567288</v>
      </c>
      <c r="L6" s="6">
        <v>66.530969092371052</v>
      </c>
      <c r="M6" s="6">
        <v>38.350447037124539</v>
      </c>
      <c r="N6" s="6">
        <v>46.68449522242198</v>
      </c>
      <c r="O6" s="6">
        <v>65.416092808592353</v>
      </c>
      <c r="P6" s="8">
        <v>0.23233509999999999</v>
      </c>
      <c r="T6" s="14"/>
    </row>
    <row r="7" spans="1:29" ht="14.4" customHeight="1">
      <c r="A7" s="4" t="s">
        <v>3</v>
      </c>
      <c r="B7" s="5">
        <v>2020</v>
      </c>
      <c r="C7" s="14" t="s">
        <v>51</v>
      </c>
      <c r="D7" s="14" t="s">
        <v>52</v>
      </c>
      <c r="E7" s="3">
        <f t="shared" si="0"/>
        <v>35.62150206411895</v>
      </c>
      <c r="F7" s="6">
        <v>19.580830565746069</v>
      </c>
      <c r="G7" s="6">
        <v>31.588734764299009</v>
      </c>
      <c r="H7" s="6">
        <v>33.127484312489251</v>
      </c>
      <c r="I7" s="6">
        <v>37.36522535051536</v>
      </c>
      <c r="J7" s="6">
        <v>64.801064257540773</v>
      </c>
      <c r="K7" s="6">
        <v>43.275164000271722</v>
      </c>
      <c r="L7" s="6">
        <v>66.902986005319491</v>
      </c>
      <c r="M7" s="6">
        <v>42.494985500227422</v>
      </c>
      <c r="N7" s="6">
        <v>47.886386965702663</v>
      </c>
      <c r="O7" s="6">
        <v>58.277430553084052</v>
      </c>
      <c r="P7" s="8">
        <v>0.16083899999999998</v>
      </c>
      <c r="T7" s="14"/>
    </row>
    <row r="8" spans="1:29" ht="14.4" customHeight="1">
      <c r="A8" s="4" t="s">
        <v>3</v>
      </c>
      <c r="B8" s="5">
        <v>2021</v>
      </c>
      <c r="C8" s="14" t="s">
        <v>51</v>
      </c>
      <c r="D8" s="14" t="s">
        <v>52</v>
      </c>
      <c r="E8" s="3">
        <f t="shared" si="0"/>
        <v>16.840192816577048</v>
      </c>
      <c r="F8" s="6">
        <v>17.16310923052464</v>
      </c>
      <c r="G8" s="6">
        <v>30.495357271851908</v>
      </c>
      <c r="H8" s="6">
        <v>15.06617836557016</v>
      </c>
      <c r="I8" s="6">
        <v>18.035396679570109</v>
      </c>
      <c r="J8" s="6">
        <v>56.236937699335108</v>
      </c>
      <c r="K8" s="6">
        <v>25.740477797444751</v>
      </c>
      <c r="L8" s="6">
        <v>58.182983273209693</v>
      </c>
      <c r="M8" s="6">
        <v>47.625146019632929</v>
      </c>
      <c r="N8" s="6">
        <v>38.105472268672472</v>
      </c>
      <c r="O8" s="6">
        <v>61.90469682101174</v>
      </c>
      <c r="P8" s="8">
        <v>0.23657909999999999</v>
      </c>
      <c r="T8" s="14"/>
    </row>
    <row r="9" spans="1:29" ht="14.4" customHeight="1">
      <c r="A9" s="4" t="s">
        <v>3</v>
      </c>
      <c r="B9" s="5">
        <v>2022</v>
      </c>
      <c r="C9" s="14" t="s">
        <v>51</v>
      </c>
      <c r="D9" s="14" t="s">
        <v>52</v>
      </c>
      <c r="E9" s="3">
        <f t="shared" si="0"/>
        <v>29.131811839320822</v>
      </c>
      <c r="F9" s="6">
        <v>14.016026973973959</v>
      </c>
      <c r="G9" s="6">
        <v>31.74876026528047</v>
      </c>
      <c r="H9" s="6">
        <v>22.52074092490658</v>
      </c>
      <c r="I9" s="6">
        <v>33.469249755885762</v>
      </c>
      <c r="J9" s="6">
        <v>66.563222411254159</v>
      </c>
      <c r="K9" s="6">
        <v>26.395881989640358</v>
      </c>
      <c r="L9" s="6">
        <v>63.799241160750512</v>
      </c>
      <c r="M9" s="6">
        <v>38.531765832826061</v>
      </c>
      <c r="N9" s="6">
        <v>53.441776256168687</v>
      </c>
      <c r="O9" s="6">
        <v>61.640784900934733</v>
      </c>
      <c r="P9" s="8">
        <v>0.18642129999999998</v>
      </c>
      <c r="T9" s="14"/>
    </row>
    <row r="10" spans="1:29" ht="14.4" customHeight="1">
      <c r="A10" s="4" t="s">
        <v>4</v>
      </c>
      <c r="B10" s="5">
        <v>2019</v>
      </c>
      <c r="C10" s="14" t="s">
        <v>55</v>
      </c>
      <c r="D10" s="14" t="s">
        <v>54</v>
      </c>
      <c r="E10" s="3">
        <f t="shared" si="0"/>
        <v>16.27182016643934</v>
      </c>
      <c r="F10" s="6">
        <v>16.963762718705919</v>
      </c>
      <c r="G10" s="6">
        <v>36.78637690482951</v>
      </c>
      <c r="H10" s="6">
        <v>13.461110701776979</v>
      </c>
      <c r="I10" s="6">
        <v>18.005528808193692</v>
      </c>
      <c r="J10" s="6">
        <v>71.190689296223781</v>
      </c>
      <c r="K10" s="6">
        <v>25.6219650682999</v>
      </c>
      <c r="L10" s="6">
        <v>66.211888754572868</v>
      </c>
      <c r="M10" s="6">
        <v>51.03739651552398</v>
      </c>
      <c r="N10" s="6">
        <v>55.65755925504866</v>
      </c>
      <c r="O10" s="6">
        <v>46.44803037967101</v>
      </c>
      <c r="P10" s="8">
        <v>0.38477999999999996</v>
      </c>
      <c r="T10" s="14"/>
    </row>
    <row r="11" spans="1:29" ht="14.4" customHeight="1">
      <c r="A11" s="4" t="s">
        <v>4</v>
      </c>
      <c r="B11" s="5">
        <v>2020</v>
      </c>
      <c r="C11" s="14" t="s">
        <v>55</v>
      </c>
      <c r="D11" s="14" t="s">
        <v>54</v>
      </c>
      <c r="E11" s="3">
        <f t="shared" si="0"/>
        <v>19.042403325102001</v>
      </c>
      <c r="F11" s="6">
        <v>14.792354004934049</v>
      </c>
      <c r="G11" s="6">
        <v>37.270885155117647</v>
      </c>
      <c r="H11" s="6">
        <v>14.181756818419959</v>
      </c>
      <c r="I11" s="6">
        <v>22.040559114270359</v>
      </c>
      <c r="J11" s="6">
        <v>74.99011883709619</v>
      </c>
      <c r="K11" s="6">
        <v>30.452563817510221</v>
      </c>
      <c r="L11" s="6">
        <v>67.75746194375391</v>
      </c>
      <c r="M11" s="6">
        <v>55.403365215011327</v>
      </c>
      <c r="N11" s="6">
        <v>47.152004837134889</v>
      </c>
      <c r="O11" s="6">
        <v>53.474826566448961</v>
      </c>
      <c r="P11" s="8">
        <v>0.2017786</v>
      </c>
      <c r="T11" s="14"/>
    </row>
    <row r="12" spans="1:29" ht="14.4" customHeight="1">
      <c r="A12" s="4" t="s">
        <v>4</v>
      </c>
      <c r="B12" s="5">
        <v>2021</v>
      </c>
      <c r="C12" s="14" t="s">
        <v>55</v>
      </c>
      <c r="D12" s="14" t="s">
        <v>54</v>
      </c>
      <c r="E12" s="3">
        <f t="shared" si="0"/>
        <v>18.135303014715891</v>
      </c>
      <c r="F12" s="6">
        <v>13.45744832492522</v>
      </c>
      <c r="G12" s="6">
        <v>37.330464271351318</v>
      </c>
      <c r="H12" s="6">
        <v>12.14955987575056</v>
      </c>
      <c r="I12" s="6">
        <v>22.051834089750059</v>
      </c>
      <c r="J12" s="6">
        <v>71.065817394537618</v>
      </c>
      <c r="K12" s="6">
        <v>27.926318714037158</v>
      </c>
      <c r="L12" s="6">
        <v>67.954471556730667</v>
      </c>
      <c r="M12" s="6">
        <v>49.913850226238793</v>
      </c>
      <c r="N12" s="6">
        <v>58.330549146076287</v>
      </c>
      <c r="O12" s="6">
        <v>53.474131947780421</v>
      </c>
      <c r="P12" s="8">
        <v>0.33180009999999999</v>
      </c>
      <c r="T12" s="14"/>
    </row>
    <row r="13" spans="1:29" ht="14.4" customHeight="1">
      <c r="A13" s="4" t="s">
        <v>4</v>
      </c>
      <c r="B13" s="5">
        <v>2022</v>
      </c>
      <c r="C13" s="14" t="s">
        <v>55</v>
      </c>
      <c r="D13" s="14" t="s">
        <v>54</v>
      </c>
      <c r="E13" s="3">
        <f t="shared" si="0"/>
        <v>21.332059607650926</v>
      </c>
      <c r="F13" s="6">
        <v>9.3918358380878608</v>
      </c>
      <c r="G13" s="6">
        <v>40.985287189456322</v>
      </c>
      <c r="H13" s="6">
        <v>12.945794481045789</v>
      </c>
      <c r="I13" s="6">
        <v>25.05068063376682</v>
      </c>
      <c r="J13" s="6">
        <v>73.611628433436692</v>
      </c>
      <c r="K13" s="6">
        <v>26.441132016488272</v>
      </c>
      <c r="L13" s="6">
        <v>66.48204667659752</v>
      </c>
      <c r="M13" s="6">
        <v>52.224343699371289</v>
      </c>
      <c r="N13" s="6">
        <v>60.015603012934818</v>
      </c>
      <c r="O13" s="6">
        <v>54.826479734217749</v>
      </c>
      <c r="P13" s="8">
        <v>0.29933080000000001</v>
      </c>
      <c r="T13" s="14"/>
    </row>
    <row r="14" spans="1:29" ht="14.4" customHeight="1">
      <c r="A14" s="4" t="s">
        <v>5</v>
      </c>
      <c r="B14" s="5">
        <v>2019</v>
      </c>
      <c r="C14" s="14" t="s">
        <v>55</v>
      </c>
      <c r="D14" s="14" t="s">
        <v>54</v>
      </c>
      <c r="E14" s="3">
        <f t="shared" si="0"/>
        <v>14.419340018235106</v>
      </c>
      <c r="F14" s="6">
        <v>13.731835520846071</v>
      </c>
      <c r="G14" s="6">
        <v>35.408215319803197</v>
      </c>
      <c r="H14" s="6">
        <v>10.590709308759349</v>
      </c>
      <c r="I14" s="6">
        <v>16.770542915931891</v>
      </c>
      <c r="J14" s="6">
        <v>58.16384505147316</v>
      </c>
      <c r="K14" s="6">
        <v>24.872161922398931</v>
      </c>
      <c r="L14" s="6">
        <v>55.992767952685931</v>
      </c>
      <c r="M14" s="6">
        <v>42.768593778617642</v>
      </c>
      <c r="N14" s="6">
        <v>38.522866267441231</v>
      </c>
      <c r="O14" s="6">
        <v>76.68839459079939</v>
      </c>
      <c r="P14" s="8">
        <v>1.0395498999999999</v>
      </c>
      <c r="T14" s="14"/>
    </row>
    <row r="15" spans="1:29" ht="14.4" customHeight="1">
      <c r="A15" s="4" t="s">
        <v>5</v>
      </c>
      <c r="B15" s="5">
        <v>2020</v>
      </c>
      <c r="C15" s="14" t="s">
        <v>55</v>
      </c>
      <c r="D15" s="14" t="s">
        <v>54</v>
      </c>
      <c r="E15" s="3">
        <f t="shared" si="0"/>
        <v>9.4711194097086313</v>
      </c>
      <c r="F15" s="6">
        <v>9.2696297029876078</v>
      </c>
      <c r="G15" s="6">
        <v>32.495259510833932</v>
      </c>
      <c r="H15" s="6">
        <v>5.4312002009710056</v>
      </c>
      <c r="I15" s="6">
        <v>12.022043531016671</v>
      </c>
      <c r="J15" s="6">
        <v>58.10071998109094</v>
      </c>
      <c r="K15" s="6">
        <v>22.648570899524401</v>
      </c>
      <c r="L15" s="6">
        <v>68.092603252790212</v>
      </c>
      <c r="M15" s="6">
        <v>55.82693200704616</v>
      </c>
      <c r="N15" s="6">
        <v>21.095679016815389</v>
      </c>
      <c r="O15" s="6">
        <v>70.651470960424462</v>
      </c>
      <c r="P15" s="8">
        <v>0.89791939999999992</v>
      </c>
      <c r="T15" s="14"/>
    </row>
    <row r="16" spans="1:29" ht="14.4" customHeight="1">
      <c r="A16" s="4" t="s">
        <v>5</v>
      </c>
      <c r="B16" s="5">
        <v>2021</v>
      </c>
      <c r="C16" s="14" t="s">
        <v>55</v>
      </c>
      <c r="D16" s="14" t="s">
        <v>54</v>
      </c>
      <c r="E16" s="3">
        <f t="shared" si="0"/>
        <v>8.1371191135733945</v>
      </c>
      <c r="F16" s="6">
        <v>7.1141709695926574</v>
      </c>
      <c r="G16" s="6">
        <v>33.333333333333343</v>
      </c>
      <c r="H16" s="6">
        <v>3.736065079843323</v>
      </c>
      <c r="I16" s="6">
        <v>10.869971936389129</v>
      </c>
      <c r="J16" s="6">
        <v>64.047675521821816</v>
      </c>
      <c r="K16" s="6">
        <v>17.297960435516181</v>
      </c>
      <c r="L16" s="6">
        <v>72.912983696719934</v>
      </c>
      <c r="M16" s="6">
        <v>53.101594008066343</v>
      </c>
      <c r="N16" s="6">
        <v>50.174658621784857</v>
      </c>
      <c r="O16" s="6">
        <v>75.396168777445538</v>
      </c>
      <c r="P16" s="8">
        <v>0.84848729999999994</v>
      </c>
      <c r="T16" s="14"/>
    </row>
    <row r="17" spans="1:20" ht="14.4" customHeight="1">
      <c r="A17" s="4" t="s">
        <v>5</v>
      </c>
      <c r="B17" s="5">
        <v>2022</v>
      </c>
      <c r="C17" s="14" t="s">
        <v>55</v>
      </c>
      <c r="D17" s="14" t="s">
        <v>54</v>
      </c>
      <c r="E17" s="3">
        <f t="shared" si="0"/>
        <v>12.446601189938429</v>
      </c>
      <c r="F17" s="6">
        <v>19.348793628484401</v>
      </c>
      <c r="G17" s="6">
        <v>37.128133052237061</v>
      </c>
      <c r="H17" s="6">
        <v>10.99135063206918</v>
      </c>
      <c r="I17" s="6">
        <v>13.369040339075969</v>
      </c>
      <c r="J17" s="6">
        <v>52.659880929517513</v>
      </c>
      <c r="K17" s="6">
        <v>21.07793020310368</v>
      </c>
      <c r="L17" s="6">
        <v>82.389648213212254</v>
      </c>
      <c r="M17" s="6">
        <v>56.265386209081548</v>
      </c>
      <c r="N17" s="6">
        <v>26.783164440349928</v>
      </c>
      <c r="O17" s="6">
        <v>71.697534545330385</v>
      </c>
      <c r="P17" s="8">
        <v>0.73313129999999993</v>
      </c>
      <c r="T17" s="14"/>
    </row>
    <row r="18" spans="1:20" ht="14.4" customHeight="1">
      <c r="A18" s="4" t="s">
        <v>6</v>
      </c>
      <c r="B18" s="5">
        <v>2019</v>
      </c>
      <c r="C18" s="14" t="s">
        <v>56</v>
      </c>
      <c r="D18" s="14" t="s">
        <v>57</v>
      </c>
      <c r="E18" s="3">
        <f t="shared" si="0"/>
        <v>7.8588873944852313</v>
      </c>
      <c r="F18" s="6">
        <v>34.58916582443365</v>
      </c>
      <c r="G18" s="6">
        <v>31.013293285549871</v>
      </c>
      <c r="H18" s="6">
        <v>7.8950210849035516</v>
      </c>
      <c r="I18" s="6">
        <v>7.8189756154918744</v>
      </c>
      <c r="J18" s="6">
        <v>67.257524472285638</v>
      </c>
      <c r="K18" s="6">
        <v>62.930827235446628</v>
      </c>
      <c r="L18" s="6">
        <v>51.969732876442109</v>
      </c>
      <c r="M18" s="6">
        <v>50.276734589389832</v>
      </c>
      <c r="N18" s="6">
        <v>73.531668836444496</v>
      </c>
      <c r="O18" s="6">
        <v>86.153074384537774</v>
      </c>
      <c r="P18" s="8">
        <v>-0.70284369999999996</v>
      </c>
      <c r="T18" s="14"/>
    </row>
    <row r="19" spans="1:20" ht="14.4" customHeight="1">
      <c r="A19" s="4" t="s">
        <v>6</v>
      </c>
      <c r="B19" s="5">
        <v>2020</v>
      </c>
      <c r="C19" s="14" t="s">
        <v>56</v>
      </c>
      <c r="D19" s="14" t="s">
        <v>57</v>
      </c>
      <c r="E19" s="3">
        <f t="shared" si="0"/>
        <v>12.393473455778105</v>
      </c>
      <c r="F19" s="6">
        <v>33.920028843012368</v>
      </c>
      <c r="G19" s="6">
        <v>27.432501258298679</v>
      </c>
      <c r="H19" s="6">
        <v>13.039285850786261</v>
      </c>
      <c r="I19" s="6">
        <v>11.67828197552717</v>
      </c>
      <c r="J19" s="6">
        <v>56.11281207569273</v>
      </c>
      <c r="K19" s="6">
        <v>56.866440193985163</v>
      </c>
      <c r="L19" s="6">
        <v>34.913697751555652</v>
      </c>
      <c r="M19" s="6">
        <v>37.545085370752659</v>
      </c>
      <c r="N19" s="6">
        <v>65.665339561484018</v>
      </c>
      <c r="O19" s="6">
        <v>75.73755242048972</v>
      </c>
      <c r="P19" s="8">
        <v>-0.63559089999999996</v>
      </c>
      <c r="T19" s="14"/>
    </row>
    <row r="20" spans="1:20" ht="14.4" customHeight="1">
      <c r="A20" s="4" t="s">
        <v>6</v>
      </c>
      <c r="B20" s="5">
        <v>2021</v>
      </c>
      <c r="C20" s="14" t="s">
        <v>56</v>
      </c>
      <c r="D20" s="14" t="s">
        <v>57</v>
      </c>
      <c r="E20" s="3">
        <f t="shared" si="0"/>
        <v>10.678132770128556</v>
      </c>
      <c r="F20" s="6">
        <v>31.970783266908381</v>
      </c>
      <c r="G20" s="6">
        <v>32.731574844298123</v>
      </c>
      <c r="H20" s="6">
        <v>10.02658605580409</v>
      </c>
      <c r="I20" s="6">
        <v>11.40182377164736</v>
      </c>
      <c r="J20" s="6">
        <v>65.791912253512763</v>
      </c>
      <c r="K20" s="6">
        <v>56.367299907921222</v>
      </c>
      <c r="L20" s="6">
        <v>30.758168693545059</v>
      </c>
      <c r="M20" s="6">
        <v>48.221845641574248</v>
      </c>
      <c r="N20" s="6">
        <v>73.23920270434941</v>
      </c>
      <c r="O20" s="6">
        <v>81.964038724860828</v>
      </c>
      <c r="P20" s="8">
        <v>-0.57013789999999998</v>
      </c>
      <c r="T20" s="14"/>
    </row>
    <row r="21" spans="1:20" ht="14.4" customHeight="1">
      <c r="A21" s="4" t="s">
        <v>6</v>
      </c>
      <c r="B21" s="5">
        <v>2022</v>
      </c>
      <c r="C21" s="14" t="s">
        <v>56</v>
      </c>
      <c r="D21" s="14" t="s">
        <v>57</v>
      </c>
      <c r="E21" s="3">
        <f t="shared" si="0"/>
        <v>7.5479927601678778</v>
      </c>
      <c r="F21" s="6">
        <v>22.925428648448069</v>
      </c>
      <c r="G21" s="6">
        <v>40.71570526475125</v>
      </c>
      <c r="H21" s="6">
        <v>5.2129544378170554</v>
      </c>
      <c r="I21" s="6">
        <v>10.093758957034231</v>
      </c>
      <c r="J21" s="6">
        <v>62.756866582591563</v>
      </c>
      <c r="K21" s="6">
        <v>48.311029953508857</v>
      </c>
      <c r="L21" s="6">
        <v>32.94398301130289</v>
      </c>
      <c r="M21" s="6">
        <v>43.433027985408494</v>
      </c>
      <c r="N21" s="6">
        <v>63.714781099096271</v>
      </c>
      <c r="O21" s="6">
        <v>78.308127928039738</v>
      </c>
      <c r="P21" s="8">
        <v>-0.66850169999999998</v>
      </c>
      <c r="T21" s="14"/>
    </row>
    <row r="22" spans="1:20" ht="14.4" customHeight="1">
      <c r="A22" s="4" t="s">
        <v>7</v>
      </c>
      <c r="B22" s="5">
        <v>2019</v>
      </c>
      <c r="C22" s="14" t="s">
        <v>55</v>
      </c>
      <c r="D22" s="14" t="s">
        <v>54</v>
      </c>
      <c r="E22" s="3">
        <f t="shared" si="0"/>
        <v>11.190852718252332</v>
      </c>
      <c r="F22" s="6">
        <v>16.154978164536619</v>
      </c>
      <c r="G22" s="6">
        <v>32.041399309440664</v>
      </c>
      <c r="H22" s="6">
        <v>10.141804511115261</v>
      </c>
      <c r="I22" s="6">
        <v>11.806596198348929</v>
      </c>
      <c r="J22" s="6">
        <v>45.794624258358567</v>
      </c>
      <c r="K22" s="6">
        <v>12.52883855058808</v>
      </c>
      <c r="L22" s="6">
        <v>46.365902283343409</v>
      </c>
      <c r="M22" s="6">
        <v>37.369602992067627</v>
      </c>
      <c r="N22" s="6">
        <v>52.178481491086544</v>
      </c>
      <c r="O22" s="6">
        <v>80.684664452737437</v>
      </c>
      <c r="P22" s="8">
        <v>1.6651378999999999</v>
      </c>
      <c r="T22" s="14"/>
    </row>
    <row r="23" spans="1:20" ht="14.4" customHeight="1">
      <c r="A23" s="4" t="s">
        <v>7</v>
      </c>
      <c r="B23" s="5">
        <v>2020</v>
      </c>
      <c r="C23" s="14" t="s">
        <v>55</v>
      </c>
      <c r="D23" s="14" t="s">
        <v>54</v>
      </c>
      <c r="E23" s="3">
        <f t="shared" si="0"/>
        <v>6.6197927283137252</v>
      </c>
      <c r="F23" s="6">
        <v>16.24944026441138</v>
      </c>
      <c r="G23" s="6">
        <v>27.432032120087609</v>
      </c>
      <c r="H23" s="6">
        <v>6.792756585549391</v>
      </c>
      <c r="I23" s="6">
        <v>6.5214295525658512</v>
      </c>
      <c r="J23" s="6">
        <v>47.582180398739851</v>
      </c>
      <c r="K23" s="6">
        <v>12.656063980963889</v>
      </c>
      <c r="L23" s="6">
        <v>44.417792961541949</v>
      </c>
      <c r="M23" s="6">
        <v>38.401637565706039</v>
      </c>
      <c r="N23" s="6">
        <v>36.015485563417627</v>
      </c>
      <c r="O23" s="6">
        <v>81.824040227556551</v>
      </c>
      <c r="P23" s="8">
        <v>1.5622144999999998</v>
      </c>
      <c r="T23" s="14"/>
    </row>
    <row r="24" spans="1:20" ht="14.4" customHeight="1">
      <c r="A24" s="4" t="s">
        <v>7</v>
      </c>
      <c r="B24" s="5">
        <v>2021</v>
      </c>
      <c r="C24" s="14" t="s">
        <v>55</v>
      </c>
      <c r="D24" s="14" t="s">
        <v>54</v>
      </c>
      <c r="E24" s="3">
        <f t="shared" si="0"/>
        <v>9.4072371741462213</v>
      </c>
      <c r="F24" s="6">
        <v>14.513212191889</v>
      </c>
      <c r="G24" s="6">
        <v>29.959930775072181</v>
      </c>
      <c r="H24" s="6">
        <v>8.3251868784748222</v>
      </c>
      <c r="I24" s="6">
        <v>10.03933010133064</v>
      </c>
      <c r="J24" s="6">
        <v>37.133922628651931</v>
      </c>
      <c r="K24" s="6">
        <v>8.6442554058126984</v>
      </c>
      <c r="L24" s="6">
        <v>39.881694740109921</v>
      </c>
      <c r="M24" s="6">
        <v>45.498607309762463</v>
      </c>
      <c r="N24" s="6">
        <v>48.172158250706239</v>
      </c>
      <c r="O24" s="6">
        <v>82.649853608621214</v>
      </c>
      <c r="P24" s="8">
        <v>1.6129104999999999</v>
      </c>
      <c r="T24" s="14"/>
    </row>
    <row r="25" spans="1:20" ht="14.4" customHeight="1">
      <c r="A25" s="4" t="s">
        <v>7</v>
      </c>
      <c r="B25" s="5">
        <v>2022</v>
      </c>
      <c r="C25" s="14" t="s">
        <v>55</v>
      </c>
      <c r="D25" s="14" t="s">
        <v>54</v>
      </c>
      <c r="E25" s="3">
        <f t="shared" si="0"/>
        <v>13.866584011836341</v>
      </c>
      <c r="F25" s="6">
        <v>19.500862847890069</v>
      </c>
      <c r="G25" s="6">
        <v>29.768880241165441</v>
      </c>
      <c r="H25" s="6">
        <v>15.15102174930424</v>
      </c>
      <c r="I25" s="6">
        <v>13.137026489393071</v>
      </c>
      <c r="J25" s="6">
        <v>36.183071861300583</v>
      </c>
      <c r="K25" s="6">
        <v>10.3098322163746</v>
      </c>
      <c r="L25" s="6">
        <v>34.210350827726181</v>
      </c>
      <c r="M25" s="6">
        <v>47.405380205571348</v>
      </c>
      <c r="N25" s="6">
        <v>39.518503071596498</v>
      </c>
      <c r="O25" s="6">
        <v>79.777890619153169</v>
      </c>
      <c r="P25" s="8">
        <v>1.5636199</v>
      </c>
      <c r="T25" s="14"/>
    </row>
    <row r="26" spans="1:20" ht="14.4" customHeight="1">
      <c r="A26" s="4" t="s">
        <v>8</v>
      </c>
      <c r="B26" s="5">
        <v>2019</v>
      </c>
      <c r="C26" s="14" t="s">
        <v>55</v>
      </c>
      <c r="D26" s="14" t="s">
        <v>54</v>
      </c>
      <c r="E26" s="3">
        <f t="shared" si="0"/>
        <v>9.0169408414219667</v>
      </c>
      <c r="F26" s="6">
        <v>25.678069732495381</v>
      </c>
      <c r="G26" s="6">
        <v>18.80234347908085</v>
      </c>
      <c r="H26" s="6">
        <v>13.156606045568219</v>
      </c>
      <c r="I26" s="6">
        <v>6.3068482818687066</v>
      </c>
      <c r="J26" s="6">
        <v>51.637569160380778</v>
      </c>
      <c r="K26" s="6">
        <v>14.443763641804191</v>
      </c>
      <c r="L26" s="6">
        <v>30.11711047639918</v>
      </c>
      <c r="M26" s="6">
        <v>46.73521341901656</v>
      </c>
      <c r="N26" s="6">
        <v>49.855327978668448</v>
      </c>
      <c r="O26" s="6">
        <v>49.326872792653219</v>
      </c>
      <c r="P26" s="8">
        <v>0.41867349999999998</v>
      </c>
      <c r="T26" s="14"/>
    </row>
    <row r="27" spans="1:20" ht="14.4" customHeight="1">
      <c r="A27" s="4" t="s">
        <v>8</v>
      </c>
      <c r="B27" s="5">
        <v>2020</v>
      </c>
      <c r="C27" s="14" t="s">
        <v>55</v>
      </c>
      <c r="D27" s="14" t="s">
        <v>54</v>
      </c>
      <c r="E27" s="3">
        <f t="shared" si="0"/>
        <v>13.067831178378924</v>
      </c>
      <c r="F27" s="6">
        <v>33.459476068903221</v>
      </c>
      <c r="G27" s="6">
        <v>27.68432948707428</v>
      </c>
      <c r="H27" s="6">
        <v>18.2026149051472</v>
      </c>
      <c r="I27" s="6">
        <v>9.7453019984143303</v>
      </c>
      <c r="J27" s="6">
        <v>53.249488021507382</v>
      </c>
      <c r="K27" s="6">
        <v>12.628751603565521</v>
      </c>
      <c r="L27" s="6">
        <v>32.478156735430751</v>
      </c>
      <c r="M27" s="6">
        <v>62.827082186964823</v>
      </c>
      <c r="N27" s="6">
        <v>27.899585682109642</v>
      </c>
      <c r="O27" s="6">
        <v>70.261683776994545</v>
      </c>
      <c r="P27" s="8">
        <v>0.44206249999999997</v>
      </c>
      <c r="T27" s="14"/>
    </row>
    <row r="28" spans="1:20" ht="14.4" customHeight="1">
      <c r="A28" s="4" t="s">
        <v>8</v>
      </c>
      <c r="B28" s="5">
        <v>2021</v>
      </c>
      <c r="C28" s="14" t="s">
        <v>55</v>
      </c>
      <c r="D28" s="14" t="s">
        <v>54</v>
      </c>
      <c r="E28" s="3">
        <f t="shared" si="0"/>
        <v>6.7612375323300471</v>
      </c>
      <c r="F28" s="6">
        <v>21.75454852154154</v>
      </c>
      <c r="G28" s="6">
        <v>27.81539117726501</v>
      </c>
      <c r="H28" s="6">
        <v>7.4998067758093399</v>
      </c>
      <c r="I28" s="6">
        <v>6.2777243812880537</v>
      </c>
      <c r="J28" s="6">
        <v>53.09778407318386</v>
      </c>
      <c r="K28" s="6">
        <v>10.946591311218061</v>
      </c>
      <c r="L28" s="6">
        <v>32.566274233102718</v>
      </c>
      <c r="M28" s="6">
        <v>55.846575056547742</v>
      </c>
      <c r="N28" s="6">
        <v>48.634317694123787</v>
      </c>
      <c r="O28" s="6">
        <v>64.109990447834264</v>
      </c>
      <c r="P28" s="8">
        <v>0.39629209999999998</v>
      </c>
      <c r="T28" s="14"/>
    </row>
    <row r="29" spans="1:20" ht="14.4" customHeight="1">
      <c r="A29" s="4" t="s">
        <v>8</v>
      </c>
      <c r="B29" s="5">
        <v>2022</v>
      </c>
      <c r="C29" s="14" t="s">
        <v>55</v>
      </c>
      <c r="D29" s="14" t="s">
        <v>54</v>
      </c>
      <c r="E29" s="3">
        <f t="shared" si="0"/>
        <v>5.1368941387671399</v>
      </c>
      <c r="F29" s="6">
        <v>16.201913791778971</v>
      </c>
      <c r="G29" s="6">
        <v>27.01738967444113</v>
      </c>
      <c r="H29" s="6">
        <v>4.9064874784782626</v>
      </c>
      <c r="I29" s="6">
        <v>5.285745747772701</v>
      </c>
      <c r="J29" s="6">
        <v>53.772462520926283</v>
      </c>
      <c r="K29" s="6">
        <v>9.490341924230151</v>
      </c>
      <c r="L29" s="6">
        <v>28.497742277288921</v>
      </c>
      <c r="M29" s="6">
        <v>60.584927675679033</v>
      </c>
      <c r="N29" s="6">
        <v>36.345739923579558</v>
      </c>
      <c r="O29" s="6">
        <v>72.000185348122173</v>
      </c>
      <c r="P29" s="8">
        <v>0.42123679999999997</v>
      </c>
      <c r="T29" s="14"/>
    </row>
    <row r="30" spans="1:20" ht="14.4" customHeight="1">
      <c r="A30" s="4" t="s">
        <v>9</v>
      </c>
      <c r="B30" s="5">
        <v>2019</v>
      </c>
      <c r="C30" s="14" t="s">
        <v>51</v>
      </c>
      <c r="D30" s="14" t="s">
        <v>52</v>
      </c>
      <c r="E30" s="3">
        <f t="shared" si="0"/>
        <v>27.722479660790924</v>
      </c>
      <c r="F30" s="6">
        <v>24.474860343248871</v>
      </c>
      <c r="G30" s="6">
        <v>39.143985217200232</v>
      </c>
      <c r="H30" s="6">
        <v>22.320759842628579</v>
      </c>
      <c r="I30" s="6">
        <v>32.665167089227758</v>
      </c>
      <c r="J30" s="6">
        <v>77.420880180089199</v>
      </c>
      <c r="K30" s="6">
        <v>51.642468420614527</v>
      </c>
      <c r="L30" s="6">
        <v>68.429710852564668</v>
      </c>
      <c r="M30" s="6">
        <v>39.966095567725013</v>
      </c>
      <c r="N30" s="6">
        <v>67.249891854237958</v>
      </c>
      <c r="O30" s="6">
        <v>80.795276216205693</v>
      </c>
      <c r="P30" s="8">
        <v>-0.42314779999999996</v>
      </c>
      <c r="T30" s="14"/>
    </row>
    <row r="31" spans="1:20" ht="14.4" customHeight="1">
      <c r="A31" s="4" t="s">
        <v>9</v>
      </c>
      <c r="B31" s="5">
        <v>2020</v>
      </c>
      <c r="C31" s="14" t="s">
        <v>51</v>
      </c>
      <c r="D31" s="14" t="s">
        <v>52</v>
      </c>
      <c r="E31" s="3">
        <f t="shared" si="0"/>
        <v>32.08967625670936</v>
      </c>
      <c r="F31" s="6">
        <v>30.212616501567911</v>
      </c>
      <c r="G31" s="6">
        <v>33.580470196466372</v>
      </c>
      <c r="H31" s="6">
        <v>32.937321517023349</v>
      </c>
      <c r="I31" s="6">
        <v>31.36348381967618</v>
      </c>
      <c r="J31" s="6">
        <v>74.417598306828353</v>
      </c>
      <c r="K31" s="6">
        <v>50.003673145901971</v>
      </c>
      <c r="L31" s="6">
        <v>71.368921452189568</v>
      </c>
      <c r="M31" s="6">
        <v>40.958032352705217</v>
      </c>
      <c r="N31" s="6">
        <v>62.648216451713822</v>
      </c>
      <c r="O31" s="6">
        <v>78.601837327406386</v>
      </c>
      <c r="P31" s="8">
        <v>-0.37707659999999998</v>
      </c>
      <c r="T31" s="14"/>
    </row>
    <row r="32" spans="1:20" ht="14.4" customHeight="1">
      <c r="A32" s="4" t="s">
        <v>9</v>
      </c>
      <c r="B32" s="5">
        <v>2021</v>
      </c>
      <c r="C32" s="14" t="s">
        <v>51</v>
      </c>
      <c r="D32" s="14" t="s">
        <v>52</v>
      </c>
      <c r="E32" s="3">
        <f t="shared" si="0"/>
        <v>31.168908875264531</v>
      </c>
      <c r="F32" s="6">
        <v>25.982857309336978</v>
      </c>
      <c r="G32" s="6">
        <v>35.361211092915688</v>
      </c>
      <c r="H32" s="6">
        <v>28.508817982290381</v>
      </c>
      <c r="I32" s="6">
        <v>33.463177237553751</v>
      </c>
      <c r="J32" s="6">
        <v>76.327279419460979</v>
      </c>
      <c r="K32" s="6">
        <v>46.334792188678698</v>
      </c>
      <c r="L32" s="6">
        <v>71.11250936768414</v>
      </c>
      <c r="M32" s="6">
        <v>40.253995283871873</v>
      </c>
      <c r="N32" s="6">
        <v>69.110946397987462</v>
      </c>
      <c r="O32" s="6">
        <v>79.83153727642015</v>
      </c>
      <c r="P32" s="8">
        <v>-0.38599279999999997</v>
      </c>
      <c r="T32" s="14"/>
    </row>
    <row r="33" spans="1:20" ht="14.4" customHeight="1">
      <c r="A33" s="4" t="s">
        <v>9</v>
      </c>
      <c r="B33" s="5">
        <v>2022</v>
      </c>
      <c r="C33" s="14" t="s">
        <v>51</v>
      </c>
      <c r="D33" s="14" t="s">
        <v>52</v>
      </c>
      <c r="E33" s="3">
        <f t="shared" si="0"/>
        <v>35.158372520667442</v>
      </c>
      <c r="F33" s="6">
        <v>28.387404264898251</v>
      </c>
      <c r="G33" s="6">
        <v>37.729384547400677</v>
      </c>
      <c r="H33" s="6">
        <v>33.209609129614329</v>
      </c>
      <c r="I33" s="6">
        <v>36.782353052751411</v>
      </c>
      <c r="J33" s="6">
        <v>77.527400852706165</v>
      </c>
      <c r="K33" s="6">
        <v>47.293580920443418</v>
      </c>
      <c r="L33" s="6">
        <v>71.504967886268176</v>
      </c>
      <c r="M33" s="6">
        <v>42.246578385406707</v>
      </c>
      <c r="N33" s="6">
        <v>68.266298768882621</v>
      </c>
      <c r="O33" s="6">
        <v>80.790437245560526</v>
      </c>
      <c r="P33" s="8">
        <v>-0.38170179999999998</v>
      </c>
      <c r="T33" s="14"/>
    </row>
    <row r="34" spans="1:20" ht="14.4" customHeight="1">
      <c r="A34" s="4" t="s">
        <v>10</v>
      </c>
      <c r="B34" s="5">
        <v>2019</v>
      </c>
      <c r="C34" s="14" t="s">
        <v>58</v>
      </c>
      <c r="D34" s="14" t="s">
        <v>57</v>
      </c>
      <c r="E34" s="3">
        <f t="shared" si="0"/>
        <v>15.841161042641355</v>
      </c>
      <c r="F34" s="6">
        <v>22.875082274607259</v>
      </c>
      <c r="G34" s="6">
        <v>31.508958794791852</v>
      </c>
      <c r="H34" s="6">
        <v>14.579622769524651</v>
      </c>
      <c r="I34" s="6">
        <v>16.902968414031321</v>
      </c>
      <c r="J34" s="6">
        <v>85.146945639736842</v>
      </c>
      <c r="K34" s="6">
        <v>34.914051765700947</v>
      </c>
      <c r="L34" s="6">
        <v>64.424651214930037</v>
      </c>
      <c r="M34" s="6">
        <v>55.936490323505481</v>
      </c>
      <c r="N34" s="6">
        <v>83.144798668797904</v>
      </c>
      <c r="O34" s="6">
        <v>92.3031983100594</v>
      </c>
      <c r="P34" s="8">
        <v>-9.8120499999999999E-2</v>
      </c>
      <c r="T34" s="14"/>
    </row>
    <row r="35" spans="1:20" ht="14.4" customHeight="1">
      <c r="A35" s="4" t="s">
        <v>10</v>
      </c>
      <c r="B35" s="5">
        <v>2020</v>
      </c>
      <c r="C35" s="14" t="s">
        <v>58</v>
      </c>
      <c r="D35" s="14" t="s">
        <v>57</v>
      </c>
      <c r="E35" s="3">
        <f t="shared" si="0"/>
        <v>5.5167000550615697</v>
      </c>
      <c r="F35" s="6">
        <v>18.60924535756617</v>
      </c>
      <c r="G35" s="6">
        <v>34.548738499745987</v>
      </c>
      <c r="H35" s="6">
        <v>4.2244858735345092</v>
      </c>
      <c r="I35" s="6">
        <v>6.6049442663990581</v>
      </c>
      <c r="J35" s="6">
        <v>81.651000007454769</v>
      </c>
      <c r="K35" s="6">
        <v>22.420463182713728</v>
      </c>
      <c r="L35" s="6">
        <v>61.877095563359482</v>
      </c>
      <c r="M35" s="6">
        <v>48.821607676729087</v>
      </c>
      <c r="N35" s="6">
        <v>82.450703038897259</v>
      </c>
      <c r="O35" s="6">
        <v>86.055178530833672</v>
      </c>
      <c r="P35" s="8">
        <v>-0.14865339999999999</v>
      </c>
      <c r="T35" s="14"/>
    </row>
    <row r="36" spans="1:20" ht="14.4" customHeight="1">
      <c r="A36" s="4" t="s">
        <v>10</v>
      </c>
      <c r="B36" s="5">
        <v>2021</v>
      </c>
      <c r="C36" s="14" t="s">
        <v>58</v>
      </c>
      <c r="D36" s="14" t="s">
        <v>57</v>
      </c>
      <c r="E36" s="3">
        <f t="shared" si="0"/>
        <v>14.216164749420528</v>
      </c>
      <c r="F36" s="6">
        <v>20.850735719334342</v>
      </c>
      <c r="G36" s="6">
        <v>29.996358885390588</v>
      </c>
      <c r="H36" s="6">
        <v>12.76503678061443</v>
      </c>
      <c r="I36" s="6">
        <v>15.435908740218039</v>
      </c>
      <c r="J36" s="6">
        <v>85.986828002690558</v>
      </c>
      <c r="K36" s="6">
        <v>27.211248511264039</v>
      </c>
      <c r="L36" s="6">
        <v>63.121257332052693</v>
      </c>
      <c r="M36" s="6">
        <v>48.222324101623762</v>
      </c>
      <c r="N36" s="6">
        <v>83.414913297294035</v>
      </c>
      <c r="O36" s="6">
        <v>87.008518316478501</v>
      </c>
      <c r="P36" s="8">
        <v>-0.16991489999999998</v>
      </c>
      <c r="T36" s="14"/>
    </row>
    <row r="37" spans="1:20" ht="14.4" customHeight="1">
      <c r="A37" s="4" t="s">
        <v>10</v>
      </c>
      <c r="B37" s="5">
        <v>2022</v>
      </c>
      <c r="C37" s="14" t="s">
        <v>58</v>
      </c>
      <c r="D37" s="14" t="s">
        <v>57</v>
      </c>
      <c r="E37" s="3">
        <f t="shared" si="0"/>
        <v>9.824086401101054</v>
      </c>
      <c r="F37" s="6">
        <v>20.74724689756134</v>
      </c>
      <c r="G37" s="6">
        <v>22.95305586053172</v>
      </c>
      <c r="H37" s="6">
        <v>10.25337476775359</v>
      </c>
      <c r="I37" s="6">
        <v>9.4658562353361884</v>
      </c>
      <c r="J37" s="6">
        <v>78.075601374569828</v>
      </c>
      <c r="K37" s="6">
        <v>22.233750286582321</v>
      </c>
      <c r="L37" s="6">
        <v>47.408983723471742</v>
      </c>
      <c r="M37" s="6">
        <v>51.164136546029937</v>
      </c>
      <c r="N37" s="6">
        <v>75.45229463259308</v>
      </c>
      <c r="O37" s="6">
        <v>90.516949711096188</v>
      </c>
      <c r="P37" s="8">
        <v>-8.7658E-2</v>
      </c>
      <c r="T37" s="14"/>
    </row>
    <row r="38" spans="1:20" ht="14.4" customHeight="1">
      <c r="A38" s="4" t="s">
        <v>11</v>
      </c>
      <c r="B38" s="5">
        <v>2019</v>
      </c>
      <c r="C38" s="14" t="s">
        <v>56</v>
      </c>
      <c r="D38" s="14" t="s">
        <v>52</v>
      </c>
      <c r="E38" s="3">
        <f t="shared" si="0"/>
        <v>13.474984748813393</v>
      </c>
      <c r="F38" s="6">
        <v>13.98104787303475</v>
      </c>
      <c r="G38" s="6">
        <v>45.910320569978012</v>
      </c>
      <c r="H38" s="6">
        <v>9.571514636066059</v>
      </c>
      <c r="I38" s="6">
        <v>15.385804883450451</v>
      </c>
      <c r="J38" s="6">
        <v>68.8797445866212</v>
      </c>
      <c r="K38" s="6">
        <v>42.342699767518859</v>
      </c>
      <c r="L38" s="6">
        <v>55.106970938810733</v>
      </c>
      <c r="M38" s="6">
        <v>37.37782717941959</v>
      </c>
      <c r="N38" s="6">
        <v>47.679295973435579</v>
      </c>
      <c r="O38" s="6">
        <v>86.573159013101105</v>
      </c>
      <c r="P38" s="8">
        <v>-1.3605616999999999</v>
      </c>
      <c r="T38" s="14"/>
    </row>
    <row r="39" spans="1:20" ht="14.4" customHeight="1">
      <c r="A39" s="4" t="s">
        <v>11</v>
      </c>
      <c r="B39" s="5">
        <v>2020</v>
      </c>
      <c r="C39" s="14" t="s">
        <v>56</v>
      </c>
      <c r="D39" s="14" t="s">
        <v>52</v>
      </c>
      <c r="E39" s="3">
        <f t="shared" si="0"/>
        <v>10.956057402663564</v>
      </c>
      <c r="F39" s="6">
        <v>18.31659443282393</v>
      </c>
      <c r="G39" s="6">
        <v>46.983765615581433</v>
      </c>
      <c r="H39" s="6">
        <v>9.3928510834358949</v>
      </c>
      <c r="I39" s="6">
        <v>11.716213999245859</v>
      </c>
      <c r="J39" s="6">
        <v>64.864063887466216</v>
      </c>
      <c r="K39" s="6">
        <v>24.532205748220679</v>
      </c>
      <c r="L39" s="6">
        <v>33.78384173295553</v>
      </c>
      <c r="M39" s="6">
        <v>39.856540568935173</v>
      </c>
      <c r="N39" s="6">
        <v>13.319201393946701</v>
      </c>
      <c r="O39" s="6">
        <v>94.312650319799147</v>
      </c>
      <c r="P39" s="8">
        <v>-1.3929586999999999</v>
      </c>
      <c r="T39" s="14"/>
    </row>
    <row r="40" spans="1:20" ht="14.4" customHeight="1">
      <c r="A40" s="4" t="s">
        <v>11</v>
      </c>
      <c r="B40" s="5">
        <v>2021</v>
      </c>
      <c r="C40" s="14" t="s">
        <v>56</v>
      </c>
      <c r="D40" s="14" t="s">
        <v>52</v>
      </c>
      <c r="E40" s="3">
        <f t="shared" si="0"/>
        <v>9.1549595345171788</v>
      </c>
      <c r="F40" s="6">
        <v>16.949038481938931</v>
      </c>
      <c r="G40" s="6">
        <v>32.910850303100332</v>
      </c>
      <c r="H40" s="6">
        <v>9.5200688466902967</v>
      </c>
      <c r="I40" s="6">
        <v>8.9776422472794231</v>
      </c>
      <c r="J40" s="6">
        <v>66.436658135001764</v>
      </c>
      <c r="K40" s="6">
        <v>27.551544877103801</v>
      </c>
      <c r="L40" s="6">
        <v>41.871793622510893</v>
      </c>
      <c r="M40" s="6">
        <v>39.923028688219077</v>
      </c>
      <c r="N40" s="6">
        <v>17.866988133806281</v>
      </c>
      <c r="O40" s="6">
        <v>88.71549933939059</v>
      </c>
      <c r="P40" s="8">
        <v>-1.3936203999999999</v>
      </c>
      <c r="T40" s="14"/>
    </row>
    <row r="41" spans="1:20" ht="14.4" customHeight="1">
      <c r="A41" s="4" t="s">
        <v>11</v>
      </c>
      <c r="B41" s="5">
        <v>2022</v>
      </c>
      <c r="C41" s="14" t="s">
        <v>56</v>
      </c>
      <c r="D41" s="14" t="s">
        <v>52</v>
      </c>
      <c r="E41" s="3">
        <f t="shared" si="0"/>
        <v>19.909831174945726</v>
      </c>
      <c r="F41" s="6">
        <v>11.11900017053798</v>
      </c>
      <c r="G41" s="6">
        <v>46.643043612870443</v>
      </c>
      <c r="H41" s="6">
        <v>11.725841451580729</v>
      </c>
      <c r="I41" s="6">
        <v>23.883568207524601</v>
      </c>
      <c r="J41" s="6">
        <v>54.226536936606209</v>
      </c>
      <c r="K41" s="6">
        <v>33.161992016366632</v>
      </c>
      <c r="L41" s="6">
        <v>64.119928113759329</v>
      </c>
      <c r="M41" s="6">
        <v>41.451952144060407</v>
      </c>
      <c r="N41" s="6">
        <v>51.288799744458949</v>
      </c>
      <c r="O41" s="6">
        <v>89.24774355982629</v>
      </c>
      <c r="P41" s="8">
        <v>-1.3976255</v>
      </c>
      <c r="T41" s="14"/>
    </row>
    <row r="42" spans="1:20" ht="14.4" customHeight="1">
      <c r="A42" s="4" t="s">
        <v>12</v>
      </c>
      <c r="B42" s="5">
        <v>2019</v>
      </c>
      <c r="C42" s="14" t="s">
        <v>56</v>
      </c>
      <c r="D42" s="14" t="s">
        <v>54</v>
      </c>
      <c r="E42" s="3">
        <f t="shared" ref="E42:E45" si="3">(F42+G42)/((F42/H42)+(G42/I42))</f>
        <v>13.295221143326799</v>
      </c>
      <c r="F42" s="6">
        <v>13.2643539813419</v>
      </c>
      <c r="G42" s="6">
        <v>31.751155729885259</v>
      </c>
      <c r="H42" s="6">
        <v>9.2873895247140936</v>
      </c>
      <c r="I42" s="6">
        <v>16.219180064575571</v>
      </c>
      <c r="J42" s="6">
        <v>43.342812577213323</v>
      </c>
      <c r="K42" s="6">
        <v>30.369439993070419</v>
      </c>
      <c r="L42" s="6">
        <v>72.60408412384723</v>
      </c>
      <c r="M42" s="6">
        <v>53.510756193135819</v>
      </c>
      <c r="N42" s="6">
        <v>45.995093113874937</v>
      </c>
      <c r="O42" s="6">
        <v>84.134108544118007</v>
      </c>
      <c r="P42" s="8">
        <v>1.2416535</v>
      </c>
      <c r="T42" s="14"/>
    </row>
    <row r="43" spans="1:20" ht="14.4" customHeight="1">
      <c r="A43" s="4" t="s">
        <v>12</v>
      </c>
      <c r="B43" s="5">
        <v>2020</v>
      </c>
      <c r="C43" s="14" t="s">
        <v>56</v>
      </c>
      <c r="D43" s="14" t="s">
        <v>54</v>
      </c>
      <c r="E43" s="3">
        <f t="shared" si="3"/>
        <v>8.4080075356086237</v>
      </c>
      <c r="F43" s="6">
        <v>11.99635560891997</v>
      </c>
      <c r="G43" s="6">
        <v>29.5318449524244</v>
      </c>
      <c r="H43" s="6">
        <v>6.389717079513928</v>
      </c>
      <c r="I43" s="6">
        <v>9.6456404739580233</v>
      </c>
      <c r="J43" s="6">
        <v>37.671534120846339</v>
      </c>
      <c r="K43" s="6">
        <v>22.87056223252474</v>
      </c>
      <c r="L43" s="6">
        <v>68.131157778861848</v>
      </c>
      <c r="M43" s="6">
        <v>56.100419417110189</v>
      </c>
      <c r="N43" s="6">
        <v>25.02868924671909</v>
      </c>
      <c r="O43" s="6">
        <v>83.699406191822845</v>
      </c>
      <c r="P43" s="8">
        <v>1.1520351</v>
      </c>
      <c r="T43" s="14"/>
    </row>
    <row r="44" spans="1:20" ht="14.4" customHeight="1">
      <c r="A44" s="4" t="s">
        <v>12</v>
      </c>
      <c r="B44" s="5">
        <v>2021</v>
      </c>
      <c r="C44" s="14" t="s">
        <v>56</v>
      </c>
      <c r="D44" s="14" t="s">
        <v>54</v>
      </c>
      <c r="E44" s="3">
        <f t="shared" si="3"/>
        <v>9.3356657258844002</v>
      </c>
      <c r="F44" s="6">
        <v>8.911396629694055</v>
      </c>
      <c r="G44" s="6">
        <v>31.462024004503149</v>
      </c>
      <c r="H44" s="6">
        <v>4.8381640127145804</v>
      </c>
      <c r="I44" s="6">
        <v>12.67226564231539</v>
      </c>
      <c r="J44" s="6">
        <v>37.539920964293962</v>
      </c>
      <c r="K44" s="6">
        <v>19.856367963405379</v>
      </c>
      <c r="L44" s="6">
        <v>63.475820280083148</v>
      </c>
      <c r="M44" s="6">
        <v>53.797021663411861</v>
      </c>
      <c r="N44" s="6">
        <v>45.833873863367963</v>
      </c>
      <c r="O44" s="6">
        <v>82.648922141104237</v>
      </c>
      <c r="P44" s="8">
        <v>1.1753426</v>
      </c>
      <c r="T44" s="14"/>
    </row>
    <row r="45" spans="1:20" ht="14.4" customHeight="1">
      <c r="A45" s="4" t="s">
        <v>12</v>
      </c>
      <c r="B45" s="5">
        <v>2022</v>
      </c>
      <c r="C45" s="14" t="s">
        <v>56</v>
      </c>
      <c r="D45" s="14" t="s">
        <v>54</v>
      </c>
      <c r="E45" s="3">
        <f t="shared" si="3"/>
        <v>8.4189911411952281</v>
      </c>
      <c r="F45" s="6">
        <v>10.8963929340722</v>
      </c>
      <c r="G45" s="6">
        <v>29.227267706242969</v>
      </c>
      <c r="H45" s="6">
        <v>5.3698077847256789</v>
      </c>
      <c r="I45" s="6">
        <v>10.67992291296008</v>
      </c>
      <c r="J45" s="6">
        <v>35.413263190983123</v>
      </c>
      <c r="K45" s="6">
        <v>16.197606695256329</v>
      </c>
      <c r="L45" s="6">
        <v>59.224729358508469</v>
      </c>
      <c r="M45" s="6">
        <v>56.475516262891233</v>
      </c>
      <c r="N45" s="6">
        <v>46.747068660732943</v>
      </c>
      <c r="O45" s="6">
        <v>81.335489844664295</v>
      </c>
      <c r="P45" s="8">
        <v>1.1223554999999998</v>
      </c>
      <c r="T45" s="14"/>
    </row>
    <row r="46" spans="1:20" ht="14.4" customHeight="1">
      <c r="A46" s="4" t="s">
        <v>13</v>
      </c>
      <c r="B46" s="5">
        <v>2019</v>
      </c>
      <c r="C46" s="14" t="s">
        <v>59</v>
      </c>
      <c r="D46" s="14" t="s">
        <v>54</v>
      </c>
      <c r="E46" s="3">
        <f t="shared" ref="E46:E53" si="4">(F46+G46)/((F46/H46)+(G46/I46))</f>
        <v>5.9063573883161506</v>
      </c>
      <c r="F46" s="6">
        <v>9.1571375876060532</v>
      </c>
      <c r="G46" s="6">
        <v>23.810402065658451</v>
      </c>
      <c r="H46" s="6">
        <v>4.1124823987409984</v>
      </c>
      <c r="I46" s="6">
        <v>7.0969160573910104</v>
      </c>
      <c r="J46" s="6">
        <v>13.983139778928299</v>
      </c>
      <c r="K46" s="6">
        <v>7.2701391541895646</v>
      </c>
      <c r="L46" s="6">
        <v>17.05518627299438</v>
      </c>
      <c r="M46" s="6">
        <v>39.34485312268572</v>
      </c>
      <c r="N46" s="6">
        <v>10.556482768250801</v>
      </c>
      <c r="O46" s="6">
        <v>62.648772559846101</v>
      </c>
      <c r="P46" s="8">
        <v>1.3886548999999999</v>
      </c>
      <c r="T46" s="14"/>
    </row>
    <row r="47" spans="1:20" ht="14.4" customHeight="1">
      <c r="A47" s="29" t="s">
        <v>13</v>
      </c>
      <c r="B47" s="30">
        <v>2020</v>
      </c>
      <c r="C47" s="25" t="s">
        <v>59</v>
      </c>
      <c r="D47" s="25" t="s">
        <v>54</v>
      </c>
      <c r="E47" s="26">
        <f t="shared" si="4"/>
        <v>5.990059417024292</v>
      </c>
      <c r="F47" s="31">
        <f>AVERAGE(F46,F48)</f>
        <v>8.8002463967755915</v>
      </c>
      <c r="G47" s="31">
        <f t="shared" ref="G47:N47" si="5">AVERAGE(G46,G48)</f>
        <v>22.004813650427451</v>
      </c>
      <c r="H47" s="31">
        <f t="shared" si="5"/>
        <v>4.2795736999950265</v>
      </c>
      <c r="I47" s="31">
        <f t="shared" si="5"/>
        <v>7.1296982170785466</v>
      </c>
      <c r="J47" s="31">
        <f t="shared" si="5"/>
        <v>13.119937065349575</v>
      </c>
      <c r="K47" s="31">
        <f t="shared" si="5"/>
        <v>7.0527599175274478</v>
      </c>
      <c r="L47" s="31">
        <f t="shared" si="5"/>
        <v>18.550168217665998</v>
      </c>
      <c r="M47" s="31">
        <f t="shared" si="5"/>
        <v>39.43914213875388</v>
      </c>
      <c r="N47" s="31">
        <f t="shared" si="5"/>
        <v>11.15061975529259</v>
      </c>
      <c r="O47" s="31">
        <f>AVERAGE(O46,O48)</f>
        <v>62.506017139593908</v>
      </c>
      <c r="P47" s="28">
        <v>1.3671822999999999</v>
      </c>
      <c r="T47" s="14"/>
    </row>
    <row r="48" spans="1:20" ht="14.4" customHeight="1">
      <c r="A48" s="4" t="s">
        <v>13</v>
      </c>
      <c r="B48" s="5">
        <v>2021</v>
      </c>
      <c r="C48" s="14" t="s">
        <v>59</v>
      </c>
      <c r="D48" s="14" t="s">
        <v>54</v>
      </c>
      <c r="E48" s="3">
        <f t="shared" si="4"/>
        <v>6.0696934159825666</v>
      </c>
      <c r="F48" s="6">
        <v>8.443355205945128</v>
      </c>
      <c r="G48" s="6">
        <v>20.199225235196451</v>
      </c>
      <c r="H48" s="6">
        <v>4.4466650012490536</v>
      </c>
      <c r="I48" s="6">
        <v>7.1624803767660827</v>
      </c>
      <c r="J48" s="6">
        <v>12.25673435177085</v>
      </c>
      <c r="K48" s="6">
        <v>6.8353806808653301</v>
      </c>
      <c r="L48" s="6">
        <v>20.04515016233762</v>
      </c>
      <c r="M48" s="6">
        <v>39.533431154822047</v>
      </c>
      <c r="N48" s="6">
        <v>11.744756742334379</v>
      </c>
      <c r="O48" s="6">
        <v>62.363261719341708</v>
      </c>
      <c r="P48" s="8">
        <v>1.3955782999999999</v>
      </c>
      <c r="T48" s="14"/>
    </row>
    <row r="49" spans="1:20" ht="14.4" customHeight="1">
      <c r="A49" s="4" t="s">
        <v>13</v>
      </c>
      <c r="B49" s="5">
        <v>2022</v>
      </c>
      <c r="C49" s="14" t="s">
        <v>59</v>
      </c>
      <c r="D49" s="14" t="s">
        <v>54</v>
      </c>
      <c r="E49" s="3">
        <f t="shared" si="4"/>
        <v>6.0854677673622231</v>
      </c>
      <c r="F49" s="6">
        <v>11.86733731530965</v>
      </c>
      <c r="G49" s="6">
        <v>16.347060672744419</v>
      </c>
      <c r="H49" s="6">
        <v>6.3942409485496317</v>
      </c>
      <c r="I49" s="6">
        <v>5.879360054271018</v>
      </c>
      <c r="J49" s="6">
        <v>14.89386925260952</v>
      </c>
      <c r="K49" s="6">
        <v>9.2609795256479401</v>
      </c>
      <c r="L49" s="6">
        <v>20.42617913500116</v>
      </c>
      <c r="M49" s="6">
        <v>39.4332804248644</v>
      </c>
      <c r="N49" s="6">
        <v>12.69752227475726</v>
      </c>
      <c r="O49" s="6">
        <v>60.393630969071687</v>
      </c>
      <c r="P49" s="8">
        <v>1.4106972</v>
      </c>
      <c r="T49" s="14"/>
    </row>
    <row r="50" spans="1:20" ht="14.4" customHeight="1">
      <c r="A50" s="4" t="s">
        <v>14</v>
      </c>
      <c r="B50" s="5">
        <v>2019</v>
      </c>
      <c r="C50" s="14" t="s">
        <v>55</v>
      </c>
      <c r="D50" s="14" t="s">
        <v>54</v>
      </c>
      <c r="E50" s="3">
        <f t="shared" si="4"/>
        <v>21.430376351917459</v>
      </c>
      <c r="F50" s="6">
        <v>12.36308026859485</v>
      </c>
      <c r="G50" s="6">
        <v>34.141674330976777</v>
      </c>
      <c r="H50" s="6">
        <v>18.904971334299631</v>
      </c>
      <c r="I50" s="6">
        <v>22.519706742998132</v>
      </c>
      <c r="J50" s="6">
        <v>56.972138731991528</v>
      </c>
      <c r="K50" s="6">
        <v>27.961120777829429</v>
      </c>
      <c r="L50" s="6">
        <v>47.018116694937007</v>
      </c>
      <c r="M50" s="6">
        <v>45.991478649064092</v>
      </c>
      <c r="N50" s="6">
        <v>35.552496409189679</v>
      </c>
      <c r="O50" s="6">
        <v>60.279215557641997</v>
      </c>
      <c r="P50" s="8">
        <v>1.0030074</v>
      </c>
      <c r="T50" s="14"/>
    </row>
    <row r="51" spans="1:20" ht="14.4" customHeight="1">
      <c r="A51" s="4" t="s">
        <v>14</v>
      </c>
      <c r="B51" s="5">
        <v>2020</v>
      </c>
      <c r="C51" s="14" t="s">
        <v>55</v>
      </c>
      <c r="D51" s="14" t="s">
        <v>54</v>
      </c>
      <c r="E51" s="3">
        <f t="shared" si="4"/>
        <v>27.544197073673242</v>
      </c>
      <c r="F51" s="6">
        <v>16.18877422227261</v>
      </c>
      <c r="G51" s="6">
        <v>41.454689411059327</v>
      </c>
      <c r="H51" s="6">
        <v>25.575828067096271</v>
      </c>
      <c r="I51" s="6">
        <v>28.397690410929432</v>
      </c>
      <c r="J51" s="6">
        <v>55.310069857990143</v>
      </c>
      <c r="K51" s="6">
        <v>22.634656655443969</v>
      </c>
      <c r="L51" s="6">
        <v>36.793792143348469</v>
      </c>
      <c r="M51" s="6">
        <v>40.791199366445738</v>
      </c>
      <c r="N51" s="6">
        <v>37.071305492134456</v>
      </c>
      <c r="O51" s="6">
        <v>61.84048955727679</v>
      </c>
      <c r="P51" s="8">
        <v>0.98062159999999998</v>
      </c>
      <c r="T51" s="14"/>
    </row>
    <row r="52" spans="1:20" ht="14.4" customHeight="1">
      <c r="A52" s="4" t="s">
        <v>14</v>
      </c>
      <c r="B52" s="5">
        <v>2021</v>
      </c>
      <c r="C52" s="14" t="s">
        <v>55</v>
      </c>
      <c r="D52" s="14" t="s">
        <v>54</v>
      </c>
      <c r="E52" s="3">
        <f t="shared" si="4"/>
        <v>21.971453274039451</v>
      </c>
      <c r="F52" s="6">
        <v>16.785296232479361</v>
      </c>
      <c r="G52" s="6">
        <v>29.393587252784531</v>
      </c>
      <c r="H52" s="6">
        <v>25.655914649330249</v>
      </c>
      <c r="I52" s="6">
        <v>20.30615999796975</v>
      </c>
      <c r="J52" s="6">
        <v>53.328147217155852</v>
      </c>
      <c r="K52" s="6">
        <v>24.57314746843609</v>
      </c>
      <c r="L52" s="6">
        <v>41.137218130572599</v>
      </c>
      <c r="M52" s="6">
        <v>39.10399764586321</v>
      </c>
      <c r="N52" s="6">
        <v>39.639880583509573</v>
      </c>
      <c r="O52" s="6">
        <v>59.651956225549149</v>
      </c>
      <c r="P52" s="8">
        <v>1.1028017999999999</v>
      </c>
      <c r="T52" s="14"/>
    </row>
    <row r="53" spans="1:20" ht="14.4" customHeight="1">
      <c r="A53" s="4" t="s">
        <v>14</v>
      </c>
      <c r="B53" s="5">
        <v>2022</v>
      </c>
      <c r="C53" s="14" t="s">
        <v>55</v>
      </c>
      <c r="D53" s="14" t="s">
        <v>54</v>
      </c>
      <c r="E53" s="3">
        <f t="shared" si="4"/>
        <v>21.121006591881997</v>
      </c>
      <c r="F53" s="6">
        <v>11.34796028787472</v>
      </c>
      <c r="G53" s="6">
        <v>34.555267814070341</v>
      </c>
      <c r="H53" s="6">
        <v>16.281163808198819</v>
      </c>
      <c r="I53" s="6">
        <v>23.405951033744181</v>
      </c>
      <c r="J53" s="6">
        <v>53.878360742931889</v>
      </c>
      <c r="K53" s="6">
        <v>23.481932056393841</v>
      </c>
      <c r="L53" s="6">
        <v>38.022169003704548</v>
      </c>
      <c r="M53" s="6">
        <v>36.87684395317229</v>
      </c>
      <c r="N53" s="6">
        <v>34.564264666445617</v>
      </c>
      <c r="O53" s="6">
        <v>58.063759422071897</v>
      </c>
      <c r="P53" s="8">
        <v>0.95906209999999992</v>
      </c>
      <c r="T53" s="14"/>
    </row>
    <row r="54" spans="1:20" ht="14.4" customHeight="1">
      <c r="A54" s="4" t="s">
        <v>16</v>
      </c>
      <c r="B54" s="5">
        <v>2019</v>
      </c>
      <c r="C54" s="14" t="s">
        <v>56</v>
      </c>
      <c r="D54" s="14" t="s">
        <v>57</v>
      </c>
      <c r="E54" s="3">
        <f t="shared" ref="E54:E57" si="6">(F54+G54)/((F54/H54)+(G54/I54))</f>
        <v>11.060035380028999</v>
      </c>
      <c r="F54" s="6">
        <v>15.770205056211831</v>
      </c>
      <c r="G54" s="6">
        <v>38.250643860275481</v>
      </c>
      <c r="H54" s="6">
        <v>6.4574906258691316</v>
      </c>
      <c r="I54" s="6">
        <v>15.66255180077701</v>
      </c>
      <c r="J54" s="6">
        <v>62.368791101500918</v>
      </c>
      <c r="K54" s="6">
        <v>41.436050755992532</v>
      </c>
      <c r="L54" s="6">
        <v>51.161356912801118</v>
      </c>
      <c r="M54" s="6">
        <v>45.890620889296883</v>
      </c>
      <c r="N54" s="6">
        <v>57.661786032576657</v>
      </c>
      <c r="O54" s="6">
        <v>68.371903623962126</v>
      </c>
      <c r="P54" s="8">
        <v>2.71992E-2</v>
      </c>
      <c r="T54" s="14"/>
    </row>
    <row r="55" spans="1:20" ht="14.4" customHeight="1">
      <c r="A55" s="4" t="s">
        <v>16</v>
      </c>
      <c r="B55" s="5">
        <v>2020</v>
      </c>
      <c r="C55" s="14" t="s">
        <v>56</v>
      </c>
      <c r="D55" s="14" t="s">
        <v>57</v>
      </c>
      <c r="E55" s="3">
        <f t="shared" si="6"/>
        <v>8.4373471442730388</v>
      </c>
      <c r="F55" s="6">
        <v>20.717165521346359</v>
      </c>
      <c r="G55" s="6">
        <v>45.493536440367151</v>
      </c>
      <c r="H55" s="6">
        <v>5.2792317133253208</v>
      </c>
      <c r="I55" s="6">
        <v>11.59644207150432</v>
      </c>
      <c r="J55" s="6">
        <v>63.382037205368761</v>
      </c>
      <c r="K55" s="6">
        <v>48.008995429563093</v>
      </c>
      <c r="L55" s="6">
        <v>42.290089130927619</v>
      </c>
      <c r="M55" s="6">
        <v>39.39269387441972</v>
      </c>
      <c r="N55" s="6">
        <v>57.292071271301673</v>
      </c>
      <c r="O55" s="6">
        <v>73.978712712830017</v>
      </c>
      <c r="P55" s="8">
        <v>6.4827899999999994E-2</v>
      </c>
      <c r="T55" s="14"/>
    </row>
    <row r="56" spans="1:20" ht="14.4" customHeight="1">
      <c r="A56" s="4" t="s">
        <v>16</v>
      </c>
      <c r="B56" s="5">
        <v>2021</v>
      </c>
      <c r="C56" s="14" t="s">
        <v>56</v>
      </c>
      <c r="D56" s="14" t="s">
        <v>57</v>
      </c>
      <c r="E56" s="3">
        <f t="shared" si="6"/>
        <v>6.2902234169299343</v>
      </c>
      <c r="F56" s="6">
        <v>23.558307907551391</v>
      </c>
      <c r="G56" s="6">
        <v>33.920604994146011</v>
      </c>
      <c r="H56" s="6">
        <v>5.1562379562393996</v>
      </c>
      <c r="I56" s="6">
        <v>7.4242018966869896</v>
      </c>
      <c r="J56" s="6">
        <v>61.476355974903903</v>
      </c>
      <c r="K56" s="6">
        <v>41.577731489796413</v>
      </c>
      <c r="L56" s="6">
        <v>43.970350618769132</v>
      </c>
      <c r="M56" s="6">
        <v>37.948062085389942</v>
      </c>
      <c r="N56" s="6">
        <v>64.126708038178066</v>
      </c>
      <c r="O56" s="6">
        <v>79.721420919088942</v>
      </c>
      <c r="P56" s="8">
        <v>-7.51135E-2</v>
      </c>
      <c r="T56" s="14"/>
    </row>
    <row r="57" spans="1:20" ht="14.4" customHeight="1">
      <c r="A57" s="4" t="s">
        <v>16</v>
      </c>
      <c r="B57" s="5">
        <v>2022</v>
      </c>
      <c r="C57" s="14" t="s">
        <v>56</v>
      </c>
      <c r="D57" s="14" t="s">
        <v>57</v>
      </c>
      <c r="E57" s="3">
        <f t="shared" si="6"/>
        <v>5.1802434717271257</v>
      </c>
      <c r="F57" s="6">
        <v>24.135648061174312</v>
      </c>
      <c r="G57" s="6">
        <v>43.696747555097843</v>
      </c>
      <c r="H57" s="6">
        <v>3.6897213125762849</v>
      </c>
      <c r="I57" s="6">
        <v>6.6680813606397171</v>
      </c>
      <c r="J57" s="6">
        <v>63.329431673940363</v>
      </c>
      <c r="K57" s="6">
        <v>36.389488465784808</v>
      </c>
      <c r="L57" s="6">
        <v>51.580488676320023</v>
      </c>
      <c r="M57" s="6">
        <v>46.849753734391093</v>
      </c>
      <c r="N57" s="6">
        <v>62.494818569456093</v>
      </c>
      <c r="O57" s="6">
        <v>85.559470679030142</v>
      </c>
      <c r="P57" s="8">
        <v>-8.1181599999999993E-2</v>
      </c>
      <c r="T57" s="14"/>
    </row>
    <row r="58" spans="1:20" ht="14.4" customHeight="1">
      <c r="A58" s="4" t="s">
        <v>18</v>
      </c>
      <c r="B58" s="5">
        <v>2019</v>
      </c>
      <c r="C58" s="14" t="s">
        <v>56</v>
      </c>
      <c r="D58" s="14" t="s">
        <v>54</v>
      </c>
      <c r="E58" s="3">
        <f t="shared" ref="E58:E61" si="7">(F58+G58)/((F58/H58)+(G58/I58))</f>
        <v>7.6882192981535464</v>
      </c>
      <c r="F58" s="6">
        <v>24.956691021670409</v>
      </c>
      <c r="G58" s="6">
        <v>40.682710109524599</v>
      </c>
      <c r="H58" s="6">
        <v>7.1659273661041913</v>
      </c>
      <c r="I58" s="6">
        <v>8.0480590996119474</v>
      </c>
      <c r="J58" s="6">
        <v>56.31706303472086</v>
      </c>
      <c r="K58" s="6">
        <v>63.770446385063039</v>
      </c>
      <c r="L58" s="6">
        <v>71.079662347561225</v>
      </c>
      <c r="M58" s="6">
        <v>40.903179478135321</v>
      </c>
      <c r="N58" s="6">
        <v>72.310214001412305</v>
      </c>
      <c r="O58" s="6">
        <v>85.672990030622216</v>
      </c>
      <c r="P58" s="8">
        <v>0.50103609999999998</v>
      </c>
      <c r="T58" s="14"/>
    </row>
    <row r="59" spans="1:20" ht="14.4" customHeight="1">
      <c r="A59" s="4" t="s">
        <v>18</v>
      </c>
      <c r="B59" s="5">
        <v>2020</v>
      </c>
      <c r="C59" s="14" t="s">
        <v>56</v>
      </c>
      <c r="D59" s="14" t="s">
        <v>54</v>
      </c>
      <c r="E59" s="3">
        <f t="shared" si="7"/>
        <v>18.13808265212668</v>
      </c>
      <c r="F59" s="6">
        <v>26.014816040974299</v>
      </c>
      <c r="G59" s="6">
        <v>39.613682265118527</v>
      </c>
      <c r="H59" s="6">
        <v>18.052082632096461</v>
      </c>
      <c r="I59" s="6">
        <v>18.195007124637321</v>
      </c>
      <c r="J59" s="6">
        <v>64.462968614899893</v>
      </c>
      <c r="K59" s="6">
        <v>60.610067583098051</v>
      </c>
      <c r="L59" s="6">
        <v>84.211761172253901</v>
      </c>
      <c r="M59" s="6">
        <v>42.618295962541133</v>
      </c>
      <c r="N59" s="6">
        <v>83.791032575519324</v>
      </c>
      <c r="O59" s="6">
        <v>90.222751472943656</v>
      </c>
      <c r="P59" s="8">
        <v>0.47194120000000001</v>
      </c>
      <c r="T59" s="14"/>
    </row>
    <row r="60" spans="1:20" ht="14.4" customHeight="1">
      <c r="A60" s="4" t="s">
        <v>18</v>
      </c>
      <c r="B60" s="5">
        <v>2021</v>
      </c>
      <c r="C60" s="14" t="s">
        <v>56</v>
      </c>
      <c r="D60" s="14" t="s">
        <v>54</v>
      </c>
      <c r="E60" s="3">
        <f t="shared" si="7"/>
        <v>14.995216505137057</v>
      </c>
      <c r="F60" s="6">
        <v>28.39261512276601</v>
      </c>
      <c r="G60" s="6">
        <v>41.203076244208177</v>
      </c>
      <c r="H60" s="6">
        <v>12.61101243339253</v>
      </c>
      <c r="I60" s="6">
        <v>17.24137931034484</v>
      </c>
      <c r="J60" s="6">
        <v>59.170407021809737</v>
      </c>
      <c r="K60" s="6">
        <v>55.148752467038378</v>
      </c>
      <c r="L60" s="6">
        <v>69.411930807722158</v>
      </c>
      <c r="M60" s="6">
        <v>23.076114934075601</v>
      </c>
      <c r="N60" s="6">
        <v>67.704603944880972</v>
      </c>
      <c r="O60" s="6">
        <v>75.651579832286387</v>
      </c>
      <c r="P60" s="8">
        <v>0.42540169999999999</v>
      </c>
      <c r="T60" s="14"/>
    </row>
    <row r="61" spans="1:20" ht="14.4" customHeight="1">
      <c r="A61" s="4" t="s">
        <v>18</v>
      </c>
      <c r="B61" s="5">
        <v>2022</v>
      </c>
      <c r="C61" s="14" t="s">
        <v>56</v>
      </c>
      <c r="D61" s="14" t="s">
        <v>54</v>
      </c>
      <c r="E61" s="3">
        <f t="shared" si="7"/>
        <v>13.386477937853586</v>
      </c>
      <c r="F61" s="6">
        <v>24.193392267456119</v>
      </c>
      <c r="G61" s="6">
        <v>38.629885208444321</v>
      </c>
      <c r="H61" s="6">
        <v>13.275607207588999</v>
      </c>
      <c r="I61" s="6">
        <v>13.456862869000091</v>
      </c>
      <c r="J61" s="6">
        <v>57.625528275187129</v>
      </c>
      <c r="K61" s="6">
        <v>47.232079536246239</v>
      </c>
      <c r="L61" s="6">
        <v>58.47901654661424</v>
      </c>
      <c r="M61" s="6">
        <v>34.544088701434497</v>
      </c>
      <c r="N61" s="6">
        <v>75.661867103277018</v>
      </c>
      <c r="O61" s="6">
        <v>76.229284592795238</v>
      </c>
      <c r="P61" s="8">
        <v>0.46795539999999997</v>
      </c>
      <c r="T61" s="14"/>
    </row>
    <row r="62" spans="1:20" ht="14.4" customHeight="1">
      <c r="A62" s="4" t="s">
        <v>19</v>
      </c>
      <c r="B62" s="5">
        <v>2019</v>
      </c>
      <c r="C62" s="14" t="s">
        <v>51</v>
      </c>
      <c r="D62" s="14" t="s">
        <v>54</v>
      </c>
      <c r="E62" s="3">
        <f>(F62+G62)/((F62/H62)+(G62/I62))</f>
        <v>23.277141663222707</v>
      </c>
      <c r="F62" s="6">
        <v>18.54010060579331</v>
      </c>
      <c r="G62" s="6">
        <v>25.656006578376221</v>
      </c>
      <c r="H62" s="6">
        <v>22.666836520643511</v>
      </c>
      <c r="I62" s="6">
        <v>23.739035551867051</v>
      </c>
      <c r="J62" s="6">
        <v>72.896208367714436</v>
      </c>
      <c r="K62" s="6">
        <v>48.579233610022989</v>
      </c>
      <c r="L62" s="6">
        <v>45.405067669444499</v>
      </c>
      <c r="M62" s="6">
        <v>40.603804903401297</v>
      </c>
      <c r="N62" s="6">
        <v>53.372705344418563</v>
      </c>
      <c r="O62" s="6">
        <v>74.607696431369831</v>
      </c>
      <c r="P62" s="8">
        <v>0.31901760000000001</v>
      </c>
      <c r="T62" s="14"/>
    </row>
    <row r="63" spans="1:20" ht="14.4" customHeight="1">
      <c r="A63" s="4" t="s">
        <v>19</v>
      </c>
      <c r="B63" s="5">
        <v>2020</v>
      </c>
      <c r="C63" s="14" t="s">
        <v>51</v>
      </c>
      <c r="D63" s="14" t="s">
        <v>54</v>
      </c>
      <c r="E63" s="3">
        <f>(F63+G63)/((F63/H63)+(G63/I63))</f>
        <v>34.520907923992567</v>
      </c>
      <c r="F63" s="6">
        <v>19.768467943417541</v>
      </c>
      <c r="G63" s="6">
        <v>26.181448839134571</v>
      </c>
      <c r="H63" s="6">
        <v>34.473496405193167</v>
      </c>
      <c r="I63" s="6">
        <v>34.556792787643907</v>
      </c>
      <c r="J63" s="6">
        <v>72.671536064090787</v>
      </c>
      <c r="K63" s="6">
        <v>56.648350183655353</v>
      </c>
      <c r="L63" s="6">
        <v>52.552146000294833</v>
      </c>
      <c r="M63" s="6">
        <v>41.299182041721892</v>
      </c>
      <c r="N63" s="6">
        <v>47.211796656425712</v>
      </c>
      <c r="O63" s="6">
        <v>65.823563148867535</v>
      </c>
      <c r="P63" s="8">
        <v>0.26971869999999998</v>
      </c>
      <c r="T63" s="14"/>
    </row>
    <row r="64" spans="1:20" ht="14.4" customHeight="1">
      <c r="A64" s="4" t="s">
        <v>19</v>
      </c>
      <c r="B64" s="5">
        <v>2021</v>
      </c>
      <c r="C64" s="14" t="s">
        <v>51</v>
      </c>
      <c r="D64" s="14" t="s">
        <v>54</v>
      </c>
      <c r="E64" s="3">
        <f>(F64+G64)/((F64/H64)+(G64/I64))</f>
        <v>23.13953488372093</v>
      </c>
      <c r="F64" s="6">
        <v>17.88990825688073</v>
      </c>
      <c r="G64" s="6">
        <v>27.75229357798165</v>
      </c>
      <c r="H64" s="6">
        <v>21.02425876010782</v>
      </c>
      <c r="I64" s="6">
        <v>24.744376278118612</v>
      </c>
      <c r="J64" s="6">
        <v>69.756662804171498</v>
      </c>
      <c r="K64" s="6">
        <v>49.14400805639476</v>
      </c>
      <c r="L64" s="6">
        <v>45.331325301204807</v>
      </c>
      <c r="M64" s="6">
        <v>41.487768347478777</v>
      </c>
      <c r="N64" s="6">
        <v>46.295123495883473</v>
      </c>
      <c r="O64" s="6">
        <v>66.393958464443045</v>
      </c>
      <c r="P64" s="8">
        <v>0.21141409999999999</v>
      </c>
      <c r="T64" s="14"/>
    </row>
    <row r="65" spans="1:20" ht="14.4" customHeight="1">
      <c r="A65" s="4" t="s">
        <v>19</v>
      </c>
      <c r="B65" s="5">
        <v>2022</v>
      </c>
      <c r="C65" s="14" t="s">
        <v>51</v>
      </c>
      <c r="D65" s="14" t="s">
        <v>54</v>
      </c>
      <c r="E65" s="3">
        <f>(F65+G65)/((F65/H65)+(G65/I65))</f>
        <v>29.084588644264194</v>
      </c>
      <c r="F65" s="6">
        <v>16.12903225806452</v>
      </c>
      <c r="G65" s="6">
        <v>28.853046594982079</v>
      </c>
      <c r="H65" s="6">
        <v>24.258760107816709</v>
      </c>
      <c r="I65" s="6">
        <v>32.723577235772353</v>
      </c>
      <c r="J65" s="6">
        <v>76.656151419558356</v>
      </c>
      <c r="K65" s="6">
        <v>60.060210737581542</v>
      </c>
      <c r="L65" s="6">
        <v>47.967887606623179</v>
      </c>
      <c r="M65" s="6">
        <v>45.904095904095897</v>
      </c>
      <c r="N65" s="6">
        <v>53.382187147688839</v>
      </c>
      <c r="O65" s="6">
        <v>69.327501366867139</v>
      </c>
      <c r="P65" s="8">
        <v>3.93931E-2</v>
      </c>
      <c r="T65" s="14"/>
    </row>
    <row r="66" spans="1:20" ht="14.4" customHeight="1">
      <c r="A66" s="4" t="s">
        <v>20</v>
      </c>
      <c r="B66" s="5">
        <v>2019</v>
      </c>
      <c r="C66" s="14" t="s">
        <v>55</v>
      </c>
      <c r="D66" s="14" t="s">
        <v>54</v>
      </c>
      <c r="E66" s="3">
        <f t="shared" ref="E66:E69" si="8">(F66+G66)/((F66/H66)+(G66/I66))</f>
        <v>8.3423229054296986</v>
      </c>
      <c r="F66" s="6">
        <v>6.4965197215777257</v>
      </c>
      <c r="G66" s="6">
        <v>47.331786542923432</v>
      </c>
      <c r="H66" s="6">
        <v>2.978723404255319</v>
      </c>
      <c r="I66" s="6">
        <v>11.08093427485062</v>
      </c>
      <c r="J66" s="6">
        <v>50.408997955010229</v>
      </c>
      <c r="K66" s="6">
        <v>7.617668356263577</v>
      </c>
      <c r="L66" s="6">
        <v>50.246913580246911</v>
      </c>
      <c r="M66" s="6">
        <v>56.75</v>
      </c>
      <c r="N66" s="6">
        <v>87.277256179344704</v>
      </c>
      <c r="O66" s="6">
        <v>76.952200662565076</v>
      </c>
      <c r="P66" s="8">
        <v>0.82774459999999994</v>
      </c>
      <c r="T66" s="14"/>
    </row>
    <row r="67" spans="1:20" ht="14.4" customHeight="1">
      <c r="A67" s="4" t="s">
        <v>20</v>
      </c>
      <c r="B67" s="5">
        <v>2020</v>
      </c>
      <c r="C67" s="14" t="s">
        <v>55</v>
      </c>
      <c r="D67" s="14" t="s">
        <v>54</v>
      </c>
      <c r="E67" s="3">
        <f t="shared" si="8"/>
        <v>3.7397689698629279</v>
      </c>
      <c r="F67" s="6">
        <v>3.9648750064579068</v>
      </c>
      <c r="G67" s="6">
        <v>37.173119606588557</v>
      </c>
      <c r="H67" s="6">
        <v>1.0657942563972129</v>
      </c>
      <c r="I67" s="6">
        <v>5.1061764482524481</v>
      </c>
      <c r="J67" s="6">
        <v>60.044792983945449</v>
      </c>
      <c r="K67" s="6">
        <v>6.1228924682536006</v>
      </c>
      <c r="L67" s="6">
        <v>62.730931558589987</v>
      </c>
      <c r="M67" s="6">
        <v>40.265657821246478</v>
      </c>
      <c r="N67" s="6">
        <v>51.619713743753238</v>
      </c>
      <c r="O67" s="6">
        <v>60.135199923264388</v>
      </c>
      <c r="P67" s="8">
        <v>0.68549919999999998</v>
      </c>
      <c r="T67" s="14"/>
    </row>
    <row r="68" spans="1:20" ht="14.4" customHeight="1">
      <c r="A68" s="4" t="s">
        <v>20</v>
      </c>
      <c r="B68" s="5">
        <v>2021</v>
      </c>
      <c r="C68" s="14" t="s">
        <v>55</v>
      </c>
      <c r="D68" s="14" t="s">
        <v>54</v>
      </c>
      <c r="E68" s="3">
        <f t="shared" si="8"/>
        <v>2.9905077820768544</v>
      </c>
      <c r="F68" s="6">
        <v>2.4920774812953539</v>
      </c>
      <c r="G68" s="6">
        <v>46.972566521029798</v>
      </c>
      <c r="H68" s="6">
        <v>0.44459015077259528</v>
      </c>
      <c r="I68" s="6">
        <v>4.295532646048005</v>
      </c>
      <c r="J68" s="6">
        <v>60.132381300961413</v>
      </c>
      <c r="K68" s="6">
        <v>3.6903357630384299</v>
      </c>
      <c r="L68" s="6">
        <v>53.954061780619341</v>
      </c>
      <c r="M68" s="6">
        <v>44.652389270212133</v>
      </c>
      <c r="N68" s="6">
        <v>72.539243622023889</v>
      </c>
      <c r="O68" s="6">
        <v>66.353695338633329</v>
      </c>
      <c r="P68" s="8">
        <v>0.67360940000000002</v>
      </c>
      <c r="T68" s="14"/>
    </row>
    <row r="69" spans="1:20" ht="14.4" customHeight="1">
      <c r="A69" s="4" t="s">
        <v>20</v>
      </c>
      <c r="B69" s="5">
        <v>2022</v>
      </c>
      <c r="C69" s="14" t="s">
        <v>55</v>
      </c>
      <c r="D69" s="14" t="s">
        <v>54</v>
      </c>
      <c r="E69" s="3">
        <f t="shared" si="8"/>
        <v>3.0045104364419544</v>
      </c>
      <c r="F69" s="6">
        <v>6.3689677851466104</v>
      </c>
      <c r="G69" s="6">
        <v>56.000699306028302</v>
      </c>
      <c r="H69" s="6">
        <v>0.9009548176021589</v>
      </c>
      <c r="I69" s="6">
        <v>4.090763320983422</v>
      </c>
      <c r="J69" s="6">
        <v>47.794962786253457</v>
      </c>
      <c r="K69" s="6">
        <v>3.1794567359870269</v>
      </c>
      <c r="L69" s="6">
        <v>46.687805127172354</v>
      </c>
      <c r="M69" s="6">
        <v>57.481169762943139</v>
      </c>
      <c r="N69" s="6">
        <v>72.259040606739319</v>
      </c>
      <c r="O69" s="6">
        <v>63.771908126178403</v>
      </c>
      <c r="P69" s="8">
        <v>0.68701970000000001</v>
      </c>
      <c r="T69" s="14"/>
    </row>
    <row r="70" spans="1:20" ht="14.4" customHeight="1">
      <c r="A70" s="4" t="s">
        <v>21</v>
      </c>
      <c r="B70" s="5">
        <v>2019</v>
      </c>
      <c r="C70" s="14" t="s">
        <v>56</v>
      </c>
      <c r="D70" s="14" t="s">
        <v>54</v>
      </c>
      <c r="E70" s="3">
        <f t="shared" ref="E70:E77" si="9">(F70+G70)/((F70/H70)+(G70/I70))</f>
        <v>13.467195238471076</v>
      </c>
      <c r="F70" s="6">
        <v>8.2207486344381469</v>
      </c>
      <c r="G70" s="6">
        <v>43.068110880709533</v>
      </c>
      <c r="H70" s="6">
        <v>8.2441619222238565</v>
      </c>
      <c r="I70" s="6">
        <v>15.319810429163249</v>
      </c>
      <c r="J70" s="6">
        <v>75.467346046037278</v>
      </c>
      <c r="K70" s="6">
        <v>50.599662730607911</v>
      </c>
      <c r="L70" s="6">
        <v>62.427819882984792</v>
      </c>
      <c r="M70" s="6">
        <v>43.502516771465643</v>
      </c>
      <c r="N70" s="6">
        <v>75.589378582557643</v>
      </c>
      <c r="O70" s="6">
        <v>87.093218116205065</v>
      </c>
      <c r="P70" s="8">
        <v>0.78934709999999997</v>
      </c>
      <c r="T70" s="14"/>
    </row>
    <row r="71" spans="1:20" ht="14.4" customHeight="1">
      <c r="A71" s="4" t="s">
        <v>21</v>
      </c>
      <c r="B71" s="5">
        <v>2020</v>
      </c>
      <c r="C71" s="14" t="s">
        <v>56</v>
      </c>
      <c r="D71" s="14" t="s">
        <v>54</v>
      </c>
      <c r="E71" s="3">
        <f t="shared" si="9"/>
        <v>18.383336490165803</v>
      </c>
      <c r="F71" s="6">
        <v>13.04278240885651</v>
      </c>
      <c r="G71" s="6">
        <v>46.762164100361339</v>
      </c>
      <c r="H71" s="6">
        <v>15.331516830672481</v>
      </c>
      <c r="I71" s="6">
        <v>19.46397628496312</v>
      </c>
      <c r="J71" s="6">
        <v>68.240026711035895</v>
      </c>
      <c r="K71" s="6">
        <v>52.398478237517352</v>
      </c>
      <c r="L71" s="6">
        <v>52.561201346409923</v>
      </c>
      <c r="M71" s="6">
        <v>41.420386932115989</v>
      </c>
      <c r="N71" s="6">
        <v>72.250090207130171</v>
      </c>
      <c r="O71" s="6">
        <v>88.286595744948059</v>
      </c>
      <c r="P71" s="8">
        <v>0.84351229999999999</v>
      </c>
      <c r="T71" s="14"/>
    </row>
    <row r="72" spans="1:20" ht="14.4" customHeight="1">
      <c r="A72" s="4" t="s">
        <v>21</v>
      </c>
      <c r="B72" s="5">
        <v>2021</v>
      </c>
      <c r="C72" s="14" t="s">
        <v>56</v>
      </c>
      <c r="D72" s="14" t="s">
        <v>54</v>
      </c>
      <c r="E72" s="3">
        <f t="shared" si="9"/>
        <v>15.91237588391788</v>
      </c>
      <c r="F72" s="6">
        <v>11.38543696266022</v>
      </c>
      <c r="G72" s="6">
        <v>44.904031073648078</v>
      </c>
      <c r="H72" s="6">
        <v>12.29238363453843</v>
      </c>
      <c r="I72" s="6">
        <v>17.196400850755019</v>
      </c>
      <c r="J72" s="6">
        <v>70.905365438028269</v>
      </c>
      <c r="K72" s="6">
        <v>54.746641224213462</v>
      </c>
      <c r="L72" s="6">
        <v>55.904826352628582</v>
      </c>
      <c r="M72" s="6">
        <v>39.517090686381067</v>
      </c>
      <c r="N72" s="6">
        <v>73.792320787842797</v>
      </c>
      <c r="O72" s="6">
        <v>87.68930448031297</v>
      </c>
      <c r="P72" s="8">
        <v>0.84243469999999998</v>
      </c>
      <c r="T72" s="14"/>
    </row>
    <row r="73" spans="1:20" ht="14.4" customHeight="1">
      <c r="A73" s="4" t="s">
        <v>21</v>
      </c>
      <c r="B73" s="5">
        <v>2022</v>
      </c>
      <c r="C73" s="14" t="s">
        <v>56</v>
      </c>
      <c r="D73" s="14" t="s">
        <v>54</v>
      </c>
      <c r="E73" s="3">
        <f t="shared" si="9"/>
        <v>9.5314372743126494</v>
      </c>
      <c r="F73" s="6">
        <v>6.3843006318126436</v>
      </c>
      <c r="G73" s="6">
        <v>37.330986695471758</v>
      </c>
      <c r="H73" s="6">
        <v>6.4924131210610039</v>
      </c>
      <c r="I73" s="6">
        <v>10.36084285286373</v>
      </c>
      <c r="J73" s="6">
        <v>64.04576909197624</v>
      </c>
      <c r="K73" s="6">
        <v>44.926899387068687</v>
      </c>
      <c r="L73" s="6">
        <v>64.211693753145809</v>
      </c>
      <c r="M73" s="6">
        <v>42.365817473312283</v>
      </c>
      <c r="N73" s="6">
        <v>80.972740338305954</v>
      </c>
      <c r="O73" s="6">
        <v>88.107589750301855</v>
      </c>
      <c r="P73" s="8">
        <v>0.88396369999999991</v>
      </c>
      <c r="T73" s="14"/>
    </row>
    <row r="74" spans="1:20" ht="14.4" customHeight="1">
      <c r="A74" s="4" t="s">
        <v>22</v>
      </c>
      <c r="B74" s="5">
        <v>2019</v>
      </c>
      <c r="C74" s="14" t="s">
        <v>56</v>
      </c>
      <c r="D74" s="14" t="s">
        <v>54</v>
      </c>
      <c r="E74" s="3">
        <f t="shared" si="9"/>
        <v>10.672920496250928</v>
      </c>
      <c r="F74" s="6">
        <v>10.22659520631094</v>
      </c>
      <c r="G74" s="6">
        <v>22.777648301956621</v>
      </c>
      <c r="H74" s="6">
        <v>9.0303466565087156</v>
      </c>
      <c r="I74" s="6">
        <v>11.622049829216859</v>
      </c>
      <c r="J74" s="6">
        <v>83.000039505665598</v>
      </c>
      <c r="K74" s="6">
        <v>35.74031351423551</v>
      </c>
      <c r="L74" s="6">
        <v>82.568591424731153</v>
      </c>
      <c r="M74" s="6">
        <v>43.590386877526441</v>
      </c>
      <c r="N74" s="6">
        <v>73.795336088433857</v>
      </c>
      <c r="O74" s="6">
        <v>79.322892605853355</v>
      </c>
      <c r="P74" s="8">
        <v>0.17931919999999998</v>
      </c>
      <c r="T74" s="14"/>
    </row>
    <row r="75" spans="1:20" ht="14.4" customHeight="1">
      <c r="A75" s="4" t="s">
        <v>22</v>
      </c>
      <c r="B75" s="5">
        <v>2020</v>
      </c>
      <c r="C75" s="14" t="s">
        <v>56</v>
      </c>
      <c r="D75" s="14" t="s">
        <v>54</v>
      </c>
      <c r="E75" s="3">
        <f t="shared" si="9"/>
        <v>17.444619208203662</v>
      </c>
      <c r="F75" s="6">
        <v>12.566981162623369</v>
      </c>
      <c r="G75" s="6">
        <v>31.026763778367481</v>
      </c>
      <c r="H75" s="6">
        <v>13.73383708639728</v>
      </c>
      <c r="I75" s="6">
        <v>19.588325935148269</v>
      </c>
      <c r="J75" s="6">
        <v>86.439182107884321</v>
      </c>
      <c r="K75" s="6">
        <v>33.010043883639497</v>
      </c>
      <c r="L75" s="6">
        <v>57.344237200878958</v>
      </c>
      <c r="M75" s="6">
        <v>48.492902858968399</v>
      </c>
      <c r="N75" s="6">
        <v>90.491756208586679</v>
      </c>
      <c r="O75" s="6">
        <v>95.105561605194694</v>
      </c>
      <c r="P75" s="8">
        <v>0.17320949999999999</v>
      </c>
      <c r="T75" s="14"/>
    </row>
    <row r="76" spans="1:20" ht="14.4" customHeight="1">
      <c r="A76" s="4" t="s">
        <v>22</v>
      </c>
      <c r="B76" s="5">
        <v>2021</v>
      </c>
      <c r="C76" s="14" t="s">
        <v>56</v>
      </c>
      <c r="D76" s="14" t="s">
        <v>54</v>
      </c>
      <c r="E76" s="3">
        <f t="shared" si="9"/>
        <v>18.897442084944029</v>
      </c>
      <c r="F76" s="6">
        <v>12.75775700257881</v>
      </c>
      <c r="G76" s="6">
        <v>28.808591706190199</v>
      </c>
      <c r="H76" s="6">
        <v>15.84014134161818</v>
      </c>
      <c r="I76" s="6">
        <v>20.663634957196219</v>
      </c>
      <c r="J76" s="6">
        <v>90.507154355484261</v>
      </c>
      <c r="K76" s="6">
        <v>23.0136789069652</v>
      </c>
      <c r="L76" s="6">
        <v>57.945214291453482</v>
      </c>
      <c r="M76" s="6">
        <v>53.023636051009653</v>
      </c>
      <c r="N76" s="6">
        <v>95.378167974667065</v>
      </c>
      <c r="O76" s="6">
        <v>96.327957861945606</v>
      </c>
      <c r="P76" s="8">
        <v>0.38763009999999998</v>
      </c>
      <c r="T76" s="14"/>
    </row>
    <row r="77" spans="1:20" ht="14.4" customHeight="1">
      <c r="A77" s="4" t="s">
        <v>22</v>
      </c>
      <c r="B77" s="5">
        <v>2022</v>
      </c>
      <c r="C77" s="14" t="s">
        <v>56</v>
      </c>
      <c r="D77" s="14" t="s">
        <v>54</v>
      </c>
      <c r="E77" s="3">
        <f t="shared" si="9"/>
        <v>18.78927177937285</v>
      </c>
      <c r="F77" s="6">
        <v>15.37822667802952</v>
      </c>
      <c r="G77" s="6">
        <v>25.889993297461579</v>
      </c>
      <c r="H77" s="6">
        <v>19.28175683035391</v>
      </c>
      <c r="I77" s="6">
        <v>18.508475455121669</v>
      </c>
      <c r="J77" s="6">
        <v>88.125908675679128</v>
      </c>
      <c r="K77" s="6">
        <v>36.271964081602377</v>
      </c>
      <c r="L77" s="6">
        <v>88.203286118448759</v>
      </c>
      <c r="M77" s="6">
        <v>57.327490661585642</v>
      </c>
      <c r="N77" s="6">
        <v>89.503885177920168</v>
      </c>
      <c r="O77" s="6">
        <v>96.734075301593506</v>
      </c>
      <c r="P77" s="8">
        <v>0.55418599999999996</v>
      </c>
      <c r="T77" s="14"/>
    </row>
    <row r="78" spans="1:20" ht="14.4" customHeight="1">
      <c r="A78" s="4" t="s">
        <v>23</v>
      </c>
      <c r="B78" s="5">
        <v>2019</v>
      </c>
      <c r="C78" s="14" t="s">
        <v>55</v>
      </c>
      <c r="D78" s="14" t="s">
        <v>54</v>
      </c>
      <c r="E78" s="3">
        <f t="shared" ref="E78:E85" si="10">(F78+G78)/((F78/H78)+(G78/I78))</f>
        <v>18.79084615719205</v>
      </c>
      <c r="F78" s="6">
        <v>16.115323604080029</v>
      </c>
      <c r="G78" s="6">
        <v>31.863939909079448</v>
      </c>
      <c r="H78" s="6">
        <v>18.591907197801671</v>
      </c>
      <c r="I78" s="6">
        <v>18.893090304128449</v>
      </c>
      <c r="J78" s="6">
        <v>53.051736216832481</v>
      </c>
      <c r="K78" s="6">
        <v>19.831837854130189</v>
      </c>
      <c r="L78" s="6">
        <v>65.148756071353844</v>
      </c>
      <c r="M78" s="6">
        <v>45.653291299698132</v>
      </c>
      <c r="N78" s="6">
        <v>36.036618335720533</v>
      </c>
      <c r="O78" s="6">
        <v>58.428168210610288</v>
      </c>
      <c r="P78" s="8">
        <v>0.72724420000000001</v>
      </c>
      <c r="T78" s="14"/>
    </row>
    <row r="79" spans="1:20" ht="14.4" customHeight="1">
      <c r="A79" s="4" t="s">
        <v>23</v>
      </c>
      <c r="B79" s="5">
        <v>2020</v>
      </c>
      <c r="C79" s="14" t="s">
        <v>55</v>
      </c>
      <c r="D79" s="14" t="s">
        <v>54</v>
      </c>
      <c r="E79" s="3">
        <f t="shared" si="10"/>
        <v>19.211856796822051</v>
      </c>
      <c r="F79" s="6">
        <v>15.694104912831371</v>
      </c>
      <c r="G79" s="6">
        <v>34.653562220664881</v>
      </c>
      <c r="H79" s="6">
        <v>19.42404444204135</v>
      </c>
      <c r="I79" s="6">
        <v>19.117277703606661</v>
      </c>
      <c r="J79" s="6">
        <v>56.38166222392276</v>
      </c>
      <c r="K79" s="6">
        <v>19.901398124036131</v>
      </c>
      <c r="L79" s="6">
        <v>71.903670478342477</v>
      </c>
      <c r="M79" s="6">
        <v>46.790278616384128</v>
      </c>
      <c r="N79" s="6">
        <v>40.913229472972553</v>
      </c>
      <c r="O79" s="6">
        <v>62.116894827921811</v>
      </c>
      <c r="P79" s="8">
        <v>0.60960019999999993</v>
      </c>
      <c r="T79" s="14"/>
    </row>
    <row r="80" spans="1:20" ht="14.4" customHeight="1">
      <c r="A80" s="4" t="s">
        <v>23</v>
      </c>
      <c r="B80" s="5">
        <v>2021</v>
      </c>
      <c r="C80" s="14" t="s">
        <v>55</v>
      </c>
      <c r="D80" s="14" t="s">
        <v>54</v>
      </c>
      <c r="E80" s="3">
        <f t="shared" si="10"/>
        <v>8.3590249829143861</v>
      </c>
      <c r="F80" s="6">
        <v>7.6567035380873918</v>
      </c>
      <c r="G80" s="6">
        <v>35.522083627520182</v>
      </c>
      <c r="H80" s="6">
        <v>4.3946147958035144</v>
      </c>
      <c r="I80" s="6">
        <v>10.37675313960942</v>
      </c>
      <c r="J80" s="6">
        <v>41.759987623320633</v>
      </c>
      <c r="K80" s="6">
        <v>7.8985071362170212</v>
      </c>
      <c r="L80" s="6">
        <v>53.859216216933568</v>
      </c>
      <c r="M80" s="6">
        <v>54.375247440401523</v>
      </c>
      <c r="N80" s="6">
        <v>33.386719231243099</v>
      </c>
      <c r="O80" s="6">
        <v>55.582019479583593</v>
      </c>
      <c r="P80" s="8">
        <v>0.74121579999999998</v>
      </c>
      <c r="T80" s="14"/>
    </row>
    <row r="81" spans="1:20" ht="14.4" customHeight="1">
      <c r="A81" s="4" t="s">
        <v>23</v>
      </c>
      <c r="B81" s="5">
        <v>2022</v>
      </c>
      <c r="C81" s="14" t="s">
        <v>55</v>
      </c>
      <c r="D81" s="14" t="s">
        <v>54</v>
      </c>
      <c r="E81" s="3">
        <f t="shared" si="10"/>
        <v>13.464750211801686</v>
      </c>
      <c r="F81" s="6">
        <v>10.248632206396749</v>
      </c>
      <c r="G81" s="6">
        <v>30.23275295571867</v>
      </c>
      <c r="H81" s="6">
        <v>10.055465930713011</v>
      </c>
      <c r="I81" s="6">
        <v>15.2132756916765</v>
      </c>
      <c r="J81" s="6">
        <v>42.846841702279342</v>
      </c>
      <c r="K81" s="6">
        <v>13.076187655035501</v>
      </c>
      <c r="L81" s="6">
        <v>59.3222237052805</v>
      </c>
      <c r="M81" s="6">
        <v>52.743246458009047</v>
      </c>
      <c r="N81" s="6">
        <v>29.370840145942111</v>
      </c>
      <c r="O81" s="6">
        <v>64.542091522154521</v>
      </c>
      <c r="P81" s="8">
        <v>0.72617989999999999</v>
      </c>
      <c r="T81" s="14"/>
    </row>
    <row r="82" spans="1:20" ht="14.4" customHeight="1">
      <c r="A82" s="4" t="s">
        <v>24</v>
      </c>
      <c r="B82" s="5">
        <v>2019</v>
      </c>
      <c r="C82" s="14" t="s">
        <v>55</v>
      </c>
      <c r="D82" s="14" t="s">
        <v>54</v>
      </c>
      <c r="E82" s="3">
        <f t="shared" si="10"/>
        <v>10.201030704132668</v>
      </c>
      <c r="F82" s="6">
        <v>4.9461551321109223</v>
      </c>
      <c r="G82" s="6">
        <v>34.599881220623253</v>
      </c>
      <c r="H82" s="6">
        <v>3.6152210797374318</v>
      </c>
      <c r="I82" s="6">
        <v>13.792927959155289</v>
      </c>
      <c r="J82" s="6">
        <v>57.455240835150818</v>
      </c>
      <c r="K82" s="6">
        <v>16.588890979938061</v>
      </c>
      <c r="L82" s="6">
        <v>60.400126542596027</v>
      </c>
      <c r="M82" s="6">
        <v>43.709633205034123</v>
      </c>
      <c r="N82" s="6">
        <v>47.585081615947281</v>
      </c>
      <c r="O82" s="6">
        <v>84.040171211389861</v>
      </c>
      <c r="P82" s="8">
        <v>0.88477279999999991</v>
      </c>
      <c r="T82" s="14"/>
    </row>
    <row r="83" spans="1:20" ht="14.4" customHeight="1">
      <c r="A83" s="4" t="s">
        <v>24</v>
      </c>
      <c r="B83" s="5">
        <v>2020</v>
      </c>
      <c r="C83" s="14" t="s">
        <v>55</v>
      </c>
      <c r="D83" s="14" t="s">
        <v>54</v>
      </c>
      <c r="E83" s="3">
        <f t="shared" si="10"/>
        <v>8.7155963302751989</v>
      </c>
      <c r="F83" s="6">
        <v>5.7485375927472058</v>
      </c>
      <c r="G83" s="6">
        <v>37.940348112131574</v>
      </c>
      <c r="H83" s="6">
        <v>3.2258064516128981</v>
      </c>
      <c r="I83" s="6">
        <v>11.743772241992829</v>
      </c>
      <c r="J83" s="6">
        <v>59.402782576865711</v>
      </c>
      <c r="K83" s="6">
        <v>13.26849284962211</v>
      </c>
      <c r="L83" s="6">
        <v>57.886187219613717</v>
      </c>
      <c r="M83" s="6">
        <v>48.215854685241638</v>
      </c>
      <c r="N83" s="6">
        <v>42.032052495047587</v>
      </c>
      <c r="O83" s="6">
        <v>85.059327696490129</v>
      </c>
      <c r="P83" s="8">
        <v>0.82160289999999991</v>
      </c>
      <c r="T83" s="14"/>
    </row>
    <row r="84" spans="1:20" ht="14.4" customHeight="1">
      <c r="A84" s="4" t="s">
        <v>24</v>
      </c>
      <c r="B84" s="5">
        <v>2021</v>
      </c>
      <c r="C84" s="14" t="s">
        <v>55</v>
      </c>
      <c r="D84" s="14" t="s">
        <v>54</v>
      </c>
      <c r="E84" s="3">
        <f t="shared" si="10"/>
        <v>12.268518518518485</v>
      </c>
      <c r="F84" s="6">
        <v>16.576254450597709</v>
      </c>
      <c r="G84" s="6">
        <v>38.332588417007187</v>
      </c>
      <c r="H84" s="6">
        <v>10.19108280254777</v>
      </c>
      <c r="I84" s="6">
        <v>13.4545454545454</v>
      </c>
      <c r="J84" s="6">
        <v>58.538886794498957</v>
      </c>
      <c r="K84" s="6">
        <v>16.087059667895879</v>
      </c>
      <c r="L84" s="6">
        <v>54.595886700082673</v>
      </c>
      <c r="M84" s="6">
        <v>44.878360639772389</v>
      </c>
      <c r="N84" s="6">
        <v>51.4929029394388</v>
      </c>
      <c r="O84" s="6">
        <v>85.870450440331879</v>
      </c>
      <c r="P84" s="8">
        <v>0.82947439999999995</v>
      </c>
      <c r="T84" s="14"/>
    </row>
    <row r="85" spans="1:20" ht="14.4" customHeight="1">
      <c r="A85" s="4" t="s">
        <v>24</v>
      </c>
      <c r="B85" s="5">
        <v>2022</v>
      </c>
      <c r="C85" s="14" t="s">
        <v>55</v>
      </c>
      <c r="D85" s="14" t="s">
        <v>54</v>
      </c>
      <c r="E85" s="3">
        <f t="shared" si="10"/>
        <v>13.411764705882373</v>
      </c>
      <c r="F85" s="6">
        <v>13.73515075259165</v>
      </c>
      <c r="G85" s="6">
        <v>35.19632380351613</v>
      </c>
      <c r="H85" s="6">
        <v>10.38961038961039</v>
      </c>
      <c r="I85" s="6">
        <v>15.129151291512949</v>
      </c>
      <c r="J85" s="6">
        <v>62.814779446117022</v>
      </c>
      <c r="K85" s="6">
        <v>17.187669586599711</v>
      </c>
      <c r="L85" s="6">
        <v>53.464920891307322</v>
      </c>
      <c r="M85" s="6">
        <v>48.880337772448918</v>
      </c>
      <c r="N85" s="6">
        <v>54.957038384836501</v>
      </c>
      <c r="O85" s="6">
        <v>88.615598710056361</v>
      </c>
      <c r="P85" s="8">
        <v>0.73721689999999995</v>
      </c>
      <c r="T85" s="14"/>
    </row>
    <row r="86" spans="1:20" ht="14.4" customHeight="1">
      <c r="A86" s="4" t="s">
        <v>25</v>
      </c>
      <c r="B86" s="5">
        <v>2019</v>
      </c>
      <c r="C86" s="14" t="s">
        <v>60</v>
      </c>
      <c r="D86" s="14" t="s">
        <v>52</v>
      </c>
      <c r="E86" s="3">
        <f t="shared" ref="E86:E117" si="11">(F86+G86)/((F86/H86)+(G86/I86))</f>
        <v>10.891028723802526</v>
      </c>
      <c r="F86" s="6">
        <v>16.338408735381361</v>
      </c>
      <c r="G86" s="6">
        <v>37.294505972990969</v>
      </c>
      <c r="H86" s="6">
        <v>8.361839962773665</v>
      </c>
      <c r="I86" s="6">
        <v>12.554625421337789</v>
      </c>
      <c r="J86" s="6">
        <v>60.354336368380842</v>
      </c>
      <c r="K86" s="6">
        <v>15.87432431184804</v>
      </c>
      <c r="L86" s="6">
        <v>28.284385738876921</v>
      </c>
      <c r="M86" s="6">
        <v>46.574710167151402</v>
      </c>
      <c r="N86" s="6">
        <v>60.40746313176362</v>
      </c>
      <c r="O86" s="6">
        <v>82.156628391254884</v>
      </c>
      <c r="P86" s="8">
        <v>0.11879999999999999</v>
      </c>
      <c r="T86" s="14"/>
    </row>
    <row r="87" spans="1:20" ht="14.4" customHeight="1">
      <c r="A87" s="29" t="s">
        <v>25</v>
      </c>
      <c r="B87" s="30">
        <v>2020</v>
      </c>
      <c r="C87" s="25" t="s">
        <v>60</v>
      </c>
      <c r="D87" s="25" t="s">
        <v>52</v>
      </c>
      <c r="E87" s="26">
        <f t="shared" si="11"/>
        <v>15.044124716502004</v>
      </c>
      <c r="F87" s="31">
        <f t="shared" ref="F87:O87" si="12">AVERAGE(F86,F88)</f>
        <v>20.554785218080667</v>
      </c>
      <c r="G87" s="31">
        <f t="shared" si="12"/>
        <v>37.224030814871028</v>
      </c>
      <c r="H87" s="31">
        <f t="shared" si="12"/>
        <v>13.847726867509353</v>
      </c>
      <c r="I87" s="31">
        <f t="shared" si="12"/>
        <v>15.797798208715625</v>
      </c>
      <c r="J87" s="31">
        <f t="shared" si="12"/>
        <v>65.024061812876511</v>
      </c>
      <c r="K87" s="31">
        <f t="shared" si="12"/>
        <v>22.794503474841779</v>
      </c>
      <c r="L87" s="31">
        <f t="shared" si="12"/>
        <v>32.942368387991408</v>
      </c>
      <c r="M87" s="31">
        <f t="shared" si="12"/>
        <v>47.948035437748352</v>
      </c>
      <c r="N87" s="31">
        <f t="shared" si="12"/>
        <v>59.141432346368802</v>
      </c>
      <c r="O87" s="31">
        <f t="shared" si="12"/>
        <v>82.040410041126933</v>
      </c>
      <c r="P87" s="28">
        <v>8.9906699999999992E-2</v>
      </c>
      <c r="T87" s="14"/>
    </row>
    <row r="88" spans="1:20" ht="14.4" customHeight="1">
      <c r="A88" s="4" t="s">
        <v>25</v>
      </c>
      <c r="B88" s="5">
        <v>2021</v>
      </c>
      <c r="C88" s="14" t="s">
        <v>60</v>
      </c>
      <c r="D88" s="14" t="s">
        <v>52</v>
      </c>
      <c r="E88" s="3">
        <f t="shared" si="11"/>
        <v>19.15696453699319</v>
      </c>
      <c r="F88" s="6">
        <v>24.77116170077997</v>
      </c>
      <c r="G88" s="6">
        <v>37.153555656751081</v>
      </c>
      <c r="H88" s="6">
        <v>19.333613772245041</v>
      </c>
      <c r="I88" s="6">
        <v>19.04097099609346</v>
      </c>
      <c r="J88" s="6">
        <v>69.693787257372179</v>
      </c>
      <c r="K88" s="6">
        <v>29.714682637835519</v>
      </c>
      <c r="L88" s="6">
        <v>37.600351037105902</v>
      </c>
      <c r="M88" s="6">
        <v>49.321360708345303</v>
      </c>
      <c r="N88" s="6">
        <v>57.875401560973991</v>
      </c>
      <c r="O88" s="6">
        <v>81.924191690998995</v>
      </c>
      <c r="P88" s="8">
        <v>1.7739100000000001E-2</v>
      </c>
      <c r="T88" s="14"/>
    </row>
    <row r="89" spans="1:20" ht="14.4" customHeight="1">
      <c r="A89" s="4" t="s">
        <v>25</v>
      </c>
      <c r="B89" s="5">
        <v>2022</v>
      </c>
      <c r="C89" s="14" t="s">
        <v>60</v>
      </c>
      <c r="D89" s="14" t="s">
        <v>52</v>
      </c>
      <c r="E89" s="3">
        <f t="shared" si="11"/>
        <v>9.333851626542419</v>
      </c>
      <c r="F89" s="6">
        <v>21.140405105758131</v>
      </c>
      <c r="G89" s="6">
        <v>36.896615937308333</v>
      </c>
      <c r="H89" s="6">
        <v>7.9370255484308512</v>
      </c>
      <c r="I89" s="6">
        <v>10.38057718292972</v>
      </c>
      <c r="J89" s="6">
        <v>63.731210456739383</v>
      </c>
      <c r="K89" s="6">
        <v>10.06443502932547</v>
      </c>
      <c r="L89" s="6">
        <v>33.54950357106538</v>
      </c>
      <c r="M89" s="6">
        <v>51.253065188608637</v>
      </c>
      <c r="N89" s="6">
        <v>61.311913106038887</v>
      </c>
      <c r="O89" s="6">
        <v>79.838207235859144</v>
      </c>
      <c r="P89" s="8">
        <v>-6.2298199999999998E-2</v>
      </c>
      <c r="T89" s="14"/>
    </row>
    <row r="90" spans="1:20" ht="14.4" customHeight="1">
      <c r="A90" s="4" t="s">
        <v>26</v>
      </c>
      <c r="B90" s="5">
        <v>2019</v>
      </c>
      <c r="C90" s="14" t="s">
        <v>59</v>
      </c>
      <c r="D90" s="14" t="s">
        <v>54</v>
      </c>
      <c r="E90" s="3">
        <f t="shared" si="11"/>
        <v>9.652917988654881</v>
      </c>
      <c r="F90" s="6">
        <v>3.6717207216253129</v>
      </c>
      <c r="G90" s="6">
        <v>16.490946212805749</v>
      </c>
      <c r="H90" s="6">
        <v>4.2671541932472206</v>
      </c>
      <c r="I90" s="6">
        <v>13.4257997711046</v>
      </c>
      <c r="J90" s="6">
        <v>51.701204758860818</v>
      </c>
      <c r="K90" s="6">
        <v>32.977055362572408</v>
      </c>
      <c r="L90" s="6">
        <v>37.112093380806641</v>
      </c>
      <c r="M90" s="6">
        <v>17.13675811870155</v>
      </c>
      <c r="N90" s="6">
        <v>42.888577947828459</v>
      </c>
      <c r="O90" s="6">
        <v>85.965092205037024</v>
      </c>
      <c r="P90" s="8">
        <v>0.91201549999999998</v>
      </c>
      <c r="T90" s="14"/>
    </row>
    <row r="91" spans="1:20" ht="14.4" customHeight="1">
      <c r="A91" s="4" t="s">
        <v>26</v>
      </c>
      <c r="B91" s="5">
        <v>2020</v>
      </c>
      <c r="C91" s="14" t="s">
        <v>59</v>
      </c>
      <c r="D91" s="14" t="s">
        <v>54</v>
      </c>
      <c r="E91" s="3">
        <f t="shared" si="11"/>
        <v>10.284463463781297</v>
      </c>
      <c r="F91" s="6">
        <v>6.850476657745129</v>
      </c>
      <c r="G91" s="6">
        <v>17.751383063720301</v>
      </c>
      <c r="H91" s="6">
        <v>7.0966135458167088</v>
      </c>
      <c r="I91" s="6">
        <v>12.441202896191561</v>
      </c>
      <c r="J91" s="6">
        <v>53.011821046922471</v>
      </c>
      <c r="K91" s="6">
        <v>34.346224283569768</v>
      </c>
      <c r="L91" s="6">
        <v>39.927130184780907</v>
      </c>
      <c r="M91" s="6">
        <v>20.28966320395789</v>
      </c>
      <c r="N91" s="6">
        <v>44.639269329579633</v>
      </c>
      <c r="O91" s="6">
        <v>87.694163309760441</v>
      </c>
      <c r="P91" s="8">
        <v>0.90831989999999996</v>
      </c>
      <c r="T91" s="14"/>
    </row>
    <row r="92" spans="1:20" ht="14.4" customHeight="1">
      <c r="A92" s="4" t="s">
        <v>26</v>
      </c>
      <c r="B92" s="5">
        <v>2021</v>
      </c>
      <c r="C92" s="14" t="s">
        <v>59</v>
      </c>
      <c r="D92" s="14" t="s">
        <v>54</v>
      </c>
      <c r="E92" s="3">
        <f t="shared" si="11"/>
        <v>10.858995137780949</v>
      </c>
      <c r="F92" s="6">
        <v>7.4686220877506218</v>
      </c>
      <c r="G92" s="6">
        <v>17.551261906213981</v>
      </c>
      <c r="H92" s="6">
        <v>8.2644628099515263</v>
      </c>
      <c r="I92" s="6">
        <v>12.533333333333269</v>
      </c>
      <c r="J92" s="6">
        <v>53.950248959479971</v>
      </c>
      <c r="K92" s="6">
        <v>35.19635516617533</v>
      </c>
      <c r="L92" s="6">
        <v>40.46187709962539</v>
      </c>
      <c r="M92" s="6">
        <v>21.735941558431321</v>
      </c>
      <c r="N92" s="6">
        <v>43.994014029387458</v>
      </c>
      <c r="O92" s="6">
        <v>89.382757106802472</v>
      </c>
      <c r="P92" s="8">
        <v>0.98799949999999992</v>
      </c>
      <c r="T92" s="14"/>
    </row>
    <row r="93" spans="1:20" ht="14.4" customHeight="1">
      <c r="A93" s="4" t="s">
        <v>26</v>
      </c>
      <c r="B93" s="5">
        <v>2022</v>
      </c>
      <c r="C93" s="14" t="s">
        <v>59</v>
      </c>
      <c r="D93" s="14" t="s">
        <v>54</v>
      </c>
      <c r="E93" s="3">
        <f t="shared" si="11"/>
        <v>10.73170731707317</v>
      </c>
      <c r="F93" s="6">
        <v>9.2436974789915975</v>
      </c>
      <c r="G93" s="6">
        <v>18.487394957983199</v>
      </c>
      <c r="H93" s="6">
        <v>9.4017094017094021</v>
      </c>
      <c r="I93" s="6">
        <v>11.54855643044619</v>
      </c>
      <c r="J93" s="6">
        <v>54.810725552050478</v>
      </c>
      <c r="K93" s="6">
        <v>34.200000000000003</v>
      </c>
      <c r="L93" s="6">
        <v>39.450000000000003</v>
      </c>
      <c r="M93" s="6">
        <v>21.95</v>
      </c>
      <c r="N93" s="6">
        <v>41.034985422740533</v>
      </c>
      <c r="O93" s="6">
        <v>90.125173852573013</v>
      </c>
      <c r="P93" s="8">
        <v>1.01728</v>
      </c>
      <c r="T93" s="14"/>
    </row>
    <row r="94" spans="1:20" ht="14.4" customHeight="1">
      <c r="A94" s="4" t="s">
        <v>27</v>
      </c>
      <c r="B94" s="5">
        <v>2019</v>
      </c>
      <c r="C94" s="14" t="s">
        <v>55</v>
      </c>
      <c r="D94" s="14" t="s">
        <v>54</v>
      </c>
      <c r="E94" s="3">
        <f t="shared" si="11"/>
        <v>7.1896666661431397</v>
      </c>
      <c r="F94" s="6">
        <v>8.615307153776504</v>
      </c>
      <c r="G94" s="6">
        <v>25.29692135034162</v>
      </c>
      <c r="H94" s="6">
        <v>4.9668753143117996</v>
      </c>
      <c r="I94" s="6">
        <v>8.4824995178351248</v>
      </c>
      <c r="J94" s="6">
        <v>50.817418303969113</v>
      </c>
      <c r="K94" s="6">
        <v>8.0653525056397459</v>
      </c>
      <c r="L94" s="6">
        <v>42.096935339515248</v>
      </c>
      <c r="M94" s="6">
        <v>55.133596707107401</v>
      </c>
      <c r="N94" s="6">
        <v>36.133588451429063</v>
      </c>
      <c r="O94" s="6">
        <v>57.846360357773463</v>
      </c>
      <c r="P94" s="8">
        <v>0.94465729999999992</v>
      </c>
      <c r="T94" s="14"/>
    </row>
    <row r="95" spans="1:20" ht="14.4" customHeight="1">
      <c r="A95" s="4" t="s">
        <v>27</v>
      </c>
      <c r="B95" s="5">
        <v>2020</v>
      </c>
      <c r="C95" s="14" t="s">
        <v>55</v>
      </c>
      <c r="D95" s="14" t="s">
        <v>54</v>
      </c>
      <c r="E95" s="3">
        <f t="shared" si="11"/>
        <v>4.8074594737757499</v>
      </c>
      <c r="F95" s="6">
        <v>9.4843705445751834</v>
      </c>
      <c r="G95" s="6">
        <v>17.52875725382982</v>
      </c>
      <c r="H95" s="6">
        <v>4.5237548556501137</v>
      </c>
      <c r="I95" s="6">
        <v>4.9763219683676256</v>
      </c>
      <c r="J95" s="6">
        <v>51.870393075248401</v>
      </c>
      <c r="K95" s="6">
        <v>6.991129310492779</v>
      </c>
      <c r="L95" s="6">
        <v>37.346361759934787</v>
      </c>
      <c r="M95" s="6">
        <v>63.98279696160796</v>
      </c>
      <c r="N95" s="6">
        <v>16.480252465585341</v>
      </c>
      <c r="O95" s="6">
        <v>61.144394876001627</v>
      </c>
      <c r="P95" s="8">
        <v>0.83709279999999997</v>
      </c>
      <c r="T95" s="14"/>
    </row>
    <row r="96" spans="1:20" ht="14.4" customHeight="1">
      <c r="A96" s="4" t="s">
        <v>27</v>
      </c>
      <c r="B96" s="5">
        <v>2021</v>
      </c>
      <c r="C96" s="14" t="s">
        <v>55</v>
      </c>
      <c r="D96" s="14" t="s">
        <v>54</v>
      </c>
      <c r="E96" s="3">
        <f t="shared" si="11"/>
        <v>5.3474523891084917</v>
      </c>
      <c r="F96" s="6">
        <v>5.8548221092150126</v>
      </c>
      <c r="G96" s="6">
        <v>22.36994809255788</v>
      </c>
      <c r="H96" s="6">
        <v>2.9265774366729769</v>
      </c>
      <c r="I96" s="6">
        <v>6.8250965602248748</v>
      </c>
      <c r="J96" s="6">
        <v>49.750407716033052</v>
      </c>
      <c r="K96" s="6">
        <v>8.9970138177349952</v>
      </c>
      <c r="L96" s="6">
        <v>38.102049641809877</v>
      </c>
      <c r="M96" s="6">
        <v>58.432414632392963</v>
      </c>
      <c r="N96" s="6">
        <v>30.023274583432759</v>
      </c>
      <c r="O96" s="6">
        <v>60.697707444401303</v>
      </c>
      <c r="P96" s="8">
        <v>0.92116949999999997</v>
      </c>
      <c r="T96" s="14"/>
    </row>
    <row r="97" spans="1:20" ht="14.4" customHeight="1">
      <c r="A97" s="4" t="s">
        <v>27</v>
      </c>
      <c r="B97" s="5">
        <v>2022</v>
      </c>
      <c r="C97" s="14" t="s">
        <v>55</v>
      </c>
      <c r="D97" s="14" t="s">
        <v>54</v>
      </c>
      <c r="E97" s="3">
        <f t="shared" si="11"/>
        <v>5.9582194466890703</v>
      </c>
      <c r="F97" s="6">
        <v>6.2454969354620653</v>
      </c>
      <c r="G97" s="6">
        <v>22.7004021468445</v>
      </c>
      <c r="H97" s="6">
        <v>3.3451207856739309</v>
      </c>
      <c r="I97" s="6">
        <v>7.5893180008900734</v>
      </c>
      <c r="J97" s="6">
        <v>46.517703102810337</v>
      </c>
      <c r="K97" s="6">
        <v>9.3694963946206009</v>
      </c>
      <c r="L97" s="6">
        <v>41.286011961842931</v>
      </c>
      <c r="M97" s="6">
        <v>58.454670980122202</v>
      </c>
      <c r="N97" s="6">
        <v>26.027950342069129</v>
      </c>
      <c r="O97" s="6">
        <v>55.444405393576787</v>
      </c>
      <c r="P97" s="8">
        <v>0.83790789999999993</v>
      </c>
      <c r="T97" s="14"/>
    </row>
    <row r="98" spans="1:20" ht="14.4" customHeight="1">
      <c r="A98" s="4" t="s">
        <v>29</v>
      </c>
      <c r="B98" s="5">
        <v>2019</v>
      </c>
      <c r="C98" s="14" t="s">
        <v>55</v>
      </c>
      <c r="D98" s="14" t="s">
        <v>54</v>
      </c>
      <c r="E98" s="3">
        <f t="shared" si="11"/>
        <v>11.299977201307868</v>
      </c>
      <c r="F98" s="6">
        <v>15.303451544019589</v>
      </c>
      <c r="G98" s="6">
        <v>23.993617292590429</v>
      </c>
      <c r="H98" s="6">
        <v>12.11680942251315</v>
      </c>
      <c r="I98" s="6">
        <v>10.83414151759154</v>
      </c>
      <c r="J98" s="6">
        <v>49.145198732507012</v>
      </c>
      <c r="K98" s="6">
        <v>15.0635701912813</v>
      </c>
      <c r="L98" s="6">
        <v>54.711316899117492</v>
      </c>
      <c r="M98" s="6">
        <v>27.16198766843009</v>
      </c>
      <c r="N98" s="6">
        <v>40.66291802079202</v>
      </c>
      <c r="O98" s="6">
        <v>76.184336160412386</v>
      </c>
      <c r="P98" s="8">
        <v>1.7671209999999999</v>
      </c>
      <c r="T98" s="14"/>
    </row>
    <row r="99" spans="1:20" ht="14.4" customHeight="1">
      <c r="A99" s="4" t="s">
        <v>29</v>
      </c>
      <c r="B99" s="5">
        <v>2020</v>
      </c>
      <c r="C99" s="14" t="s">
        <v>55</v>
      </c>
      <c r="D99" s="14" t="s">
        <v>54</v>
      </c>
      <c r="E99" s="3">
        <f t="shared" si="11"/>
        <v>7.2177320582743372</v>
      </c>
      <c r="F99" s="6">
        <v>8.02933369683557</v>
      </c>
      <c r="G99" s="6">
        <v>18.514792889345539</v>
      </c>
      <c r="H99" s="6">
        <v>6.0116446073811023</v>
      </c>
      <c r="I99" s="6">
        <v>7.9055582209698789</v>
      </c>
      <c r="J99" s="6">
        <v>44.522369779223467</v>
      </c>
      <c r="K99" s="6">
        <v>10.1087579975453</v>
      </c>
      <c r="L99" s="6">
        <v>44.582877977287957</v>
      </c>
      <c r="M99" s="6">
        <v>45.462918013289148</v>
      </c>
      <c r="N99" s="6">
        <v>26.721836369002101</v>
      </c>
      <c r="O99" s="6">
        <v>71.923703071752314</v>
      </c>
      <c r="P99" s="8">
        <v>1.6431817</v>
      </c>
      <c r="T99" s="14"/>
    </row>
    <row r="100" spans="1:20" ht="14.4" customHeight="1">
      <c r="A100" s="4" t="s">
        <v>29</v>
      </c>
      <c r="B100" s="5">
        <v>2021</v>
      </c>
      <c r="C100" s="14" t="s">
        <v>55</v>
      </c>
      <c r="D100" s="14" t="s">
        <v>54</v>
      </c>
      <c r="E100" s="3">
        <f t="shared" si="11"/>
        <v>8.8531126636090072</v>
      </c>
      <c r="F100" s="6">
        <v>9.9713912027477267</v>
      </c>
      <c r="G100" s="6">
        <v>20.358137325073859</v>
      </c>
      <c r="H100" s="6">
        <v>8.1502771842329409</v>
      </c>
      <c r="I100" s="6">
        <v>9.2435372969618737</v>
      </c>
      <c r="J100" s="6">
        <v>49.568087961171777</v>
      </c>
      <c r="K100" s="6">
        <v>18.37997323956435</v>
      </c>
      <c r="L100" s="6">
        <v>54.723574146773949</v>
      </c>
      <c r="M100" s="6">
        <v>38.174702719965069</v>
      </c>
      <c r="N100" s="6">
        <v>54.707645668252361</v>
      </c>
      <c r="O100" s="6">
        <v>75.793636383680337</v>
      </c>
      <c r="P100" s="8">
        <v>1.7598954</v>
      </c>
      <c r="T100" s="14"/>
    </row>
    <row r="101" spans="1:20" ht="14.4" customHeight="1">
      <c r="A101" s="4" t="s">
        <v>29</v>
      </c>
      <c r="B101" s="5">
        <v>2022</v>
      </c>
      <c r="C101" s="14" t="s">
        <v>55</v>
      </c>
      <c r="D101" s="14" t="s">
        <v>54</v>
      </c>
      <c r="E101" s="3">
        <f t="shared" si="11"/>
        <v>6.5667861056190135</v>
      </c>
      <c r="F101" s="6">
        <v>10.399756531847</v>
      </c>
      <c r="G101" s="6">
        <v>19.510300507838181</v>
      </c>
      <c r="H101" s="6">
        <v>6.3935948235767297</v>
      </c>
      <c r="I101" s="6">
        <v>6.6629937398140786</v>
      </c>
      <c r="J101" s="6">
        <v>47.559664502799542</v>
      </c>
      <c r="K101" s="6">
        <v>14.23285058360417</v>
      </c>
      <c r="L101" s="6">
        <v>52.077974071847777</v>
      </c>
      <c r="M101" s="6">
        <v>41.875476934923363</v>
      </c>
      <c r="N101" s="6">
        <v>46.947450475122757</v>
      </c>
      <c r="O101" s="6">
        <v>74.067156616379052</v>
      </c>
      <c r="P101" s="8">
        <v>1.7620013999999999</v>
      </c>
      <c r="T101" s="14"/>
    </row>
    <row r="102" spans="1:20" ht="14.4" customHeight="1">
      <c r="A102" s="4" t="s">
        <v>30</v>
      </c>
      <c r="B102" s="5">
        <v>2019</v>
      </c>
      <c r="C102" s="14" t="s">
        <v>59</v>
      </c>
      <c r="D102" s="14" t="s">
        <v>54</v>
      </c>
      <c r="E102" s="3">
        <f t="shared" si="11"/>
        <v>9.5284843089412519</v>
      </c>
      <c r="F102" s="6">
        <v>9.7458085302514945</v>
      </c>
      <c r="G102" s="6">
        <v>27.658718144760119</v>
      </c>
      <c r="H102" s="6">
        <v>6.2532222517747398</v>
      </c>
      <c r="I102" s="6">
        <v>11.685025026603739</v>
      </c>
      <c r="J102" s="6">
        <v>41.9726923343705</v>
      </c>
      <c r="K102" s="6">
        <v>16.819054940381491</v>
      </c>
      <c r="L102" s="6">
        <v>35.567515301744322</v>
      </c>
      <c r="M102" s="6">
        <v>36.10638396801459</v>
      </c>
      <c r="N102" s="6">
        <v>41.162031069114498</v>
      </c>
      <c r="O102" s="6">
        <v>61.062808160569169</v>
      </c>
      <c r="P102" s="8">
        <v>1.3021531</v>
      </c>
      <c r="T102" s="14"/>
    </row>
    <row r="103" spans="1:20" ht="14.4" customHeight="1">
      <c r="A103" s="4" t="s">
        <v>30</v>
      </c>
      <c r="B103" s="5">
        <v>2020</v>
      </c>
      <c r="C103" s="14" t="s">
        <v>59</v>
      </c>
      <c r="D103" s="14" t="s">
        <v>54</v>
      </c>
      <c r="E103" s="3">
        <f t="shared" si="11"/>
        <v>9.0530187398153039</v>
      </c>
      <c r="F103" s="6">
        <v>9.7128916023232517</v>
      </c>
      <c r="G103" s="6">
        <v>25.022142443155829</v>
      </c>
      <c r="H103" s="6">
        <v>6.4384668287305091</v>
      </c>
      <c r="I103" s="6">
        <v>10.747081051138711</v>
      </c>
      <c r="J103" s="6">
        <v>44.806224194975321</v>
      </c>
      <c r="K103" s="6">
        <v>17.367950514236959</v>
      </c>
      <c r="L103" s="6">
        <v>32.329407406520779</v>
      </c>
      <c r="M103" s="6">
        <v>42.040800856259231</v>
      </c>
      <c r="N103" s="6">
        <v>39.2530296332367</v>
      </c>
      <c r="O103" s="6">
        <v>60.399961592618823</v>
      </c>
      <c r="P103" s="8">
        <v>1.2702715</v>
      </c>
      <c r="T103" s="14"/>
    </row>
    <row r="104" spans="1:20" ht="14.4" customHeight="1">
      <c r="A104" s="29" t="s">
        <v>30</v>
      </c>
      <c r="B104" s="30">
        <v>2021</v>
      </c>
      <c r="C104" s="25" t="s">
        <v>59</v>
      </c>
      <c r="D104" s="25" t="s">
        <v>54</v>
      </c>
      <c r="E104" s="26">
        <f t="shared" si="11"/>
        <v>8.3269433037622544</v>
      </c>
      <c r="F104" s="31">
        <f t="shared" ref="F104:O104" si="13">AVERAGE(F103,F105)</f>
        <v>9.4883098965993611</v>
      </c>
      <c r="G104" s="31">
        <f t="shared" si="13"/>
        <v>29.500094688318125</v>
      </c>
      <c r="H104" s="31">
        <f t="shared" si="13"/>
        <v>5.3920925906899448</v>
      </c>
      <c r="I104" s="31">
        <f t="shared" si="13"/>
        <v>10.094034234066882</v>
      </c>
      <c r="J104" s="31">
        <f t="shared" si="13"/>
        <v>42.371531561651238</v>
      </c>
      <c r="K104" s="31">
        <f t="shared" si="13"/>
        <v>17.094921768786527</v>
      </c>
      <c r="L104" s="31">
        <f t="shared" si="13"/>
        <v>30.647114939281721</v>
      </c>
      <c r="M104" s="31">
        <f t="shared" si="13"/>
        <v>43.289983855113682</v>
      </c>
      <c r="N104" s="31">
        <f t="shared" si="13"/>
        <v>43.032617349119747</v>
      </c>
      <c r="O104" s="31">
        <f t="shared" si="13"/>
        <v>59.18494806657273</v>
      </c>
      <c r="P104" s="28">
        <v>1.3411035999999998</v>
      </c>
      <c r="T104" s="14"/>
    </row>
    <row r="105" spans="1:20" ht="14.4" customHeight="1">
      <c r="A105" s="4" t="s">
        <v>30</v>
      </c>
      <c r="B105" s="5">
        <v>2022</v>
      </c>
      <c r="C105" s="14" t="s">
        <v>59</v>
      </c>
      <c r="D105" s="14" t="s">
        <v>54</v>
      </c>
      <c r="E105" s="3">
        <f t="shared" si="11"/>
        <v>7.5456571264562395</v>
      </c>
      <c r="F105" s="6">
        <v>9.2637281908754723</v>
      </c>
      <c r="G105" s="6">
        <v>33.978046933480421</v>
      </c>
      <c r="H105" s="6">
        <v>4.3457183526493814</v>
      </c>
      <c r="I105" s="6">
        <v>9.4409874169950552</v>
      </c>
      <c r="J105" s="6">
        <v>39.936838928327163</v>
      </c>
      <c r="K105" s="6">
        <v>16.821893023336091</v>
      </c>
      <c r="L105" s="6">
        <v>28.964822472042659</v>
      </c>
      <c r="M105" s="6">
        <v>44.539166853968133</v>
      </c>
      <c r="N105" s="6">
        <v>46.812205065002793</v>
      </c>
      <c r="O105" s="6">
        <v>57.969934540526637</v>
      </c>
      <c r="P105" s="8">
        <v>1.2984028999999999</v>
      </c>
      <c r="T105" s="14"/>
    </row>
    <row r="106" spans="1:20" ht="14.4" customHeight="1">
      <c r="A106" s="4" t="s">
        <v>31</v>
      </c>
      <c r="B106" s="5">
        <v>2019</v>
      </c>
      <c r="C106" s="14" t="s">
        <v>56</v>
      </c>
      <c r="D106" s="14" t="s">
        <v>54</v>
      </c>
      <c r="E106" s="3">
        <f t="shared" si="11"/>
        <v>15.198786931711574</v>
      </c>
      <c r="F106" s="6">
        <v>10.22527601905999</v>
      </c>
      <c r="G106" s="6">
        <v>41.877862506202817</v>
      </c>
      <c r="H106" s="6">
        <v>12.355107682360989</v>
      </c>
      <c r="I106" s="6">
        <v>16.1037958605895</v>
      </c>
      <c r="J106" s="6">
        <v>62.160595193438652</v>
      </c>
      <c r="K106" s="6">
        <v>47.052278798304251</v>
      </c>
      <c r="L106" s="6">
        <v>61.527001011030713</v>
      </c>
      <c r="M106" s="6">
        <v>42.287832751566206</v>
      </c>
      <c r="N106" s="6">
        <v>66.103890157794339</v>
      </c>
      <c r="O106" s="6">
        <v>79.02498737881389</v>
      </c>
      <c r="P106" s="8">
        <v>1.1457173</v>
      </c>
      <c r="T106" s="14"/>
    </row>
    <row r="107" spans="1:20" ht="14.4" customHeight="1">
      <c r="A107" s="4" t="s">
        <v>31</v>
      </c>
      <c r="B107" s="5">
        <v>2020</v>
      </c>
      <c r="C107" s="14" t="s">
        <v>56</v>
      </c>
      <c r="D107" s="14" t="s">
        <v>54</v>
      </c>
      <c r="E107" s="3">
        <f t="shared" si="11"/>
        <v>18.340306353801562</v>
      </c>
      <c r="F107" s="6">
        <v>16.240939443612032</v>
      </c>
      <c r="G107" s="6">
        <v>50.809877529933637</v>
      </c>
      <c r="H107" s="6">
        <v>18.398338909034202</v>
      </c>
      <c r="I107" s="6">
        <v>18.321833881714799</v>
      </c>
      <c r="J107" s="6">
        <v>54.700820903224248</v>
      </c>
      <c r="K107" s="6">
        <v>36.224898940075498</v>
      </c>
      <c r="L107" s="6">
        <v>65.46327362008752</v>
      </c>
      <c r="M107" s="6">
        <v>42.069883030422112</v>
      </c>
      <c r="N107" s="6">
        <v>62.056211260603042</v>
      </c>
      <c r="O107" s="6">
        <v>84.113311885463176</v>
      </c>
      <c r="P107" s="8">
        <v>1.0663205999999998</v>
      </c>
      <c r="T107" s="14"/>
    </row>
    <row r="108" spans="1:20" ht="14.4" customHeight="1">
      <c r="A108" s="4" t="s">
        <v>31</v>
      </c>
      <c r="B108" s="5">
        <v>2021</v>
      </c>
      <c r="C108" s="14" t="s">
        <v>56</v>
      </c>
      <c r="D108" s="14" t="s">
        <v>54</v>
      </c>
      <c r="E108" s="3">
        <f t="shared" si="11"/>
        <v>16.106119325977765</v>
      </c>
      <c r="F108" s="6">
        <v>14.314198185882651</v>
      </c>
      <c r="G108" s="6">
        <v>40.585613900467827</v>
      </c>
      <c r="H108" s="6">
        <v>17.39214097349382</v>
      </c>
      <c r="I108" s="6">
        <v>15.696764163486259</v>
      </c>
      <c r="J108" s="6">
        <v>65.119235582729544</v>
      </c>
      <c r="K108" s="6">
        <v>42.641724687761752</v>
      </c>
      <c r="L108" s="6">
        <v>54.561445356696261</v>
      </c>
      <c r="M108" s="6">
        <v>47.227900561997117</v>
      </c>
      <c r="N108" s="6">
        <v>73.468639805778352</v>
      </c>
      <c r="O108" s="6">
        <v>79.142440113542506</v>
      </c>
      <c r="P108" s="8">
        <v>1.0613347</v>
      </c>
      <c r="T108" s="14"/>
    </row>
    <row r="109" spans="1:20" ht="14.4" customHeight="1">
      <c r="A109" s="4" t="s">
        <v>31</v>
      </c>
      <c r="B109" s="5">
        <v>2022</v>
      </c>
      <c r="C109" s="14" t="s">
        <v>56</v>
      </c>
      <c r="D109" s="14" t="s">
        <v>54</v>
      </c>
      <c r="E109" s="3">
        <f t="shared" si="11"/>
        <v>24.731131753443599</v>
      </c>
      <c r="F109" s="6">
        <v>11.477132423869801</v>
      </c>
      <c r="G109" s="6">
        <v>43.051933008686319</v>
      </c>
      <c r="H109" s="6">
        <v>21.55828876883924</v>
      </c>
      <c r="I109" s="6">
        <v>25.741086480196479</v>
      </c>
      <c r="J109" s="6">
        <v>71.664446575534825</v>
      </c>
      <c r="K109" s="6">
        <v>55.877257023875451</v>
      </c>
      <c r="L109" s="6">
        <v>60.04530636693498</v>
      </c>
      <c r="M109" s="6">
        <v>36.696161589467458</v>
      </c>
      <c r="N109" s="6">
        <v>72.164488801302724</v>
      </c>
      <c r="O109" s="6">
        <v>87.016191857658654</v>
      </c>
      <c r="P109" s="8">
        <v>1.0576162</v>
      </c>
      <c r="T109" s="14"/>
    </row>
    <row r="110" spans="1:20" ht="14.4" customHeight="1">
      <c r="A110" s="4" t="s">
        <v>32</v>
      </c>
      <c r="B110" s="5">
        <v>2019</v>
      </c>
      <c r="C110" s="14" t="s">
        <v>55</v>
      </c>
      <c r="D110" s="14" t="s">
        <v>54</v>
      </c>
      <c r="E110" s="3">
        <f t="shared" si="11"/>
        <v>10.861453356238554</v>
      </c>
      <c r="F110" s="6">
        <v>18.468902770572189</v>
      </c>
      <c r="G110" s="6">
        <v>24.098549870738871</v>
      </c>
      <c r="H110" s="6">
        <v>12.16124443411632</v>
      </c>
      <c r="I110" s="6">
        <v>10.03913144971516</v>
      </c>
      <c r="J110" s="6">
        <v>55.179601837909132</v>
      </c>
      <c r="K110" s="6">
        <v>9.8941853127151234</v>
      </c>
      <c r="L110" s="6">
        <v>49.089599533599667</v>
      </c>
      <c r="M110" s="6">
        <v>48.665191429076167</v>
      </c>
      <c r="N110" s="6">
        <v>43.838962543237237</v>
      </c>
      <c r="O110" s="6">
        <v>76.669540696394805</v>
      </c>
      <c r="P110" s="8">
        <v>1.7134916999999998</v>
      </c>
      <c r="T110" s="14"/>
    </row>
    <row r="111" spans="1:20" ht="14.4" customHeight="1">
      <c r="A111" s="4" t="s">
        <v>32</v>
      </c>
      <c r="B111" s="5">
        <v>2020</v>
      </c>
      <c r="C111" s="14" t="s">
        <v>55</v>
      </c>
      <c r="D111" s="14" t="s">
        <v>54</v>
      </c>
      <c r="E111" s="3">
        <f t="shared" si="11"/>
        <v>11.480583435317183</v>
      </c>
      <c r="F111" s="6">
        <v>17.403746656625561</v>
      </c>
      <c r="G111" s="6">
        <v>35.879403176828298</v>
      </c>
      <c r="H111" s="6">
        <v>9.7331630771196824</v>
      </c>
      <c r="I111" s="6">
        <v>12.575735228658839</v>
      </c>
      <c r="J111" s="6">
        <v>54.505786435653782</v>
      </c>
      <c r="K111" s="6">
        <v>10.402863868883429</v>
      </c>
      <c r="L111" s="6">
        <v>49.808407451887291</v>
      </c>
      <c r="M111" s="6">
        <v>56.188739728798083</v>
      </c>
      <c r="N111" s="6">
        <v>27.341801150195309</v>
      </c>
      <c r="O111" s="6">
        <v>77.101131949004838</v>
      </c>
      <c r="P111" s="8">
        <v>1.6013639</v>
      </c>
      <c r="T111" s="14"/>
    </row>
    <row r="112" spans="1:20" ht="14.4" customHeight="1">
      <c r="A112" s="4" t="s">
        <v>32</v>
      </c>
      <c r="B112" s="5">
        <v>2021</v>
      </c>
      <c r="C112" s="14" t="s">
        <v>55</v>
      </c>
      <c r="D112" s="14" t="s">
        <v>54</v>
      </c>
      <c r="E112" s="3">
        <f t="shared" si="11"/>
        <v>16.021135228307116</v>
      </c>
      <c r="F112" s="6">
        <v>18.917688514670619</v>
      </c>
      <c r="G112" s="6">
        <v>27.426988465136301</v>
      </c>
      <c r="H112" s="6">
        <v>16.974568796199112</v>
      </c>
      <c r="I112" s="6">
        <v>15.423594870019061</v>
      </c>
      <c r="J112" s="6">
        <v>51.052237315722003</v>
      </c>
      <c r="K112" s="6">
        <v>12.12983219989529</v>
      </c>
      <c r="L112" s="6">
        <v>49.790647743884783</v>
      </c>
      <c r="M112" s="6">
        <v>58.35811886848122</v>
      </c>
      <c r="N112" s="6">
        <v>61.22154885651134</v>
      </c>
      <c r="O112" s="6">
        <v>83.484973627561587</v>
      </c>
      <c r="P112" s="8">
        <v>1.6007579999999999</v>
      </c>
      <c r="T112" s="14"/>
    </row>
    <row r="113" spans="1:20" ht="14.4" customHeight="1">
      <c r="A113" s="4" t="s">
        <v>32</v>
      </c>
      <c r="B113" s="5">
        <v>2022</v>
      </c>
      <c r="C113" s="14" t="s">
        <v>55</v>
      </c>
      <c r="D113" s="14" t="s">
        <v>54</v>
      </c>
      <c r="E113" s="3">
        <f t="shared" si="11"/>
        <v>15.875674315658246</v>
      </c>
      <c r="F113" s="6">
        <v>15.929935348067961</v>
      </c>
      <c r="G113" s="6">
        <v>28.58846668048292</v>
      </c>
      <c r="H113" s="6">
        <v>14.80829516109308</v>
      </c>
      <c r="I113" s="6">
        <v>16.539986081984619</v>
      </c>
      <c r="J113" s="6">
        <v>53.4859150846519</v>
      </c>
      <c r="K113" s="6">
        <v>13.020224915533831</v>
      </c>
      <c r="L113" s="6">
        <v>47.585361836817228</v>
      </c>
      <c r="M113" s="6">
        <v>59.608622493731708</v>
      </c>
      <c r="N113" s="6">
        <v>44.353781084651061</v>
      </c>
      <c r="O113" s="6">
        <v>82.476048021612982</v>
      </c>
      <c r="P113" s="8">
        <v>1.6491931</v>
      </c>
      <c r="T113" s="14"/>
    </row>
    <row r="114" spans="1:20" ht="14.4" customHeight="1">
      <c r="A114" s="4" t="s">
        <v>33</v>
      </c>
      <c r="B114" s="5">
        <v>2019</v>
      </c>
      <c r="C114" s="14" t="s">
        <v>53</v>
      </c>
      <c r="D114" s="14" t="s">
        <v>54</v>
      </c>
      <c r="E114" s="3">
        <f t="shared" si="11"/>
        <v>19.404973732596172</v>
      </c>
      <c r="F114" s="6">
        <v>14.139311423518031</v>
      </c>
      <c r="G114" s="6">
        <v>26.795923061973689</v>
      </c>
      <c r="H114" s="6">
        <v>15.80226227491673</v>
      </c>
      <c r="I114" s="6">
        <v>22.058655157166822</v>
      </c>
      <c r="J114" s="6">
        <v>65.505891575582993</v>
      </c>
      <c r="K114" s="6">
        <v>20.441541339190241</v>
      </c>
      <c r="L114" s="6">
        <v>60.845953636082371</v>
      </c>
      <c r="M114" s="6">
        <v>43.494124874417182</v>
      </c>
      <c r="N114" s="6">
        <v>67.238318161469238</v>
      </c>
      <c r="O114" s="6">
        <v>79.662553475611332</v>
      </c>
      <c r="P114" s="8">
        <v>1.3675576</v>
      </c>
      <c r="T114" s="14"/>
    </row>
    <row r="115" spans="1:20" ht="14.4" customHeight="1">
      <c r="A115" s="4" t="s">
        <v>33</v>
      </c>
      <c r="B115" s="5">
        <v>2020</v>
      </c>
      <c r="C115" s="14" t="s">
        <v>53</v>
      </c>
      <c r="D115" s="14" t="s">
        <v>54</v>
      </c>
      <c r="E115" s="3">
        <f t="shared" si="11"/>
        <v>17.047877048009262</v>
      </c>
      <c r="F115" s="6">
        <v>15.282370696247069</v>
      </c>
      <c r="G115" s="6">
        <v>25.408730501191229</v>
      </c>
      <c r="H115" s="6">
        <v>15.050727039630839</v>
      </c>
      <c r="I115" s="6">
        <v>18.526488558210911</v>
      </c>
      <c r="J115" s="6">
        <v>63.997621438531191</v>
      </c>
      <c r="K115" s="6">
        <v>18.55061517195583</v>
      </c>
      <c r="L115" s="6">
        <v>60.922225096870072</v>
      </c>
      <c r="M115" s="6">
        <v>50.526456807746847</v>
      </c>
      <c r="N115" s="6">
        <v>48.609148988867439</v>
      </c>
      <c r="O115" s="6">
        <v>78.326274016865298</v>
      </c>
      <c r="P115" s="8">
        <v>1.2778639000000001</v>
      </c>
      <c r="T115" s="14"/>
    </row>
    <row r="116" spans="1:20" ht="14.4" customHeight="1">
      <c r="A116" s="4" t="s">
        <v>33</v>
      </c>
      <c r="B116" s="5">
        <v>2021</v>
      </c>
      <c r="C116" s="14" t="s">
        <v>53</v>
      </c>
      <c r="D116" s="14" t="s">
        <v>54</v>
      </c>
      <c r="E116" s="3">
        <f t="shared" si="11"/>
        <v>18.915636471869817</v>
      </c>
      <c r="F116" s="6">
        <v>17.14647393978786</v>
      </c>
      <c r="G116" s="6">
        <v>26.151744471557649</v>
      </c>
      <c r="H116" s="6">
        <v>18.940781929046679</v>
      </c>
      <c r="I116" s="6">
        <v>18.899185979899929</v>
      </c>
      <c r="J116" s="6">
        <v>64.548913409234629</v>
      </c>
      <c r="K116" s="6">
        <v>20.51461974658919</v>
      </c>
      <c r="L116" s="6">
        <v>58.819746012007244</v>
      </c>
      <c r="M116" s="6">
        <v>48.366414144038643</v>
      </c>
      <c r="N116" s="6">
        <v>63.152581219785731</v>
      </c>
      <c r="O116" s="6">
        <v>80.377308700678739</v>
      </c>
      <c r="P116" s="8">
        <v>1.4642419</v>
      </c>
      <c r="T116" s="14"/>
    </row>
    <row r="117" spans="1:20" ht="14.4" customHeight="1">
      <c r="A117" s="4" t="s">
        <v>33</v>
      </c>
      <c r="B117" s="5">
        <v>2022</v>
      </c>
      <c r="C117" s="14" t="s">
        <v>53</v>
      </c>
      <c r="D117" s="14" t="s">
        <v>54</v>
      </c>
      <c r="E117" s="3">
        <f t="shared" si="11"/>
        <v>26.982668729897835</v>
      </c>
      <c r="F117" s="6">
        <v>21.89142819607412</v>
      </c>
      <c r="G117" s="6">
        <v>31.270960076635252</v>
      </c>
      <c r="H117" s="6">
        <v>28.094846422238671</v>
      </c>
      <c r="I117" s="6">
        <v>26.255067315922531</v>
      </c>
      <c r="J117" s="6">
        <v>66.799856473472516</v>
      </c>
      <c r="K117" s="6">
        <v>22.509955509021669</v>
      </c>
      <c r="L117" s="6">
        <v>55.617029144072283</v>
      </c>
      <c r="M117" s="6">
        <v>55.134508364716297</v>
      </c>
      <c r="N117" s="6">
        <v>46.01396701731494</v>
      </c>
      <c r="O117" s="6">
        <v>79.863615568795225</v>
      </c>
      <c r="P117" s="8">
        <v>1.4588295</v>
      </c>
      <c r="T117" s="14"/>
    </row>
    <row r="118" spans="1:20" ht="14.4" customHeight="1"/>
    <row r="119" spans="1:20" ht="14.4" customHeight="1"/>
    <row r="120" spans="1:20" ht="14.4" customHeight="1">
      <c r="D120" s="4"/>
      <c r="E120" s="3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20" ht="14.4" customHeight="1">
      <c r="E121" s="3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20" ht="14.4" customHeight="1">
      <c r="D122" s="5"/>
      <c r="E122" s="3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R122" s="8"/>
    </row>
    <row r="123" spans="1:20" ht="14.4" customHeight="1">
      <c r="D123" s="5"/>
      <c r="E123" s="3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R123" s="8"/>
    </row>
    <row r="124" spans="1:20" ht="14.4" customHeight="1">
      <c r="D124" s="5"/>
      <c r="E124" s="3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R124" s="8"/>
    </row>
    <row r="125" spans="1:20" ht="14.4" customHeight="1">
      <c r="D125" s="5"/>
      <c r="E125" s="3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R125" s="8"/>
    </row>
    <row r="126" spans="1:20" ht="14.4" customHeight="1">
      <c r="D126" s="4"/>
      <c r="E126" s="3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20" ht="14.4" customHeight="1">
      <c r="E127" s="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1:20" ht="14.4" customHeight="1">
      <c r="D128" s="5"/>
      <c r="E128" s="3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R128" s="8"/>
    </row>
    <row r="129" spans="4:18" ht="14.4" customHeight="1">
      <c r="D129" s="5"/>
      <c r="E129" s="3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R129" s="8"/>
    </row>
    <row r="130" spans="4:18" ht="14.4" customHeight="1">
      <c r="D130" s="5"/>
      <c r="E130" s="3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R130" s="8"/>
    </row>
    <row r="131" spans="4:18" ht="14.4" customHeight="1">
      <c r="D131" s="5"/>
      <c r="E131" s="3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R131" s="8"/>
    </row>
    <row r="132" spans="4:18" ht="14.4" customHeight="1">
      <c r="D132" s="4"/>
      <c r="E132" s="3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4:18" ht="14.4" customHeight="1">
      <c r="E133" s="3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4:18" ht="14.4" customHeight="1"/>
    <row r="135" spans="4:18" ht="14.4" customHeight="1"/>
    <row r="136" spans="4:18" ht="14.4" customHeight="1"/>
    <row r="137" spans="4:18" ht="14.4" customHeight="1"/>
    <row r="138" spans="4:18" ht="14.4" customHeight="1">
      <c r="D138" s="4"/>
      <c r="E138" s="3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4:18" ht="14.4" customHeight="1">
      <c r="E139" s="3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4:18" ht="14.4" customHeight="1"/>
    <row r="141" spans="4:18" ht="14.4" customHeight="1"/>
    <row r="142" spans="4:18" ht="14.4" customHeight="1"/>
    <row r="143" spans="4:18" ht="14.4" customHeight="1"/>
    <row r="144" spans="4:18" ht="14.4" customHeight="1">
      <c r="D144" s="4"/>
      <c r="E144" s="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4:16" ht="14.4" customHeight="1">
      <c r="E145" s="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4:16" ht="14.4" customHeight="1"/>
    <row r="147" spans="4:16" ht="14.4" customHeight="1"/>
    <row r="148" spans="4:16" ht="14.4" customHeight="1"/>
    <row r="149" spans="4:16" ht="14.4" customHeight="1"/>
    <row r="150" spans="4:16" ht="14.4" customHeight="1">
      <c r="D150" s="4"/>
      <c r="E150" s="3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4:16" ht="14.4" customHeight="1">
      <c r="E151" s="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4:16" ht="14.4" customHeight="1"/>
    <row r="153" spans="4:16" ht="14.4" customHeight="1"/>
    <row r="154" spans="4:16" ht="14.4" customHeight="1"/>
    <row r="155" spans="4:16" ht="14.4" customHeight="1"/>
    <row r="156" spans="4:16" ht="14.4" customHeight="1">
      <c r="D156" s="4"/>
      <c r="E156" s="3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4:16" ht="14.4" customHeight="1">
      <c r="E157" s="3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4:16" ht="14.4" customHeight="1"/>
    <row r="159" spans="4:16" ht="14.4" customHeight="1"/>
    <row r="160" spans="4:16" ht="14.4" customHeight="1"/>
    <row r="161" spans="4:16" ht="14.4" customHeight="1"/>
    <row r="162" spans="4:16" ht="14.4" customHeight="1">
      <c r="D162" s="4"/>
      <c r="E162" s="3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4:16" ht="14.4" customHeight="1">
      <c r="E163" s="3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4:16" ht="14.4" customHeight="1"/>
    <row r="165" spans="4:16" ht="14.4" customHeight="1"/>
    <row r="166" spans="4:16" ht="14.4" customHeight="1"/>
    <row r="167" spans="4:16" ht="14.4" customHeight="1"/>
    <row r="168" spans="4:16" ht="14.4" customHeight="1">
      <c r="D168" s="4"/>
      <c r="E168" s="3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4:16" ht="14.4" customHeight="1">
      <c r="E169" s="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4:16" ht="14.4" customHeight="1"/>
    <row r="171" spans="4:16" ht="14.4" customHeight="1"/>
    <row r="172" spans="4:16" ht="14.4" customHeight="1"/>
    <row r="173" spans="4:16" ht="14.4" customHeight="1"/>
    <row r="174" spans="4:16" ht="14.4" customHeight="1">
      <c r="D174" s="4"/>
      <c r="E174" s="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4:16" ht="14.4" customHeight="1">
      <c r="D175" s="4"/>
      <c r="E175" s="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4:16" ht="14.4" customHeight="1"/>
    <row r="177" spans="4:16" ht="14.4" customHeight="1"/>
    <row r="178" spans="4:16" ht="14.4" customHeight="1"/>
    <row r="179" spans="4:16" ht="14.4" customHeight="1"/>
    <row r="180" spans="4:16" ht="14.4" customHeight="1">
      <c r="D180" s="4"/>
      <c r="E180" s="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4:16" ht="14.4" customHeight="1">
      <c r="E181" s="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4:16" ht="14.4" customHeight="1"/>
    <row r="183" spans="4:16" ht="14.4" customHeight="1"/>
    <row r="184" spans="4:16" ht="14.4" customHeight="1"/>
    <row r="185" spans="4:16" ht="14.4" customHeight="1"/>
    <row r="186" spans="4:16" ht="14.4" customHeight="1"/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A920-0980-44F2-887F-1B01D285CAE5}">
  <dimension ref="A1:T287"/>
  <sheetViews>
    <sheetView workbookViewId="0">
      <selection activeCell="M17" sqref="M17"/>
    </sheetView>
  </sheetViews>
  <sheetFormatPr defaultRowHeight="14.4"/>
  <cols>
    <col min="1" max="1" width="13.5546875" style="32" customWidth="1"/>
    <col min="2" max="2" width="5" style="32" customWidth="1"/>
    <col min="3" max="3" width="12" style="32" customWidth="1"/>
    <col min="4" max="4" width="5.77734375" style="32" customWidth="1"/>
    <col min="5" max="5" width="6.6640625" style="32" customWidth="1"/>
    <col min="6" max="6" width="7.109375" style="32" customWidth="1"/>
    <col min="7" max="7" width="5.5546875" style="32" customWidth="1"/>
    <col min="8" max="8" width="7" style="32" customWidth="1"/>
    <col min="9" max="9" width="6.5546875" style="32" customWidth="1"/>
    <col min="10" max="10" width="16.21875" style="32" customWidth="1"/>
    <col min="11" max="11" width="8.88671875" style="32"/>
    <col min="12" max="12" width="23" style="33" customWidth="1"/>
    <col min="13" max="20" width="16" style="33" customWidth="1"/>
    <col min="21" max="16384" width="8.88671875" style="32"/>
  </cols>
  <sheetData>
    <row r="1" spans="1:20">
      <c r="A1" s="45" t="s">
        <v>50</v>
      </c>
      <c r="B1" s="45" t="s">
        <v>49</v>
      </c>
      <c r="C1" s="46" t="s">
        <v>46</v>
      </c>
      <c r="D1" s="45" t="s">
        <v>39</v>
      </c>
      <c r="E1" s="45" t="s">
        <v>40</v>
      </c>
      <c r="F1" s="45" t="s">
        <v>41</v>
      </c>
      <c r="G1" s="45" t="s">
        <v>42</v>
      </c>
      <c r="H1" s="45" t="s">
        <v>43</v>
      </c>
      <c r="I1" s="45" t="s">
        <v>44</v>
      </c>
      <c r="J1" s="44" t="s">
        <v>45</v>
      </c>
      <c r="L1" s="43" t="s">
        <v>86</v>
      </c>
      <c r="M1" s="43"/>
      <c r="N1" s="43"/>
      <c r="O1" s="43"/>
      <c r="P1" s="43"/>
      <c r="Q1" s="43"/>
      <c r="R1" s="43"/>
      <c r="S1" s="43"/>
      <c r="T1" s="43"/>
    </row>
    <row r="2" spans="1:20">
      <c r="A2" s="40" t="s">
        <v>0</v>
      </c>
      <c r="B2" s="39">
        <v>2012</v>
      </c>
      <c r="C2" s="32">
        <v>17.066764413190253</v>
      </c>
      <c r="D2" s="38">
        <v>53.941285308510068</v>
      </c>
      <c r="E2" s="38">
        <v>37.294576212720258</v>
      </c>
      <c r="F2" s="38">
        <v>33.63210536979755</v>
      </c>
      <c r="G2" s="38">
        <v>35.549348060333543</v>
      </c>
      <c r="H2" s="38">
        <v>52.402783344793747</v>
      </c>
      <c r="I2" s="38">
        <v>86.041975123187285</v>
      </c>
      <c r="J2" s="34">
        <v>0.1894102</v>
      </c>
      <c r="L2" s="43" t="s">
        <v>85</v>
      </c>
      <c r="M2" s="43" t="s">
        <v>46</v>
      </c>
      <c r="N2" s="43" t="s">
        <v>39</v>
      </c>
      <c r="O2" s="43" t="s">
        <v>40</v>
      </c>
      <c r="P2" s="43" t="s">
        <v>41</v>
      </c>
      <c r="Q2" s="43" t="s">
        <v>42</v>
      </c>
      <c r="R2" s="43" t="s">
        <v>43</v>
      </c>
      <c r="S2" s="43" t="s">
        <v>44</v>
      </c>
      <c r="T2" s="43" t="s">
        <v>45</v>
      </c>
    </row>
    <row r="3" spans="1:20">
      <c r="A3" s="40" t="s">
        <v>0</v>
      </c>
      <c r="B3" s="39">
        <v>2013</v>
      </c>
      <c r="C3" s="32">
        <v>19.544942024429588</v>
      </c>
      <c r="D3" s="38">
        <v>52.617229500580478</v>
      </c>
      <c r="E3" s="38">
        <v>29.41108752649868</v>
      </c>
      <c r="F3" s="38">
        <v>37.959270652235162</v>
      </c>
      <c r="G3" s="38">
        <v>42.704989725953077</v>
      </c>
      <c r="H3" s="38">
        <v>50.928156550597187</v>
      </c>
      <c r="I3" s="38">
        <v>82.211465304998256</v>
      </c>
      <c r="J3" s="34">
        <v>0.1300154</v>
      </c>
      <c r="L3" s="42" t="s">
        <v>46</v>
      </c>
      <c r="M3" s="41">
        <f>CORREL(C$2:C$287,C$2:C$287)</f>
        <v>1</v>
      </c>
      <c r="N3" s="41">
        <f>CORREL(C$2:C$287,D$2:D$287)</f>
        <v>0.64967736966656819</v>
      </c>
      <c r="O3" s="41">
        <f>CORREL(C$2:C$287,E$2:E$287)</f>
        <v>0.75685972771695254</v>
      </c>
      <c r="P3" s="41">
        <f>CORREL(C$2:C$287,F$2:F$287)</f>
        <v>0.47539358498686074</v>
      </c>
      <c r="Q3" s="41">
        <f>CORREL(C$2:C$287,G$2:G$287)</f>
        <v>-0.10852988804895619</v>
      </c>
      <c r="R3" s="41">
        <f>CORREL(C$2:C$287,H$2:H$287)</f>
        <v>0.35767765044654926</v>
      </c>
      <c r="S3" s="41">
        <f>CORREL(C$2:C$287,I$2:I$287)</f>
        <v>6.4064989753211482E-2</v>
      </c>
      <c r="T3" s="41">
        <f>CORREL(C$2:C$287,J$2:J$287)</f>
        <v>-0.24667280561728894</v>
      </c>
    </row>
    <row r="4" spans="1:20">
      <c r="A4" s="40" t="s">
        <v>0</v>
      </c>
      <c r="B4" s="39">
        <v>2014</v>
      </c>
      <c r="C4" s="32">
        <v>19.64774243865374</v>
      </c>
      <c r="D4" s="38">
        <v>49.957147384394347</v>
      </c>
      <c r="E4" s="38">
        <v>22.184428862999521</v>
      </c>
      <c r="F4" s="38">
        <v>37.705305988359953</v>
      </c>
      <c r="G4" s="38">
        <v>39.07219508215163</v>
      </c>
      <c r="H4" s="38">
        <v>55.540058801197532</v>
      </c>
      <c r="I4" s="38" t="s">
        <v>35</v>
      </c>
      <c r="J4" s="34">
        <v>-3.6499900000000002E-2</v>
      </c>
      <c r="L4" s="42" t="s">
        <v>39</v>
      </c>
      <c r="M4" s="41">
        <f>CORREL(D$2:D$287,C$2:C$287)</f>
        <v>0.64967736966656819</v>
      </c>
      <c r="N4" s="41">
        <f>CORREL(D$2:D$287,D$2:D$287)</f>
        <v>1</v>
      </c>
      <c r="O4" s="41">
        <f>CORREL(D$2:D$287,E$2:E$287)</f>
        <v>0.60235224827519218</v>
      </c>
      <c r="P4" s="41">
        <f>CORREL(D$2:D$287,F$2:F$287)</f>
        <v>0.5212340680169224</v>
      </c>
      <c r="Q4" s="41">
        <f>CORREL(D$2:D$287,G$2:G$287)</f>
        <v>2.20250790829883E-2</v>
      </c>
      <c r="R4" s="41">
        <f>CORREL(D$2:D$287,H$2:H$287)</f>
        <v>0.38153924008037521</v>
      </c>
      <c r="S4" s="41">
        <f>CORREL(D$2:D$287,I$2:I$287)</f>
        <v>0.19657750144385863</v>
      </c>
      <c r="T4" s="41">
        <f>CORREL(D$2:D$287,J$2:J$287)</f>
        <v>-0.47157872048086025</v>
      </c>
    </row>
    <row r="5" spans="1:20">
      <c r="A5" s="40" t="s">
        <v>0</v>
      </c>
      <c r="B5" s="39">
        <v>2015</v>
      </c>
      <c r="C5" s="32">
        <v>23.921188356900704</v>
      </c>
      <c r="D5" s="38">
        <v>58.267440842230677</v>
      </c>
      <c r="E5" s="38">
        <v>23.543799361403622</v>
      </c>
      <c r="F5" s="38">
        <v>51.671579932697263</v>
      </c>
      <c r="G5" s="38">
        <v>49.191412310354693</v>
      </c>
      <c r="H5" s="38">
        <v>42.377662213920793</v>
      </c>
      <c r="I5" s="38">
        <v>80.082322417376588</v>
      </c>
      <c r="J5" s="34">
        <v>-9.6330199999999991E-2</v>
      </c>
      <c r="L5" s="42" t="s">
        <v>40</v>
      </c>
      <c r="M5" s="41">
        <f>CORREL(E$2:E$287,C$2:C$287)</f>
        <v>0.75685972771695254</v>
      </c>
      <c r="N5" s="41">
        <f>CORREL(E$2:E$287,D$2:D$287)</f>
        <v>0.60235224827519218</v>
      </c>
      <c r="O5" s="41">
        <f>CORREL(E$2:E$287,E$2:E$287)</f>
        <v>1</v>
      </c>
      <c r="P5" s="41">
        <f>CORREL(E$2:E$287,F$2:F$287)</f>
        <v>0.39458949949446914</v>
      </c>
      <c r="Q5" s="41">
        <f>CORREL(E$2:E$287,G$2:G$287)</f>
        <v>-0.22482106382817485</v>
      </c>
      <c r="R5" s="41">
        <f>CORREL(E$2:E$287,H$2:H$287)</f>
        <v>0.27809305356897324</v>
      </c>
      <c r="S5" s="41">
        <f>CORREL(E$2:E$287,I$2:I$287)</f>
        <v>0.14980852012564888</v>
      </c>
      <c r="T5" s="41">
        <f>CORREL(E$2:E$287,J$2:J$287)</f>
        <v>-0.43806887591292232</v>
      </c>
    </row>
    <row r="6" spans="1:20">
      <c r="A6" s="40" t="s">
        <v>0</v>
      </c>
      <c r="B6" s="39">
        <v>2016</v>
      </c>
      <c r="C6" s="32">
        <v>21.705996890183549</v>
      </c>
      <c r="D6" s="38">
        <v>53.57034629592026</v>
      </c>
      <c r="E6" s="38">
        <v>28.062459487013289</v>
      </c>
      <c r="F6" s="38">
        <v>41.290799585924411</v>
      </c>
      <c r="G6" s="38">
        <v>42.371052236117521</v>
      </c>
      <c r="H6" s="38">
        <v>40.230201345670352</v>
      </c>
      <c r="I6" s="38" t="s">
        <v>35</v>
      </c>
      <c r="J6" s="34">
        <v>-9.6229099999999998E-2</v>
      </c>
      <c r="L6" s="42" t="s">
        <v>41</v>
      </c>
      <c r="M6" s="41">
        <f>CORREL(F$2:F$287,C$2:C$287)</f>
        <v>0.47539358498686074</v>
      </c>
      <c r="N6" s="41">
        <f>CORREL(F$2:F$287,D$2:D$287)</f>
        <v>0.5212340680169224</v>
      </c>
      <c r="O6" s="41">
        <f>CORREL(F$2:F$287,E$2:E$287)</f>
        <v>0.39458949949446914</v>
      </c>
      <c r="P6" s="41">
        <f>CORREL(F$2:F$287,F$2:F$287)</f>
        <v>1</v>
      </c>
      <c r="Q6" s="41">
        <f>CORREL(F$2:F$287,G$2:G$287)</f>
        <v>0.11476700668637263</v>
      </c>
      <c r="R6" s="41">
        <f>CORREL(F$2:F$287,H$2:H$287)</f>
        <v>0.39823998135591843</v>
      </c>
      <c r="S6" s="41">
        <f>CORREL(F$2:F$287,I$2:I$287)</f>
        <v>0.22678369327388823</v>
      </c>
      <c r="T6" s="41">
        <f>CORREL(F$2:F$287,J$2:J$287)</f>
        <v>-0.14115571339479038</v>
      </c>
    </row>
    <row r="7" spans="1:20">
      <c r="A7" s="40" t="s">
        <v>0</v>
      </c>
      <c r="B7" s="39">
        <v>2017</v>
      </c>
      <c r="C7" s="32">
        <v>26.162667519335791</v>
      </c>
      <c r="D7" s="38">
        <v>55.894600813165418</v>
      </c>
      <c r="E7" s="38">
        <v>18.729809763911831</v>
      </c>
      <c r="F7" s="38">
        <v>42.702898538083332</v>
      </c>
      <c r="G7" s="38">
        <v>43.47799053005992</v>
      </c>
      <c r="H7" s="38">
        <v>46.417547403318217</v>
      </c>
      <c r="I7" s="38" t="s">
        <v>35</v>
      </c>
      <c r="J7" s="34">
        <v>-0.10634139999999999</v>
      </c>
      <c r="L7" s="42" t="s">
        <v>42</v>
      </c>
      <c r="M7" s="41">
        <f>CORREL(G$2:G$287,C$2:C$287)</f>
        <v>-0.10852988804895619</v>
      </c>
      <c r="N7" s="41">
        <f>CORREL(G$2:G$287,D$2:D$287)</f>
        <v>2.20250790829883E-2</v>
      </c>
      <c r="O7" s="41">
        <f>CORREL(G$2:G$287,E$2:E$287)</f>
        <v>-0.22482106382817485</v>
      </c>
      <c r="P7" s="41">
        <f>CORREL(G$2:G$287,F$2:F$287)</f>
        <v>0.11476700668637263</v>
      </c>
      <c r="Q7" s="41">
        <f>CORREL(G$2:G$287,G$2:G$287)</f>
        <v>1.0000000000000002</v>
      </c>
      <c r="R7" s="41">
        <f>CORREL(G$2:G$287,H$2:H$287)</f>
        <v>-0.15360917151396755</v>
      </c>
      <c r="S7" s="41">
        <f>CORREL(G$2:G$287,I$2:I$287)</f>
        <v>-2.8778216943863105E-2</v>
      </c>
      <c r="T7" s="41">
        <f>CORREL(G$2:G$287,J$2:J$287)</f>
        <v>2.9777300706231875E-2</v>
      </c>
    </row>
    <row r="8" spans="1:20">
      <c r="A8" s="40" t="s">
        <v>0</v>
      </c>
      <c r="B8" s="39">
        <v>2018</v>
      </c>
      <c r="C8" s="32">
        <v>20.618714209002174</v>
      </c>
      <c r="D8" s="38">
        <v>54.273096315127411</v>
      </c>
      <c r="E8" s="38">
        <v>26.230023365046399</v>
      </c>
      <c r="F8" s="38">
        <v>34.395285604544092</v>
      </c>
      <c r="G8" s="38">
        <v>44.045253801432317</v>
      </c>
      <c r="H8" s="38">
        <v>31.431198440442621</v>
      </c>
      <c r="I8" s="38" t="s">
        <v>35</v>
      </c>
      <c r="J8" s="34">
        <v>-0.24429199999999998</v>
      </c>
      <c r="L8" s="42" t="s">
        <v>43</v>
      </c>
      <c r="M8" s="41">
        <f>CORREL(H$2:H$287,C$2:C$287)</f>
        <v>0.35767765044654926</v>
      </c>
      <c r="N8" s="41">
        <f>CORREL(H$2:H$287,D$2:D$287)</f>
        <v>0.38153924008037521</v>
      </c>
      <c r="O8" s="41">
        <f>CORREL(H$2:H$287,E$2:E$287)</f>
        <v>0.27809305356897324</v>
      </c>
      <c r="P8" s="41">
        <f>CORREL(H$2:H$287,F$2:F$287)</f>
        <v>0.39823998135591843</v>
      </c>
      <c r="Q8" s="41">
        <f>CORREL(H$2:H$287,G$2:G$287)</f>
        <v>-0.15360917151396755</v>
      </c>
      <c r="R8" s="41">
        <f>CORREL(H$2:H$287,H$2:H$287)</f>
        <v>1</v>
      </c>
      <c r="S8" s="41">
        <f>CORREL(H$2:H$287,I$2:I$287)</f>
        <v>0.36978971101047481</v>
      </c>
      <c r="T8" s="41">
        <f>CORREL(H$2:H$287,J$2:J$287)</f>
        <v>0.15158846113683216</v>
      </c>
    </row>
    <row r="9" spans="1:20">
      <c r="A9" s="40" t="s">
        <v>0</v>
      </c>
      <c r="B9" s="39">
        <v>2019</v>
      </c>
      <c r="C9" s="32">
        <v>25.366288266103524</v>
      </c>
      <c r="D9" s="38">
        <v>61.991151349105088</v>
      </c>
      <c r="E9" s="38">
        <v>34.235276780752457</v>
      </c>
      <c r="F9" s="38">
        <v>51.644644851784918</v>
      </c>
      <c r="G9" s="38">
        <v>41.865904310562748</v>
      </c>
      <c r="H9" s="38">
        <v>46.368728908012599</v>
      </c>
      <c r="I9" s="38">
        <v>72.246193283552572</v>
      </c>
      <c r="J9" s="34">
        <v>-9.9420999999999995E-2</v>
      </c>
      <c r="L9" s="42" t="s">
        <v>44</v>
      </c>
      <c r="M9" s="41">
        <f>CORREL(I$2:I$287,C$2:C$287)</f>
        <v>6.4064989753211482E-2</v>
      </c>
      <c r="N9" s="41">
        <f>CORREL(I$2:I$287,D$2:D$287)</f>
        <v>0.19657750144385863</v>
      </c>
      <c r="O9" s="41">
        <f>CORREL(I$2:I$287,E$2:E$287)</f>
        <v>0.14980852012564888</v>
      </c>
      <c r="P9" s="41">
        <f>CORREL(I$2:I$287,F$2:F$287)</f>
        <v>0.22678369327388823</v>
      </c>
      <c r="Q9" s="41">
        <f>CORREL(I$2:I$287,G$2:G$287)</f>
        <v>-2.8778216943863105E-2</v>
      </c>
      <c r="R9" s="41">
        <f>CORREL(I$2:I$287,H$2:H$287)</f>
        <v>0.36978971101047481</v>
      </c>
      <c r="S9" s="41">
        <f>CORREL(I$2:I$287,I$2:I$287)</f>
        <v>1.0000000000000002</v>
      </c>
      <c r="T9" s="41">
        <f>CORREL(I$2:I$287,J$2:J$287)</f>
        <v>-4.5757625896756533E-2</v>
      </c>
    </row>
    <row r="10" spans="1:20">
      <c r="A10" s="40" t="s">
        <v>0</v>
      </c>
      <c r="B10" s="39">
        <v>2020</v>
      </c>
      <c r="C10" s="32">
        <v>25.915133631709299</v>
      </c>
      <c r="D10" s="38">
        <v>67.83757926490695</v>
      </c>
      <c r="E10" s="38">
        <v>50.605974461078667</v>
      </c>
      <c r="F10" s="38">
        <v>74.233205510835901</v>
      </c>
      <c r="G10" s="38">
        <v>47.034484492245532</v>
      </c>
      <c r="H10" s="38">
        <v>57.312699879586837</v>
      </c>
      <c r="I10" s="38" t="s">
        <v>35</v>
      </c>
      <c r="J10" s="34">
        <v>-0.1518853</v>
      </c>
      <c r="L10" s="42" t="s">
        <v>45</v>
      </c>
      <c r="M10" s="41">
        <f>CORREL(J$2:J$287,C$2:C$287)</f>
        <v>-0.24667280561728894</v>
      </c>
      <c r="N10" s="41">
        <f>CORREL(J$2:J$287,D$2:D$287)</f>
        <v>-0.47157872048086025</v>
      </c>
      <c r="O10" s="41">
        <f>CORREL(J$2:J$287,E$2:E$287)</f>
        <v>-0.43806887591292232</v>
      </c>
      <c r="P10" s="41">
        <f>CORREL(J$2:J$287,F$2:F$287)</f>
        <v>-0.14115571339479038</v>
      </c>
      <c r="Q10" s="41">
        <f>CORREL(J$2:J$287,G$2:G$287)</f>
        <v>2.9777300706231875E-2</v>
      </c>
      <c r="R10" s="41">
        <f>CORREL(J$2:J$287,H$2:H$287)</f>
        <v>0.15158846113683216</v>
      </c>
      <c r="S10" s="41">
        <f>CORREL(J$2:J$287,I$2:I$287)</f>
        <v>-4.5757625896756533E-2</v>
      </c>
      <c r="T10" s="41">
        <f>CORREL(J$2:J$287,J$2:J$287)</f>
        <v>1</v>
      </c>
    </row>
    <row r="11" spans="1:20">
      <c r="A11" s="40" t="s">
        <v>0</v>
      </c>
      <c r="B11" s="39">
        <v>2021</v>
      </c>
      <c r="C11" s="32">
        <v>22.93674526839936</v>
      </c>
      <c r="D11" s="38">
        <v>66.723414706190127</v>
      </c>
      <c r="E11" s="38">
        <v>50.04774381709732</v>
      </c>
      <c r="F11" s="38">
        <v>70.628872471935068</v>
      </c>
      <c r="G11" s="38">
        <v>48.409550971135843</v>
      </c>
      <c r="H11" s="38">
        <v>54.80381530514569</v>
      </c>
      <c r="I11" s="38" t="s">
        <v>35</v>
      </c>
      <c r="J11" s="34">
        <v>-0.15107180000000001</v>
      </c>
    </row>
    <row r="12" spans="1:20">
      <c r="A12" s="40" t="s">
        <v>0</v>
      </c>
      <c r="B12" s="39">
        <v>2022</v>
      </c>
      <c r="C12" s="32">
        <v>22.793865896661078</v>
      </c>
      <c r="D12" s="38">
        <v>69.15817015950897</v>
      </c>
      <c r="E12" s="38">
        <v>51.785096121236961</v>
      </c>
      <c r="F12" s="38">
        <v>75.763086915894306</v>
      </c>
      <c r="G12" s="38">
        <v>50.973724469812147</v>
      </c>
      <c r="H12" s="38">
        <v>67.86716041843782</v>
      </c>
      <c r="I12" s="38" t="s">
        <v>35</v>
      </c>
      <c r="J12" s="34">
        <v>-0.1989311</v>
      </c>
    </row>
    <row r="13" spans="1:20">
      <c r="A13" s="37" t="s">
        <v>1</v>
      </c>
      <c r="B13" s="36">
        <v>2012</v>
      </c>
      <c r="C13" s="32">
        <v>19.024256786967321</v>
      </c>
      <c r="D13" s="35">
        <f t="shared" ref="D13:I13" si="0">AVERAGE(D12,D14)</f>
        <v>58.805228136268752</v>
      </c>
      <c r="E13" s="35">
        <f t="shared" si="0"/>
        <v>34.415803080679396</v>
      </c>
      <c r="F13" s="35">
        <f t="shared" si="0"/>
        <v>51.863672916061283</v>
      </c>
      <c r="G13" s="35">
        <f t="shared" si="0"/>
        <v>44.155681789404269</v>
      </c>
      <c r="H13" s="35">
        <f t="shared" si="0"/>
        <v>62.610222901375252</v>
      </c>
      <c r="I13" s="35">
        <f t="shared" si="0"/>
        <v>70.125507511475064</v>
      </c>
      <c r="J13" s="34">
        <v>1.7284567</v>
      </c>
    </row>
    <row r="14" spans="1:20">
      <c r="A14" s="37" t="s">
        <v>1</v>
      </c>
      <c r="B14" s="36">
        <v>2013</v>
      </c>
      <c r="C14" s="32">
        <v>15.086820821509582</v>
      </c>
      <c r="D14" s="35">
        <v>48.452286113028542</v>
      </c>
      <c r="E14" s="35">
        <v>17.046510040121831</v>
      </c>
      <c r="F14" s="35">
        <v>27.96425891622826</v>
      </c>
      <c r="G14" s="35">
        <v>37.337639108996392</v>
      </c>
      <c r="H14" s="35">
        <v>57.353285384312692</v>
      </c>
      <c r="I14" s="35">
        <v>70.125507511475064</v>
      </c>
      <c r="J14" s="34">
        <v>1.7532264</v>
      </c>
    </row>
    <row r="15" spans="1:20">
      <c r="A15" s="37" t="s">
        <v>1</v>
      </c>
      <c r="B15" s="36">
        <v>2014</v>
      </c>
      <c r="C15" s="32">
        <v>14.219971200693578</v>
      </c>
      <c r="D15" s="35">
        <v>48.975003591600391</v>
      </c>
      <c r="E15" s="35">
        <v>16.763935082300801</v>
      </c>
      <c r="F15" s="35">
        <v>30.889294664839859</v>
      </c>
      <c r="G15" s="35">
        <v>39.276241520667902</v>
      </c>
      <c r="H15" s="35">
        <v>55.520776853904671</v>
      </c>
      <c r="I15" s="35">
        <v>69.720098945451866</v>
      </c>
      <c r="J15" s="34">
        <v>1.6824306999999998</v>
      </c>
    </row>
    <row r="16" spans="1:20">
      <c r="A16" s="37" t="s">
        <v>1</v>
      </c>
      <c r="B16" s="36">
        <v>2015</v>
      </c>
      <c r="C16" s="32">
        <v>17.258908806357773</v>
      </c>
      <c r="D16" s="35">
        <v>50.494389783741212</v>
      </c>
      <c r="E16" s="35">
        <v>17.40112843359972</v>
      </c>
      <c r="F16" s="35">
        <v>31.603760474296429</v>
      </c>
      <c r="G16" s="35">
        <v>42.641219631391237</v>
      </c>
      <c r="H16" s="35">
        <v>53.186027977274357</v>
      </c>
      <c r="I16" s="35" t="s">
        <v>35</v>
      </c>
      <c r="J16" s="34">
        <v>1.6588803999999999</v>
      </c>
    </row>
    <row r="17" spans="1:10">
      <c r="A17" s="37" t="s">
        <v>1</v>
      </c>
      <c r="B17" s="36">
        <v>2016</v>
      </c>
      <c r="C17" s="32">
        <v>19.055756069791659</v>
      </c>
      <c r="D17" s="35">
        <v>54.073946123646323</v>
      </c>
      <c r="E17" s="35">
        <v>21.249283882099611</v>
      </c>
      <c r="F17" s="35">
        <v>36.31657403073352</v>
      </c>
      <c r="G17" s="35">
        <v>44.077729089410568</v>
      </c>
      <c r="H17" s="35">
        <v>58.964987301068703</v>
      </c>
      <c r="I17" s="35">
        <v>73.510269989747314</v>
      </c>
      <c r="J17" s="34">
        <v>1.7705122999999998</v>
      </c>
    </row>
    <row r="18" spans="1:10">
      <c r="A18" s="37" t="s">
        <v>1</v>
      </c>
      <c r="B18" s="36">
        <v>2017</v>
      </c>
      <c r="C18" s="32">
        <v>24.385350078133374</v>
      </c>
      <c r="D18" s="35">
        <v>55.586899058913367</v>
      </c>
      <c r="E18" s="35">
        <v>23.092898172619421</v>
      </c>
      <c r="F18" s="35">
        <v>39.214345976523937</v>
      </c>
      <c r="G18" s="35">
        <v>47.169939442271399</v>
      </c>
      <c r="H18" s="35">
        <v>60.227593071580273</v>
      </c>
      <c r="I18" s="35">
        <v>73.960328667761459</v>
      </c>
      <c r="J18" s="34">
        <v>1.8439555999999999</v>
      </c>
    </row>
    <row r="19" spans="1:10">
      <c r="A19" s="37" t="s">
        <v>1</v>
      </c>
      <c r="B19" s="36">
        <v>2018</v>
      </c>
      <c r="C19" s="32">
        <v>26.568473729637937</v>
      </c>
      <c r="D19" s="35">
        <v>55.860239602000469</v>
      </c>
      <c r="E19" s="35">
        <v>23.994097769551381</v>
      </c>
      <c r="F19" s="35">
        <v>39.868181901258417</v>
      </c>
      <c r="G19" s="35">
        <v>47.283129620838857</v>
      </c>
      <c r="H19" s="35">
        <v>62.978252464994242</v>
      </c>
      <c r="I19" s="35">
        <v>74.087982796123512</v>
      </c>
      <c r="J19" s="34">
        <v>1.642282</v>
      </c>
    </row>
    <row r="20" spans="1:10">
      <c r="A20" s="37" t="s">
        <v>1</v>
      </c>
      <c r="B20" s="36">
        <v>2019</v>
      </c>
      <c r="C20" s="32">
        <v>28.195825070904228</v>
      </c>
      <c r="D20" s="35">
        <v>56.802298466382773</v>
      </c>
      <c r="E20" s="35">
        <v>21.252376825384861</v>
      </c>
      <c r="F20" s="35">
        <v>55.113367333269423</v>
      </c>
      <c r="G20" s="35">
        <v>49.673021276665693</v>
      </c>
      <c r="H20" s="35">
        <v>67.081864521111243</v>
      </c>
      <c r="I20" s="35">
        <v>79.896290373398045</v>
      </c>
      <c r="J20" s="34">
        <v>1.6826482999999999</v>
      </c>
    </row>
    <row r="21" spans="1:10">
      <c r="A21" s="37" t="s">
        <v>1</v>
      </c>
      <c r="B21" s="36">
        <v>2020</v>
      </c>
      <c r="C21" s="32">
        <v>22.068606879891579</v>
      </c>
      <c r="D21" s="35">
        <v>55.61602182505586</v>
      </c>
      <c r="E21" s="35">
        <v>17.723338188258431</v>
      </c>
      <c r="F21" s="35">
        <v>50.962200355422787</v>
      </c>
      <c r="G21" s="35">
        <v>57.466361073788562</v>
      </c>
      <c r="H21" s="35">
        <v>49.10500530685011</v>
      </c>
      <c r="I21" s="35">
        <v>81.342945112450408</v>
      </c>
      <c r="J21" s="34">
        <v>1.5928787999999998</v>
      </c>
    </row>
    <row r="22" spans="1:10">
      <c r="A22" s="37" t="s">
        <v>1</v>
      </c>
      <c r="B22" s="36">
        <v>2021</v>
      </c>
      <c r="C22" s="32">
        <v>31.297988354699644</v>
      </c>
      <c r="D22" s="35">
        <v>58.928482889337197</v>
      </c>
      <c r="E22" s="35">
        <v>22.482471826629808</v>
      </c>
      <c r="F22" s="35">
        <v>51.702710181685298</v>
      </c>
      <c r="G22" s="35">
        <v>52.996602444187147</v>
      </c>
      <c r="H22" s="35">
        <v>70.499761169454388</v>
      </c>
      <c r="I22" s="35" t="s">
        <v>35</v>
      </c>
      <c r="J22" s="34">
        <v>1.6316738</v>
      </c>
    </row>
    <row r="23" spans="1:10">
      <c r="A23" s="37" t="s">
        <v>1</v>
      </c>
      <c r="B23" s="36">
        <v>2022</v>
      </c>
      <c r="C23" s="32">
        <v>24.363704766097364</v>
      </c>
      <c r="D23" s="35">
        <v>55.40126480099844</v>
      </c>
      <c r="E23" s="35">
        <v>20.08149309790905</v>
      </c>
      <c r="F23" s="35">
        <v>47.264803852361318</v>
      </c>
      <c r="G23" s="35">
        <v>52.258502228936763</v>
      </c>
      <c r="H23" s="35">
        <v>58.838594483381591</v>
      </c>
      <c r="I23" s="35">
        <v>79.655224213071122</v>
      </c>
      <c r="J23" s="34">
        <v>1.6322147999999999</v>
      </c>
    </row>
    <row r="24" spans="1:10">
      <c r="A24" s="37" t="s">
        <v>2</v>
      </c>
      <c r="B24" s="36">
        <v>2012</v>
      </c>
      <c r="C24" s="32">
        <v>22.817898042264986</v>
      </c>
      <c r="D24" s="35">
        <v>59.908993287797273</v>
      </c>
      <c r="E24" s="35">
        <v>44.877249128838002</v>
      </c>
      <c r="F24" s="35">
        <v>41.847447161035163</v>
      </c>
      <c r="G24" s="35">
        <v>32.02143614754894</v>
      </c>
      <c r="H24" s="35">
        <v>64.90520267998059</v>
      </c>
      <c r="I24" s="35">
        <v>67.778872423064769</v>
      </c>
      <c r="J24" s="34">
        <v>1.5473793</v>
      </c>
    </row>
    <row r="25" spans="1:10">
      <c r="A25" s="37" t="s">
        <v>2</v>
      </c>
      <c r="B25" s="36">
        <v>2013</v>
      </c>
      <c r="C25" s="32">
        <v>23.40688675534615</v>
      </c>
      <c r="D25" s="35">
        <v>59.625395233625433</v>
      </c>
      <c r="E25" s="35">
        <v>47.318503263334541</v>
      </c>
      <c r="F25" s="35">
        <v>42.243938877003799</v>
      </c>
      <c r="G25" s="35">
        <v>31.409331132832978</v>
      </c>
      <c r="H25" s="35">
        <v>68.397161805218673</v>
      </c>
      <c r="I25" s="35">
        <v>67.249755202396884</v>
      </c>
      <c r="J25" s="34">
        <v>1.5014761999999999</v>
      </c>
    </row>
    <row r="26" spans="1:10">
      <c r="A26" s="37" t="s">
        <v>2</v>
      </c>
      <c r="B26" s="36">
        <v>2014</v>
      </c>
      <c r="C26" s="32">
        <v>26.814540008158595</v>
      </c>
      <c r="D26" s="35">
        <v>64.870434647212065</v>
      </c>
      <c r="E26" s="35">
        <v>48.837005988940618</v>
      </c>
      <c r="F26" s="35">
        <v>48.306127478327213</v>
      </c>
      <c r="G26" s="35">
        <v>31.0994436369715</v>
      </c>
      <c r="H26" s="35">
        <v>66.999051000872996</v>
      </c>
      <c r="I26" s="35">
        <v>64.43410896021804</v>
      </c>
      <c r="J26" s="34">
        <v>1.3238527999999998</v>
      </c>
    </row>
    <row r="27" spans="1:10">
      <c r="A27" s="37" t="s">
        <v>2</v>
      </c>
      <c r="B27" s="36">
        <v>2015</v>
      </c>
      <c r="C27" s="32">
        <v>25.221463364306832</v>
      </c>
      <c r="D27" s="35">
        <v>65.718378775888837</v>
      </c>
      <c r="E27" s="35">
        <v>52.160956203212287</v>
      </c>
      <c r="F27" s="35">
        <v>43.741752515933428</v>
      </c>
      <c r="G27" s="35">
        <v>30.790631249790192</v>
      </c>
      <c r="H27" s="35">
        <v>57.354068160029527</v>
      </c>
      <c r="I27" s="35">
        <v>64.891057205047417</v>
      </c>
      <c r="J27" s="34">
        <v>1.2230295</v>
      </c>
    </row>
    <row r="28" spans="1:10">
      <c r="A28" s="37" t="s">
        <v>2</v>
      </c>
      <c r="B28" s="36">
        <v>2016</v>
      </c>
      <c r="C28" s="32">
        <v>23.773777126581408</v>
      </c>
      <c r="D28" s="35">
        <v>61.210161111131768</v>
      </c>
      <c r="E28" s="35">
        <v>47.924933381833327</v>
      </c>
      <c r="F28" s="35">
        <v>40.431560569771037</v>
      </c>
      <c r="G28" s="35">
        <v>31.226939242070092</v>
      </c>
      <c r="H28" s="35">
        <v>50.38033637249216</v>
      </c>
      <c r="I28" s="35">
        <v>63.848785484716032</v>
      </c>
      <c r="J28" s="34">
        <v>1.2761321999999999</v>
      </c>
    </row>
    <row r="29" spans="1:10">
      <c r="A29" s="37" t="s">
        <v>2</v>
      </c>
      <c r="B29" s="36">
        <v>2017</v>
      </c>
      <c r="C29" s="32">
        <v>23.038290701968094</v>
      </c>
      <c r="D29" s="35">
        <v>61.829447608555618</v>
      </c>
      <c r="E29" s="35">
        <v>47.255859618004123</v>
      </c>
      <c r="F29" s="35">
        <v>43.399800685280603</v>
      </c>
      <c r="G29" s="35">
        <v>32.405517420109327</v>
      </c>
      <c r="H29" s="35">
        <v>55.531331119923607</v>
      </c>
      <c r="I29" s="35">
        <v>62.867921263494011</v>
      </c>
      <c r="J29" s="34">
        <v>1.2402076</v>
      </c>
    </row>
    <row r="30" spans="1:10">
      <c r="A30" s="37" t="s">
        <v>2</v>
      </c>
      <c r="B30" s="36">
        <v>2018</v>
      </c>
      <c r="C30" s="32">
        <v>23.482585587793288</v>
      </c>
      <c r="D30" s="35">
        <v>62.515415556977729</v>
      </c>
      <c r="E30" s="35">
        <v>50.178284977243223</v>
      </c>
      <c r="F30" s="35">
        <v>42.117337266156447</v>
      </c>
      <c r="G30" s="35">
        <v>32.11095639199474</v>
      </c>
      <c r="H30" s="35">
        <v>61.783506024038168</v>
      </c>
      <c r="I30" s="35">
        <v>60.81847178150818</v>
      </c>
      <c r="J30" s="34">
        <v>1.1753875</v>
      </c>
    </row>
    <row r="31" spans="1:10">
      <c r="A31" s="37" t="s">
        <v>2</v>
      </c>
      <c r="B31" s="36">
        <v>2019</v>
      </c>
      <c r="C31" s="32">
        <v>36.567168096242106</v>
      </c>
      <c r="D31" s="35">
        <v>75.54101215646439</v>
      </c>
      <c r="E31" s="35">
        <v>55.936090189024853</v>
      </c>
      <c r="F31" s="35">
        <v>70.963565547225599</v>
      </c>
      <c r="G31" s="35">
        <v>58.008634691754438</v>
      </c>
      <c r="H31" s="35">
        <v>47.623379134203859</v>
      </c>
      <c r="I31" s="35">
        <v>74.580688700146965</v>
      </c>
      <c r="J31" s="34">
        <v>1.0772531999999999</v>
      </c>
    </row>
    <row r="32" spans="1:10">
      <c r="A32" s="37" t="s">
        <v>2</v>
      </c>
      <c r="B32" s="36">
        <v>2020</v>
      </c>
      <c r="C32" s="32">
        <v>27.852872673026909</v>
      </c>
      <c r="D32" s="35">
        <v>71.694816674809346</v>
      </c>
      <c r="E32" s="35">
        <v>51.915821321428332</v>
      </c>
      <c r="F32" s="35">
        <v>65.752965428025405</v>
      </c>
      <c r="G32" s="35">
        <v>50.525529169785322</v>
      </c>
      <c r="H32" s="35">
        <v>46.688562199085332</v>
      </c>
      <c r="I32" s="35" t="s">
        <v>35</v>
      </c>
      <c r="J32" s="34">
        <v>0.89026640000000001</v>
      </c>
    </row>
    <row r="33" spans="1:10">
      <c r="A33" s="37" t="s">
        <v>2</v>
      </c>
      <c r="B33" s="36">
        <v>2021</v>
      </c>
      <c r="C33" s="32">
        <v>32.932848469951644</v>
      </c>
      <c r="D33" s="35">
        <v>70.722215023072565</v>
      </c>
      <c r="E33" s="35">
        <v>51.445540060403758</v>
      </c>
      <c r="F33" s="35">
        <v>70.720469475008215</v>
      </c>
      <c r="G33" s="35">
        <v>49.720552395274588</v>
      </c>
      <c r="H33" s="35">
        <v>59.748497035412413</v>
      </c>
      <c r="I33" s="35" t="s">
        <v>35</v>
      </c>
      <c r="J33" s="34">
        <v>0.87368939999999995</v>
      </c>
    </row>
    <row r="34" spans="1:10">
      <c r="A34" s="37" t="s">
        <v>2</v>
      </c>
      <c r="B34" s="36">
        <v>2022</v>
      </c>
      <c r="C34" s="32">
        <v>26.628344728782722</v>
      </c>
      <c r="D34" s="35">
        <v>70.089453017797837</v>
      </c>
      <c r="E34" s="35">
        <v>48.218213316381011</v>
      </c>
      <c r="F34" s="35">
        <v>68.551868202834925</v>
      </c>
      <c r="G34" s="35">
        <v>50.226008993019633</v>
      </c>
      <c r="H34" s="35">
        <v>50.504280217669859</v>
      </c>
      <c r="I34" s="35">
        <v>65.395739941009367</v>
      </c>
      <c r="J34" s="34">
        <v>0.82780029999999993</v>
      </c>
    </row>
    <row r="35" spans="1:10">
      <c r="A35" s="37" t="s">
        <v>3</v>
      </c>
      <c r="B35" s="36">
        <v>2012</v>
      </c>
      <c r="C35" s="32">
        <v>23.34368954361921</v>
      </c>
      <c r="D35" s="35">
        <v>56.567149720054658</v>
      </c>
      <c r="E35" s="35">
        <v>56.909865528112412</v>
      </c>
      <c r="F35" s="35">
        <v>29.991304251519701</v>
      </c>
      <c r="G35" s="35">
        <v>34.670326552378647</v>
      </c>
      <c r="H35" s="35">
        <v>71.799310058406476</v>
      </c>
      <c r="I35" s="35">
        <v>75.492872033957866</v>
      </c>
      <c r="J35" s="34">
        <v>0.22190799999999999</v>
      </c>
    </row>
    <row r="36" spans="1:10">
      <c r="A36" s="37" t="s">
        <v>3</v>
      </c>
      <c r="B36" s="36">
        <v>2013</v>
      </c>
      <c r="C36" s="32">
        <v>24.543505344682217</v>
      </c>
      <c r="D36" s="35">
        <v>57.843313298847853</v>
      </c>
      <c r="E36" s="35">
        <v>57.173181492619292</v>
      </c>
      <c r="F36" s="35">
        <v>22.847897407974141</v>
      </c>
      <c r="G36" s="35">
        <v>35.15172947003785</v>
      </c>
      <c r="H36" s="35">
        <v>67.697080849281022</v>
      </c>
      <c r="I36" s="35">
        <v>71.362103686546519</v>
      </c>
      <c r="J36" s="34">
        <v>0.23608119999999999</v>
      </c>
    </row>
    <row r="37" spans="1:10">
      <c r="A37" s="37" t="s">
        <v>3</v>
      </c>
      <c r="B37" s="36">
        <v>2014</v>
      </c>
      <c r="C37" s="32">
        <v>18.843962522820632</v>
      </c>
      <c r="D37" s="35">
        <v>57.411695947377233</v>
      </c>
      <c r="E37" s="35">
        <v>51.278178407848849</v>
      </c>
      <c r="F37" s="35">
        <v>26.773187637456939</v>
      </c>
      <c r="G37" s="35">
        <v>34.332444796455249</v>
      </c>
      <c r="H37" s="35">
        <v>65.741204237497811</v>
      </c>
      <c r="I37" s="35">
        <v>67.133778891880439</v>
      </c>
      <c r="J37" s="34">
        <v>0.25627069999999996</v>
      </c>
    </row>
    <row r="38" spans="1:10">
      <c r="A38" s="37" t="s">
        <v>3</v>
      </c>
      <c r="B38" s="36">
        <v>2015</v>
      </c>
      <c r="C38" s="32">
        <v>22.358825972256081</v>
      </c>
      <c r="D38" s="35">
        <v>59.472294280940552</v>
      </c>
      <c r="E38" s="35">
        <v>51.805102574215312</v>
      </c>
      <c r="F38" s="35">
        <v>29.092186846570321</v>
      </c>
      <c r="G38" s="35">
        <v>37.830914119145667</v>
      </c>
      <c r="H38" s="35">
        <v>58.262137395006327</v>
      </c>
      <c r="I38" s="35">
        <v>69.843396745834923</v>
      </c>
      <c r="J38" s="34">
        <v>0.30948319999999996</v>
      </c>
    </row>
    <row r="39" spans="1:10">
      <c r="A39" s="37" t="s">
        <v>3</v>
      </c>
      <c r="B39" s="36">
        <v>2016</v>
      </c>
      <c r="C39" s="32">
        <v>28.916252675040266</v>
      </c>
      <c r="D39" s="35">
        <v>67.917876469339376</v>
      </c>
      <c r="E39" s="35">
        <v>53.014108819937853</v>
      </c>
      <c r="F39" s="35">
        <v>48.114199835186277</v>
      </c>
      <c r="G39" s="35">
        <v>25.578389610065781</v>
      </c>
      <c r="H39" s="35">
        <v>51.39542739970009</v>
      </c>
      <c r="I39" s="35">
        <v>76.203618458094908</v>
      </c>
      <c r="J39" s="34">
        <v>0.27294619999999997</v>
      </c>
    </row>
    <row r="40" spans="1:10">
      <c r="A40" s="37" t="s">
        <v>3</v>
      </c>
      <c r="B40" s="36">
        <v>2017</v>
      </c>
      <c r="C40" s="32">
        <v>20.387996400111355</v>
      </c>
      <c r="D40" s="35">
        <v>68.495220729061117</v>
      </c>
      <c r="E40" s="35">
        <v>56.863379333469958</v>
      </c>
      <c r="F40" s="35">
        <v>41.715079722108541</v>
      </c>
      <c r="G40" s="35">
        <v>28.08376475375529</v>
      </c>
      <c r="H40" s="35">
        <v>52.403254327310357</v>
      </c>
      <c r="I40" s="35">
        <v>75.343288046678666</v>
      </c>
      <c r="J40" s="34">
        <v>0.16835729999999999</v>
      </c>
    </row>
    <row r="41" spans="1:10">
      <c r="A41" s="37" t="s">
        <v>3</v>
      </c>
      <c r="B41" s="36">
        <v>2018</v>
      </c>
      <c r="C41" s="32">
        <v>21.274725696991798</v>
      </c>
      <c r="D41" s="35">
        <v>66.396656241239157</v>
      </c>
      <c r="E41" s="35">
        <v>50.151353180247561</v>
      </c>
      <c r="F41" s="35">
        <v>42.127816147390803</v>
      </c>
      <c r="G41" s="35">
        <v>27.732374178554071</v>
      </c>
      <c r="H41" s="35">
        <v>57.479712160272882</v>
      </c>
      <c r="I41" s="35">
        <v>84.181937153826723</v>
      </c>
      <c r="J41" s="34">
        <v>0.10885399999999999</v>
      </c>
    </row>
    <row r="42" spans="1:10">
      <c r="A42" s="37" t="s">
        <v>3</v>
      </c>
      <c r="B42" s="36">
        <v>2019</v>
      </c>
      <c r="C42" s="32">
        <v>26.201727894151951</v>
      </c>
      <c r="D42" s="35">
        <v>72.372129661653901</v>
      </c>
      <c r="E42" s="35">
        <v>42.193640763567288</v>
      </c>
      <c r="F42" s="35">
        <v>66.530969092371052</v>
      </c>
      <c r="G42" s="35">
        <v>38.350447037124539</v>
      </c>
      <c r="H42" s="35">
        <v>46.68449522242198</v>
      </c>
      <c r="I42" s="35">
        <v>65.416092808592353</v>
      </c>
      <c r="J42" s="34">
        <v>0.23233509999999999</v>
      </c>
    </row>
    <row r="43" spans="1:10">
      <c r="A43" s="37" t="s">
        <v>3</v>
      </c>
      <c r="B43" s="36">
        <v>2020</v>
      </c>
      <c r="C43" s="32">
        <v>35.62150206411895</v>
      </c>
      <c r="D43" s="35">
        <v>64.801064257540773</v>
      </c>
      <c r="E43" s="35">
        <v>43.275164000271722</v>
      </c>
      <c r="F43" s="35">
        <v>66.902986005319491</v>
      </c>
      <c r="G43" s="35">
        <v>42.494985500227422</v>
      </c>
      <c r="H43" s="35">
        <v>47.886386965702663</v>
      </c>
      <c r="I43" s="35">
        <v>58.277430553084052</v>
      </c>
      <c r="J43" s="34">
        <v>0.16083899999999998</v>
      </c>
    </row>
    <row r="44" spans="1:10">
      <c r="A44" s="37" t="s">
        <v>3</v>
      </c>
      <c r="B44" s="36">
        <v>2021</v>
      </c>
      <c r="C44" s="32">
        <v>16.840192816577048</v>
      </c>
      <c r="D44" s="35">
        <v>56.236937699335108</v>
      </c>
      <c r="E44" s="35">
        <v>25.740477797444751</v>
      </c>
      <c r="F44" s="35">
        <v>58.182983273209693</v>
      </c>
      <c r="G44" s="35">
        <v>47.625146019632929</v>
      </c>
      <c r="H44" s="35">
        <v>38.105472268672472</v>
      </c>
      <c r="I44" s="35">
        <v>61.90469682101174</v>
      </c>
      <c r="J44" s="34">
        <v>0.23657909999999999</v>
      </c>
    </row>
    <row r="45" spans="1:10">
      <c r="A45" s="37" t="s">
        <v>3</v>
      </c>
      <c r="B45" s="36">
        <v>2022</v>
      </c>
      <c r="C45" s="32">
        <v>29.131811839320822</v>
      </c>
      <c r="D45" s="35">
        <v>66.563222411254159</v>
      </c>
      <c r="E45" s="35">
        <v>26.395881989640358</v>
      </c>
      <c r="F45" s="35">
        <v>63.799241160750512</v>
      </c>
      <c r="G45" s="35">
        <v>38.531765832826061</v>
      </c>
      <c r="H45" s="35">
        <v>53.441776256168687</v>
      </c>
      <c r="I45" s="35">
        <v>61.640784900934733</v>
      </c>
      <c r="J45" s="34">
        <v>0.18642129999999998</v>
      </c>
    </row>
    <row r="46" spans="1:10">
      <c r="A46" s="37" t="s">
        <v>4</v>
      </c>
      <c r="B46" s="36">
        <v>2012</v>
      </c>
      <c r="C46" s="32">
        <v>12.384488698076447</v>
      </c>
      <c r="D46" s="35">
        <v>44.061099086508626</v>
      </c>
      <c r="E46" s="35">
        <v>23.584809203664729</v>
      </c>
      <c r="F46" s="35">
        <v>23.48444801828694</v>
      </c>
      <c r="G46" s="35">
        <v>46.304034950644713</v>
      </c>
      <c r="H46" s="35">
        <v>17.148067900284939</v>
      </c>
      <c r="I46" s="35">
        <v>41.733570654062873</v>
      </c>
      <c r="J46" s="34">
        <v>0.20644959999999998</v>
      </c>
    </row>
    <row r="47" spans="1:10">
      <c r="A47" s="37" t="s">
        <v>4</v>
      </c>
      <c r="B47" s="36">
        <v>2013</v>
      </c>
      <c r="C47" s="32">
        <v>12.775095859632087</v>
      </c>
      <c r="D47" s="35">
        <v>47.1763085971808</v>
      </c>
      <c r="E47" s="35">
        <v>24.08573949532455</v>
      </c>
      <c r="F47" s="35">
        <v>24.449101517392499</v>
      </c>
      <c r="G47" s="35">
        <v>46.032203198476743</v>
      </c>
      <c r="H47" s="35">
        <v>17.58442610875889</v>
      </c>
      <c r="I47" s="35">
        <v>43.074664306094121</v>
      </c>
      <c r="J47" s="34">
        <v>0.2263801</v>
      </c>
    </row>
    <row r="48" spans="1:10">
      <c r="A48" s="37" t="s">
        <v>4</v>
      </c>
      <c r="B48" s="36">
        <v>2014</v>
      </c>
      <c r="C48" s="32">
        <v>10.842533896778901</v>
      </c>
      <c r="D48" s="35">
        <v>45.905668803916669</v>
      </c>
      <c r="E48" s="35">
        <v>22.870727385318212</v>
      </c>
      <c r="F48" s="35">
        <v>25.0548585942716</v>
      </c>
      <c r="G48" s="35">
        <v>44.468585528495801</v>
      </c>
      <c r="H48" s="35">
        <v>18.426556172733839</v>
      </c>
      <c r="I48" s="35">
        <v>46.576264027275784</v>
      </c>
      <c r="J48" s="34">
        <v>0.11907379999999999</v>
      </c>
    </row>
    <row r="49" spans="1:10">
      <c r="A49" s="37" t="s">
        <v>4</v>
      </c>
      <c r="B49" s="36">
        <v>2015</v>
      </c>
      <c r="C49" s="32">
        <v>9.750043188853768</v>
      </c>
      <c r="D49" s="35">
        <v>47.517627260377431</v>
      </c>
      <c r="E49" s="35">
        <v>20.87279889408989</v>
      </c>
      <c r="F49" s="35">
        <v>24.610607407917868</v>
      </c>
      <c r="G49" s="35">
        <v>44.734653370453657</v>
      </c>
      <c r="H49" s="35">
        <v>22.296336617417751</v>
      </c>
      <c r="I49" s="35">
        <v>42.340858081495099</v>
      </c>
      <c r="J49" s="34">
        <v>0.14628059999999998</v>
      </c>
    </row>
    <row r="50" spans="1:10">
      <c r="A50" s="37" t="s">
        <v>4</v>
      </c>
      <c r="B50" s="36">
        <v>2016</v>
      </c>
      <c r="C50" s="32">
        <v>11.246191629349171</v>
      </c>
      <c r="D50" s="35">
        <v>50.151804396762323</v>
      </c>
      <c r="E50" s="35">
        <v>22.32100187639444</v>
      </c>
      <c r="F50" s="35">
        <v>30.6889136916691</v>
      </c>
      <c r="G50" s="35">
        <v>45.970476969582272</v>
      </c>
      <c r="H50" s="35">
        <v>24.550501273858639</v>
      </c>
      <c r="I50" s="35">
        <v>45.619318325963512</v>
      </c>
      <c r="J50" s="34">
        <v>0.180344</v>
      </c>
    </row>
    <row r="51" spans="1:10">
      <c r="A51" s="37" t="s">
        <v>4</v>
      </c>
      <c r="B51" s="36">
        <v>2017</v>
      </c>
      <c r="C51" s="32">
        <v>11.971388220726181</v>
      </c>
      <c r="D51" s="35">
        <v>50.842226218865051</v>
      </c>
      <c r="E51" s="35">
        <v>22.834380877883191</v>
      </c>
      <c r="F51" s="35">
        <v>32.320653751313223</v>
      </c>
      <c r="G51" s="35">
        <v>37.096000096620493</v>
      </c>
      <c r="H51" s="35">
        <v>33.586923208106107</v>
      </c>
      <c r="I51" s="35">
        <v>47.711810123304673</v>
      </c>
      <c r="J51" s="34">
        <v>0.2956415</v>
      </c>
    </row>
    <row r="52" spans="1:10">
      <c r="A52" s="37" t="s">
        <v>4</v>
      </c>
      <c r="B52" s="36">
        <v>2018</v>
      </c>
      <c r="C52" s="32">
        <v>16.206796109345628</v>
      </c>
      <c r="D52" s="35">
        <v>52.319363541255527</v>
      </c>
      <c r="E52" s="35">
        <v>22.391007243558299</v>
      </c>
      <c r="F52" s="35">
        <v>34.619894927754473</v>
      </c>
      <c r="G52" s="35">
        <v>39.547604434756117</v>
      </c>
      <c r="H52" s="35">
        <v>33.132083900172617</v>
      </c>
      <c r="I52" s="35">
        <v>42.969631176917623</v>
      </c>
      <c r="J52" s="34">
        <v>0.39559309999999998</v>
      </c>
    </row>
    <row r="53" spans="1:10">
      <c r="A53" s="37" t="s">
        <v>4</v>
      </c>
      <c r="B53" s="36">
        <v>2019</v>
      </c>
      <c r="C53" s="32">
        <v>16.27182016643934</v>
      </c>
      <c r="D53" s="35">
        <v>71.190689296223781</v>
      </c>
      <c r="E53" s="35">
        <v>25.6219650682999</v>
      </c>
      <c r="F53" s="35">
        <v>66.211888754572868</v>
      </c>
      <c r="G53" s="35">
        <v>51.03739651552398</v>
      </c>
      <c r="H53" s="35">
        <v>55.65755925504866</v>
      </c>
      <c r="I53" s="35">
        <v>46.44803037967101</v>
      </c>
      <c r="J53" s="34">
        <v>0.38477999999999996</v>
      </c>
    </row>
    <row r="54" spans="1:10">
      <c r="A54" s="37" t="s">
        <v>4</v>
      </c>
      <c r="B54" s="36">
        <v>2020</v>
      </c>
      <c r="C54" s="32">
        <v>19.042403325102001</v>
      </c>
      <c r="D54" s="35">
        <v>74.99011883709619</v>
      </c>
      <c r="E54" s="35">
        <v>30.452563817510221</v>
      </c>
      <c r="F54" s="35">
        <v>67.75746194375391</v>
      </c>
      <c r="G54" s="35">
        <v>55.403365215011327</v>
      </c>
      <c r="H54" s="35">
        <v>47.152004837134889</v>
      </c>
      <c r="I54" s="35">
        <v>53.474826566448961</v>
      </c>
      <c r="J54" s="34">
        <v>0.2017786</v>
      </c>
    </row>
    <row r="55" spans="1:10">
      <c r="A55" s="37" t="s">
        <v>4</v>
      </c>
      <c r="B55" s="36">
        <v>2021</v>
      </c>
      <c r="C55" s="32">
        <v>18.135303014715891</v>
      </c>
      <c r="D55" s="35">
        <v>71.065817394537618</v>
      </c>
      <c r="E55" s="35">
        <v>27.926318714037158</v>
      </c>
      <c r="F55" s="35">
        <v>67.954471556730667</v>
      </c>
      <c r="G55" s="35">
        <v>49.913850226238793</v>
      </c>
      <c r="H55" s="35">
        <v>58.330549146076287</v>
      </c>
      <c r="I55" s="35">
        <v>53.474131947780421</v>
      </c>
      <c r="J55" s="34">
        <v>0.33180009999999999</v>
      </c>
    </row>
    <row r="56" spans="1:10">
      <c r="A56" s="37" t="s">
        <v>4</v>
      </c>
      <c r="B56" s="36">
        <v>2022</v>
      </c>
      <c r="C56" s="32">
        <v>21.332059607650926</v>
      </c>
      <c r="D56" s="35">
        <v>73.611628433436692</v>
      </c>
      <c r="E56" s="35">
        <v>26.441132016488272</v>
      </c>
      <c r="F56" s="35">
        <v>66.48204667659752</v>
      </c>
      <c r="G56" s="35">
        <v>52.224343699371289</v>
      </c>
      <c r="H56" s="35">
        <v>60.015603012934818</v>
      </c>
      <c r="I56" s="35">
        <v>54.826479734217749</v>
      </c>
      <c r="J56" s="34">
        <v>0.29933080000000001</v>
      </c>
    </row>
    <row r="57" spans="1:10">
      <c r="A57" s="37" t="s">
        <v>7</v>
      </c>
      <c r="B57" s="36">
        <v>2012</v>
      </c>
      <c r="C57" s="32">
        <v>6.2116457745854188</v>
      </c>
      <c r="D57" s="35">
        <v>37.087718153553269</v>
      </c>
      <c r="E57" s="35">
        <v>8.8897574010414395</v>
      </c>
      <c r="F57" s="35">
        <v>24.33110730607001</v>
      </c>
      <c r="G57" s="35">
        <v>49.036423532353439</v>
      </c>
      <c r="H57" s="35">
        <v>36.158017972988347</v>
      </c>
      <c r="I57" s="35">
        <v>76.395591435871054</v>
      </c>
      <c r="J57" s="34">
        <v>1.5033775</v>
      </c>
    </row>
    <row r="58" spans="1:10">
      <c r="A58" s="37" t="s">
        <v>7</v>
      </c>
      <c r="B58" s="36">
        <v>2013</v>
      </c>
      <c r="C58" s="32">
        <v>5.2601888587883598</v>
      </c>
      <c r="D58" s="35">
        <v>37.720235347243801</v>
      </c>
      <c r="E58" s="35">
        <v>8.9045898197994404</v>
      </c>
      <c r="F58" s="35">
        <v>25.00629577318924</v>
      </c>
      <c r="G58" s="35">
        <v>48.153924868398953</v>
      </c>
      <c r="H58" s="35">
        <v>31.29989040933755</v>
      </c>
      <c r="I58" s="35">
        <v>75.227100994414499</v>
      </c>
      <c r="J58" s="34">
        <v>1.4776206999999999</v>
      </c>
    </row>
    <row r="59" spans="1:10">
      <c r="A59" s="37" t="s">
        <v>7</v>
      </c>
      <c r="B59" s="36">
        <v>2014</v>
      </c>
      <c r="C59" s="32">
        <v>8.0978438964361548</v>
      </c>
      <c r="D59" s="35">
        <v>36.400994433753063</v>
      </c>
      <c r="E59" s="35">
        <v>8.2779415044731479</v>
      </c>
      <c r="F59" s="35">
        <v>23.972181532998281</v>
      </c>
      <c r="G59" s="35">
        <v>46.368023980133522</v>
      </c>
      <c r="H59" s="35">
        <v>37.593115075061831</v>
      </c>
      <c r="I59" s="35">
        <v>79.100393563700791</v>
      </c>
      <c r="J59" s="34">
        <v>1.5568298999999999</v>
      </c>
    </row>
    <row r="60" spans="1:10">
      <c r="A60" s="37" t="s">
        <v>7</v>
      </c>
      <c r="B60" s="36">
        <v>2015</v>
      </c>
      <c r="C60" s="32">
        <v>5.5873759477525917</v>
      </c>
      <c r="D60" s="35">
        <v>36.192387330100843</v>
      </c>
      <c r="E60" s="35">
        <v>9.1566406313575062</v>
      </c>
      <c r="F60" s="35">
        <v>23.621730719692071</v>
      </c>
      <c r="G60" s="35">
        <v>46.752998809941943</v>
      </c>
      <c r="H60" s="35">
        <v>38.266417048209163</v>
      </c>
      <c r="I60" s="35">
        <v>75.696152166356072</v>
      </c>
      <c r="J60" s="34">
        <v>1.6412186</v>
      </c>
    </row>
    <row r="61" spans="1:10">
      <c r="A61" s="37" t="s">
        <v>7</v>
      </c>
      <c r="B61" s="36">
        <v>2016</v>
      </c>
      <c r="C61" s="32">
        <v>4.682621367563276</v>
      </c>
      <c r="D61" s="35">
        <v>37.407305455762248</v>
      </c>
      <c r="E61" s="35">
        <v>8.1373749806327229</v>
      </c>
      <c r="F61" s="35">
        <v>22.425696893905879</v>
      </c>
      <c r="G61" s="35">
        <v>44.336799131862477</v>
      </c>
      <c r="H61" s="35">
        <v>37.560152832119527</v>
      </c>
      <c r="I61" s="35">
        <v>78.862153161119224</v>
      </c>
      <c r="J61" s="34">
        <v>1.6895095999999998</v>
      </c>
    </row>
    <row r="62" spans="1:10">
      <c r="A62" s="37" t="s">
        <v>7</v>
      </c>
      <c r="B62" s="36">
        <v>2017</v>
      </c>
      <c r="C62" s="32">
        <v>6.1476476088310843</v>
      </c>
      <c r="D62" s="35">
        <v>37.449749992436118</v>
      </c>
      <c r="E62" s="35">
        <v>8.8530545686686413</v>
      </c>
      <c r="F62" s="35">
        <v>24.101991937983879</v>
      </c>
      <c r="G62" s="35">
        <v>41.951786443172409</v>
      </c>
      <c r="H62" s="35">
        <v>41.959516273048152</v>
      </c>
      <c r="I62" s="35">
        <v>77.903421352692632</v>
      </c>
      <c r="J62" s="34">
        <v>1.6946665999999999</v>
      </c>
    </row>
    <row r="63" spans="1:10">
      <c r="A63" s="37" t="s">
        <v>7</v>
      </c>
      <c r="B63" s="36">
        <v>2018</v>
      </c>
      <c r="C63" s="32">
        <v>6.4052128721535553</v>
      </c>
      <c r="D63" s="35">
        <v>38.307453439354951</v>
      </c>
      <c r="E63" s="35">
        <v>7.6460202864945011</v>
      </c>
      <c r="F63" s="35">
        <v>23.686450251483279</v>
      </c>
      <c r="G63" s="35">
        <v>38.715962773431627</v>
      </c>
      <c r="H63" s="35">
        <v>42.113280148386941</v>
      </c>
      <c r="I63" s="35">
        <v>74.790250527738905</v>
      </c>
      <c r="J63" s="34">
        <v>1.6795514999999999</v>
      </c>
    </row>
    <row r="64" spans="1:10">
      <c r="A64" s="37" t="s">
        <v>7</v>
      </c>
      <c r="B64" s="36">
        <v>2019</v>
      </c>
      <c r="C64" s="32">
        <v>11.190852718252332</v>
      </c>
      <c r="D64" s="35">
        <v>45.794624258358567</v>
      </c>
      <c r="E64" s="35">
        <v>12.52883855058808</v>
      </c>
      <c r="F64" s="35">
        <v>46.365902283343409</v>
      </c>
      <c r="G64" s="35">
        <v>37.369602992067627</v>
      </c>
      <c r="H64" s="35">
        <v>52.178481491086544</v>
      </c>
      <c r="I64" s="35">
        <v>80.684664452737437</v>
      </c>
      <c r="J64" s="34">
        <v>1.6651378999999999</v>
      </c>
    </row>
    <row r="65" spans="1:10">
      <c r="A65" s="37" t="s">
        <v>7</v>
      </c>
      <c r="B65" s="36">
        <v>2020</v>
      </c>
      <c r="C65" s="32">
        <v>6.6197927283137252</v>
      </c>
      <c r="D65" s="35">
        <v>47.582180398739851</v>
      </c>
      <c r="E65" s="35">
        <v>12.656063980963889</v>
      </c>
      <c r="F65" s="35">
        <v>44.417792961541949</v>
      </c>
      <c r="G65" s="35">
        <v>38.401637565706039</v>
      </c>
      <c r="H65" s="35">
        <v>36.015485563417627</v>
      </c>
      <c r="I65" s="35">
        <v>81.824040227556551</v>
      </c>
      <c r="J65" s="34">
        <v>1.5622144999999998</v>
      </c>
    </row>
    <row r="66" spans="1:10">
      <c r="A66" s="37" t="s">
        <v>7</v>
      </c>
      <c r="B66" s="36">
        <v>2021</v>
      </c>
      <c r="C66" s="32">
        <v>9.4072371741462213</v>
      </c>
      <c r="D66" s="35">
        <v>37.133922628651931</v>
      </c>
      <c r="E66" s="35">
        <v>8.6442554058126984</v>
      </c>
      <c r="F66" s="35">
        <v>39.881694740109921</v>
      </c>
      <c r="G66" s="35">
        <v>45.498607309762463</v>
      </c>
      <c r="H66" s="35">
        <v>48.172158250706239</v>
      </c>
      <c r="I66" s="35">
        <v>82.649853608621214</v>
      </c>
      <c r="J66" s="34">
        <v>1.6129104999999999</v>
      </c>
    </row>
    <row r="67" spans="1:10">
      <c r="A67" s="37" t="s">
        <v>7</v>
      </c>
      <c r="B67" s="36">
        <v>2022</v>
      </c>
      <c r="C67" s="32">
        <v>13.866584011836341</v>
      </c>
      <c r="D67" s="35">
        <v>36.183071861300583</v>
      </c>
      <c r="E67" s="35">
        <v>10.3098322163746</v>
      </c>
      <c r="F67" s="35">
        <v>34.210350827726181</v>
      </c>
      <c r="G67" s="35">
        <v>47.405380205571348</v>
      </c>
      <c r="H67" s="35">
        <v>39.518503071596498</v>
      </c>
      <c r="I67" s="35">
        <v>79.777890619153169</v>
      </c>
      <c r="J67" s="34">
        <v>1.5636199</v>
      </c>
    </row>
    <row r="68" spans="1:10">
      <c r="A68" s="37" t="s">
        <v>8</v>
      </c>
      <c r="B68" s="36">
        <v>2012</v>
      </c>
      <c r="C68" s="32">
        <v>7.0264424102791869</v>
      </c>
      <c r="D68" s="35">
        <v>50.003293902597648</v>
      </c>
      <c r="E68" s="35">
        <v>10.445372360675719</v>
      </c>
      <c r="F68" s="35">
        <v>27.767329323489491</v>
      </c>
      <c r="G68" s="35">
        <v>72.347062599410066</v>
      </c>
      <c r="H68" s="35">
        <v>12.94635808106915</v>
      </c>
      <c r="I68" s="35">
        <v>68.298402726628467</v>
      </c>
      <c r="J68" s="34">
        <v>0.144625</v>
      </c>
    </row>
    <row r="69" spans="1:10">
      <c r="A69" s="37" t="s">
        <v>8</v>
      </c>
      <c r="B69" s="36">
        <v>2013</v>
      </c>
      <c r="C69" s="32">
        <v>6.7530223674590397</v>
      </c>
      <c r="D69" s="35">
        <v>45.985429271420003</v>
      </c>
      <c r="E69" s="35">
        <v>8.9390026170767385</v>
      </c>
      <c r="F69" s="35">
        <v>24.95003847733577</v>
      </c>
      <c r="G69" s="35">
        <v>69.059493822944205</v>
      </c>
      <c r="H69" s="35">
        <v>13.543922619028001</v>
      </c>
      <c r="I69" s="35">
        <v>65.072397288387549</v>
      </c>
      <c r="J69" s="34">
        <v>0.27473969999999998</v>
      </c>
    </row>
    <row r="70" spans="1:10">
      <c r="A70" s="37" t="s">
        <v>8</v>
      </c>
      <c r="B70" s="36">
        <v>2014</v>
      </c>
      <c r="C70" s="32">
        <v>10.644284665390671</v>
      </c>
      <c r="D70" s="35">
        <v>45.540097329415978</v>
      </c>
      <c r="E70" s="35">
        <v>10.4322020444988</v>
      </c>
      <c r="F70" s="35">
        <v>25.891290573304811</v>
      </c>
      <c r="G70" s="35">
        <v>70.591796727357931</v>
      </c>
      <c r="H70" s="35">
        <v>19.910984261070759</v>
      </c>
      <c r="I70" s="35">
        <v>66.421163830226973</v>
      </c>
      <c r="J70" s="34">
        <v>0.15369739999999998</v>
      </c>
    </row>
    <row r="71" spans="1:10">
      <c r="A71" s="37" t="s">
        <v>8</v>
      </c>
      <c r="B71" s="36">
        <v>2015</v>
      </c>
      <c r="C71" s="32">
        <v>5.5399607939445428</v>
      </c>
      <c r="D71" s="35">
        <v>46.78251552805294</v>
      </c>
      <c r="E71" s="35">
        <v>10.7339299744634</v>
      </c>
      <c r="F71" s="35">
        <v>27.516211012984218</v>
      </c>
      <c r="G71" s="35">
        <v>64.153832562861481</v>
      </c>
      <c r="H71" s="35">
        <v>14.18659957991202</v>
      </c>
      <c r="I71" s="35">
        <v>67.785090120365822</v>
      </c>
      <c r="J71" s="34">
        <v>0.23635889999999998</v>
      </c>
    </row>
    <row r="72" spans="1:10">
      <c r="A72" s="37" t="s">
        <v>8</v>
      </c>
      <c r="B72" s="36">
        <v>2016</v>
      </c>
      <c r="C72" s="32">
        <v>3.9506295288610493</v>
      </c>
      <c r="D72" s="35">
        <v>41.714753812926283</v>
      </c>
      <c r="E72" s="35">
        <v>9.2893432329477239</v>
      </c>
      <c r="F72" s="35">
        <v>22.683392055539709</v>
      </c>
      <c r="G72" s="35">
        <v>70.169249187188612</v>
      </c>
      <c r="H72" s="35">
        <v>12.95118630721765</v>
      </c>
      <c r="I72" s="35">
        <v>65.873323908241659</v>
      </c>
      <c r="J72" s="34">
        <v>0.15046859999999998</v>
      </c>
    </row>
    <row r="73" spans="1:10">
      <c r="A73" s="37" t="s">
        <v>8</v>
      </c>
      <c r="B73" s="36">
        <v>2017</v>
      </c>
      <c r="C73" s="32">
        <v>5.9940738079867906</v>
      </c>
      <c r="D73" s="35">
        <v>43.400721869275721</v>
      </c>
      <c r="E73" s="35">
        <v>7.3789238256222864</v>
      </c>
      <c r="F73" s="35">
        <v>22.799410072082509</v>
      </c>
      <c r="G73" s="35">
        <v>70.185416810934043</v>
      </c>
      <c r="H73" s="35">
        <v>13.73792647956842</v>
      </c>
      <c r="I73" s="35">
        <v>66.48694732882069</v>
      </c>
      <c r="J73" s="34">
        <v>0.15679599999999999</v>
      </c>
    </row>
    <row r="74" spans="1:10">
      <c r="A74" s="37" t="s">
        <v>8</v>
      </c>
      <c r="B74" s="36">
        <v>2018</v>
      </c>
      <c r="C74" s="32">
        <v>8.7932396408929048</v>
      </c>
      <c r="D74" s="35">
        <v>46.394642823774838</v>
      </c>
      <c r="E74" s="35">
        <v>9.0662016206075791</v>
      </c>
      <c r="F74" s="35">
        <v>23.530726869596709</v>
      </c>
      <c r="G74" s="35">
        <v>67.965666773382921</v>
      </c>
      <c r="H74" s="35">
        <v>19.215274720872198</v>
      </c>
      <c r="I74" s="35">
        <v>67.798619494385022</v>
      </c>
      <c r="J74" s="34">
        <v>0.28679759999999999</v>
      </c>
    </row>
    <row r="75" spans="1:10">
      <c r="A75" s="37" t="s">
        <v>8</v>
      </c>
      <c r="B75" s="36">
        <v>2019</v>
      </c>
      <c r="C75" s="32">
        <v>9.0169408414219667</v>
      </c>
      <c r="D75" s="35">
        <v>51.637569160380778</v>
      </c>
      <c r="E75" s="35">
        <v>14.443763641804191</v>
      </c>
      <c r="F75" s="35">
        <v>30.11711047639918</v>
      </c>
      <c r="G75" s="35">
        <v>46.73521341901656</v>
      </c>
      <c r="H75" s="35">
        <v>49.855327978668448</v>
      </c>
      <c r="I75" s="35">
        <v>49.326872792653219</v>
      </c>
      <c r="J75" s="34">
        <v>0.41867349999999998</v>
      </c>
    </row>
    <row r="76" spans="1:10">
      <c r="A76" s="37" t="s">
        <v>8</v>
      </c>
      <c r="B76" s="36">
        <v>2020</v>
      </c>
      <c r="C76" s="32">
        <v>13.067831178378924</v>
      </c>
      <c r="D76" s="35">
        <v>53.249488021507382</v>
      </c>
      <c r="E76" s="35">
        <v>12.628751603565521</v>
      </c>
      <c r="F76" s="35">
        <v>32.478156735430751</v>
      </c>
      <c r="G76" s="35">
        <v>62.827082186964823</v>
      </c>
      <c r="H76" s="35">
        <v>27.899585682109642</v>
      </c>
      <c r="I76" s="35">
        <v>70.261683776994545</v>
      </c>
      <c r="J76" s="34">
        <v>0.44206249999999997</v>
      </c>
    </row>
    <row r="77" spans="1:10">
      <c r="A77" s="37" t="s">
        <v>8</v>
      </c>
      <c r="B77" s="36">
        <v>2021</v>
      </c>
      <c r="C77" s="32">
        <v>6.7612375323300471</v>
      </c>
      <c r="D77" s="35">
        <v>53.09778407318386</v>
      </c>
      <c r="E77" s="35">
        <v>10.946591311218061</v>
      </c>
      <c r="F77" s="35">
        <v>32.566274233102718</v>
      </c>
      <c r="G77" s="35">
        <v>55.846575056547742</v>
      </c>
      <c r="H77" s="35">
        <v>48.634317694123787</v>
      </c>
      <c r="I77" s="35">
        <v>64.109990447834264</v>
      </c>
      <c r="J77" s="34">
        <v>0.39629209999999998</v>
      </c>
    </row>
    <row r="78" spans="1:10">
      <c r="A78" s="37" t="s">
        <v>8</v>
      </c>
      <c r="B78" s="36">
        <v>2022</v>
      </c>
      <c r="C78" s="32">
        <v>5.1368941387671399</v>
      </c>
      <c r="D78" s="35">
        <v>53.772462520926283</v>
      </c>
      <c r="E78" s="35">
        <v>9.490341924230151</v>
      </c>
      <c r="F78" s="35">
        <v>28.497742277288921</v>
      </c>
      <c r="G78" s="35">
        <v>60.584927675679033</v>
      </c>
      <c r="H78" s="35">
        <v>36.345739923579558</v>
      </c>
      <c r="I78" s="35">
        <v>72.000185348122173</v>
      </c>
      <c r="J78" s="34">
        <v>0.42123679999999997</v>
      </c>
    </row>
    <row r="79" spans="1:10">
      <c r="A79" s="37" t="s">
        <v>9</v>
      </c>
      <c r="B79" s="36">
        <v>2012</v>
      </c>
      <c r="C79" s="32">
        <v>8.5398502760243993</v>
      </c>
      <c r="D79" s="35">
        <f t="shared" ref="D79:I79" si="1">AVERAGE(D78,D80)</f>
        <v>60.110558102042411</v>
      </c>
      <c r="E79" s="35">
        <f t="shared" si="1"/>
        <v>24.766648170209592</v>
      </c>
      <c r="F79" s="35">
        <f t="shared" si="1"/>
        <v>30.471850574768897</v>
      </c>
      <c r="G79" s="35">
        <f t="shared" si="1"/>
        <v>47.4344087406581</v>
      </c>
      <c r="H79" s="35">
        <f t="shared" si="1"/>
        <v>47.560868031921032</v>
      </c>
      <c r="I79" s="35">
        <f t="shared" si="1"/>
        <v>71.734796056964512</v>
      </c>
      <c r="J79" s="34">
        <v>-0.46522969999999997</v>
      </c>
    </row>
    <row r="80" spans="1:10">
      <c r="A80" s="37" t="s">
        <v>9</v>
      </c>
      <c r="B80" s="36">
        <v>2013</v>
      </c>
      <c r="C80" s="32">
        <v>11.779299070527902</v>
      </c>
      <c r="D80" s="35">
        <v>66.44865368315854</v>
      </c>
      <c r="E80" s="35">
        <v>40.042954416189033</v>
      </c>
      <c r="F80" s="35">
        <v>32.445958872248873</v>
      </c>
      <c r="G80" s="35">
        <v>34.283889805637173</v>
      </c>
      <c r="H80" s="35">
        <v>58.775996140262507</v>
      </c>
      <c r="I80" s="35">
        <v>71.469406765806866</v>
      </c>
      <c r="J80" s="34">
        <v>-0.50569089999999994</v>
      </c>
    </row>
    <row r="81" spans="1:10">
      <c r="A81" s="37" t="s">
        <v>9</v>
      </c>
      <c r="B81" s="36">
        <v>2014</v>
      </c>
      <c r="C81" s="32">
        <v>21.415073249099279</v>
      </c>
      <c r="D81" s="35">
        <v>64.167226449813512</v>
      </c>
      <c r="E81" s="35">
        <v>41.896792452819639</v>
      </c>
      <c r="F81" s="35">
        <v>26.748442575071021</v>
      </c>
      <c r="G81" s="35">
        <v>37.104203868493308</v>
      </c>
      <c r="H81" s="35">
        <v>45.3773927655485</v>
      </c>
      <c r="I81" s="35">
        <v>76.919309104121098</v>
      </c>
      <c r="J81" s="34">
        <v>-0.47281869999999998</v>
      </c>
    </row>
    <row r="82" spans="1:10">
      <c r="A82" s="37" t="s">
        <v>9</v>
      </c>
      <c r="B82" s="36">
        <v>2015</v>
      </c>
      <c r="C82" s="32">
        <v>18.781188761423639</v>
      </c>
      <c r="D82" s="35">
        <v>59.981383824541311</v>
      </c>
      <c r="E82" s="35">
        <v>40.665287070539193</v>
      </c>
      <c r="F82" s="35">
        <v>31.01864600720981</v>
      </c>
      <c r="G82" s="35">
        <v>34.613907925806103</v>
      </c>
      <c r="H82" s="35">
        <v>47.885860757702247</v>
      </c>
      <c r="I82" s="35">
        <v>79.793681313157322</v>
      </c>
      <c r="J82" s="34">
        <v>-0.40469439999999995</v>
      </c>
    </row>
    <row r="83" spans="1:10">
      <c r="A83" s="37" t="s">
        <v>9</v>
      </c>
      <c r="B83" s="36">
        <v>2016</v>
      </c>
      <c r="C83" s="32">
        <v>20.644126842372302</v>
      </c>
      <c r="D83" s="35">
        <v>61.564472258047957</v>
      </c>
      <c r="E83" s="35">
        <v>39.228247011164619</v>
      </c>
      <c r="F83" s="35">
        <v>34.167371852235007</v>
      </c>
      <c r="G83" s="35">
        <v>35.513740370321898</v>
      </c>
      <c r="H83" s="35">
        <v>48.233108834302698</v>
      </c>
      <c r="I83" s="35">
        <v>78.283942509242721</v>
      </c>
      <c r="J83" s="34">
        <v>-0.35619789999999996</v>
      </c>
    </row>
    <row r="84" spans="1:10">
      <c r="A84" s="37" t="s">
        <v>9</v>
      </c>
      <c r="B84" s="36">
        <v>2017</v>
      </c>
      <c r="C84" s="32">
        <v>25.561418958095135</v>
      </c>
      <c r="D84" s="35">
        <v>64.493464555522706</v>
      </c>
      <c r="E84" s="35">
        <v>46.049984835905569</v>
      </c>
      <c r="F84" s="35">
        <v>43.408178523118409</v>
      </c>
      <c r="G84" s="35">
        <v>35.180367286476091</v>
      </c>
      <c r="H84" s="35">
        <v>53.305194749157359</v>
      </c>
      <c r="I84" s="35">
        <v>73.424407598311433</v>
      </c>
      <c r="J84" s="34">
        <v>-0.45157569999999997</v>
      </c>
    </row>
    <row r="85" spans="1:10">
      <c r="A85" s="37" t="s">
        <v>9</v>
      </c>
      <c r="B85" s="36">
        <v>2018</v>
      </c>
      <c r="C85" s="32">
        <v>28.726691650514585</v>
      </c>
      <c r="D85" s="35">
        <v>65.158715053009715</v>
      </c>
      <c r="E85" s="35">
        <v>49.226981560439121</v>
      </c>
      <c r="F85" s="35">
        <v>42.813009379311708</v>
      </c>
      <c r="G85" s="35">
        <v>33.89669969518237</v>
      </c>
      <c r="H85" s="35">
        <v>54.629673408519977</v>
      </c>
      <c r="I85" s="35">
        <v>71.720087848955288</v>
      </c>
      <c r="J85" s="34">
        <v>-0.39073150000000001</v>
      </c>
    </row>
    <row r="86" spans="1:10">
      <c r="A86" s="37" t="s">
        <v>9</v>
      </c>
      <c r="B86" s="36">
        <v>2019</v>
      </c>
      <c r="C86" s="32">
        <v>27.722479660790924</v>
      </c>
      <c r="D86" s="35">
        <v>77.420880180089199</v>
      </c>
      <c r="E86" s="35">
        <v>51.642468420614527</v>
      </c>
      <c r="F86" s="35">
        <v>68.429710852564668</v>
      </c>
      <c r="G86" s="35">
        <v>39.966095567725013</v>
      </c>
      <c r="H86" s="35">
        <v>67.249891854237958</v>
      </c>
      <c r="I86" s="35">
        <v>80.795276216205693</v>
      </c>
      <c r="J86" s="34">
        <v>-0.42314779999999996</v>
      </c>
    </row>
    <row r="87" spans="1:10">
      <c r="A87" s="37" t="s">
        <v>9</v>
      </c>
      <c r="B87" s="36">
        <v>2020</v>
      </c>
      <c r="C87" s="32">
        <v>32.08967625670936</v>
      </c>
      <c r="D87" s="35">
        <v>74.417598306828353</v>
      </c>
      <c r="E87" s="35">
        <v>50.003673145901971</v>
      </c>
      <c r="F87" s="35">
        <v>71.368921452189568</v>
      </c>
      <c r="G87" s="35">
        <v>40.958032352705217</v>
      </c>
      <c r="H87" s="35">
        <v>62.648216451713822</v>
      </c>
      <c r="I87" s="35">
        <v>78.601837327406386</v>
      </c>
      <c r="J87" s="34">
        <v>-0.37707659999999998</v>
      </c>
    </row>
    <row r="88" spans="1:10">
      <c r="A88" s="37" t="s">
        <v>9</v>
      </c>
      <c r="B88" s="36">
        <v>2021</v>
      </c>
      <c r="C88" s="32">
        <v>31.168908875264531</v>
      </c>
      <c r="D88" s="35">
        <v>76.327279419460979</v>
      </c>
      <c r="E88" s="35">
        <v>46.334792188678698</v>
      </c>
      <c r="F88" s="35">
        <v>71.11250936768414</v>
      </c>
      <c r="G88" s="35">
        <v>40.253995283871873</v>
      </c>
      <c r="H88" s="35">
        <v>69.110946397987462</v>
      </c>
      <c r="I88" s="35">
        <v>79.83153727642015</v>
      </c>
      <c r="J88" s="34">
        <v>-0.38599279999999997</v>
      </c>
    </row>
    <row r="89" spans="1:10">
      <c r="A89" s="37" t="s">
        <v>9</v>
      </c>
      <c r="B89" s="36">
        <v>2022</v>
      </c>
      <c r="C89" s="32">
        <v>35.158372520667442</v>
      </c>
      <c r="D89" s="35">
        <v>77.527400852706165</v>
      </c>
      <c r="E89" s="35">
        <v>47.293580920443418</v>
      </c>
      <c r="F89" s="35">
        <v>71.504967886268176</v>
      </c>
      <c r="G89" s="35">
        <v>42.246578385406707</v>
      </c>
      <c r="H89" s="35">
        <v>68.266298768882621</v>
      </c>
      <c r="I89" s="35">
        <v>80.790437245560526</v>
      </c>
      <c r="J89" s="34">
        <v>-0.38170179999999998</v>
      </c>
    </row>
    <row r="90" spans="1:10">
      <c r="A90" s="37" t="s">
        <v>10</v>
      </c>
      <c r="B90" s="36">
        <v>2012</v>
      </c>
      <c r="C90" s="32">
        <v>23.078682025513526</v>
      </c>
      <c r="D90" s="35">
        <f t="shared" ref="D90:I90" si="2">AVERAGE(D89,D91)</f>
        <v>66.653239134208889</v>
      </c>
      <c r="E90" s="35">
        <f t="shared" si="2"/>
        <v>36.38627297056577</v>
      </c>
      <c r="F90" s="35">
        <f t="shared" si="2"/>
        <v>55.033707275339836</v>
      </c>
      <c r="G90" s="35">
        <f t="shared" si="2"/>
        <v>38.932517235151678</v>
      </c>
      <c r="H90" s="35">
        <f t="shared" si="2"/>
        <v>54.850363601348093</v>
      </c>
      <c r="I90" s="35">
        <f t="shared" si="2"/>
        <v>75.577035498564314</v>
      </c>
      <c r="J90" s="34">
        <v>-0.3740965</v>
      </c>
    </row>
    <row r="91" spans="1:10">
      <c r="A91" s="37" t="s">
        <v>10</v>
      </c>
      <c r="B91" s="36">
        <v>2013</v>
      </c>
      <c r="C91" s="32">
        <v>10.700181144940039</v>
      </c>
      <c r="D91" s="35">
        <v>55.779077415711612</v>
      </c>
      <c r="E91" s="35">
        <v>25.478965020688129</v>
      </c>
      <c r="F91" s="35">
        <v>38.562446664411503</v>
      </c>
      <c r="G91" s="35">
        <v>35.618456084896643</v>
      </c>
      <c r="H91" s="35">
        <v>41.434428433813572</v>
      </c>
      <c r="I91" s="35">
        <v>70.363633751568102</v>
      </c>
      <c r="J91" s="34">
        <v>-0.37224249999999998</v>
      </c>
    </row>
    <row r="92" spans="1:10">
      <c r="A92" s="37" t="s">
        <v>10</v>
      </c>
      <c r="B92" s="36">
        <v>2014</v>
      </c>
      <c r="C92" s="32">
        <v>7.2356386148817888</v>
      </c>
      <c r="D92" s="35">
        <v>36.69712777351792</v>
      </c>
      <c r="E92" s="35">
        <v>9.5999676490521857</v>
      </c>
      <c r="F92" s="35">
        <v>23.058242004717972</v>
      </c>
      <c r="G92" s="35">
        <v>35.680771818199581</v>
      </c>
      <c r="H92" s="35">
        <v>38.906991127093193</v>
      </c>
      <c r="I92" s="35">
        <v>66.159125772531382</v>
      </c>
      <c r="J92" s="34">
        <v>-0.38090189999999996</v>
      </c>
    </row>
    <row r="93" spans="1:10">
      <c r="A93" s="37" t="s">
        <v>10</v>
      </c>
      <c r="B93" s="36">
        <v>2015</v>
      </c>
      <c r="C93" s="32">
        <v>10.202350832337574</v>
      </c>
      <c r="D93" s="35">
        <v>37.840647680681549</v>
      </c>
      <c r="E93" s="35">
        <v>13.391493549104521</v>
      </c>
      <c r="F93" s="35">
        <v>37.598663801414503</v>
      </c>
      <c r="G93" s="35">
        <v>30.826092018959471</v>
      </c>
      <c r="H93" s="35">
        <v>37.790575738597603</v>
      </c>
      <c r="I93" s="35">
        <v>46.645060835617549</v>
      </c>
      <c r="J93" s="34">
        <v>-0.33031949999999999</v>
      </c>
    </row>
    <row r="94" spans="1:10">
      <c r="A94" s="37" t="s">
        <v>10</v>
      </c>
      <c r="B94" s="36">
        <v>2016</v>
      </c>
      <c r="C94" s="32">
        <v>10.530874652203618</v>
      </c>
      <c r="D94" s="35">
        <v>43.990007738789679</v>
      </c>
      <c r="E94" s="35">
        <v>19.708711003692379</v>
      </c>
      <c r="F94" s="35">
        <v>33.333840251718151</v>
      </c>
      <c r="G94" s="35">
        <v>34.713626766180802</v>
      </c>
      <c r="H94" s="35">
        <v>44.341492902701368</v>
      </c>
      <c r="I94" s="35">
        <v>46.74199630827421</v>
      </c>
      <c r="J94" s="34">
        <v>-0.25357459999999998</v>
      </c>
    </row>
    <row r="95" spans="1:10">
      <c r="A95" s="37" t="s">
        <v>10</v>
      </c>
      <c r="B95" s="36">
        <v>2017</v>
      </c>
      <c r="C95" s="32">
        <v>8.8025018082102342</v>
      </c>
      <c r="D95" s="35">
        <v>42.052287665484812</v>
      </c>
      <c r="E95" s="35">
        <v>14.05521098541999</v>
      </c>
      <c r="F95" s="35">
        <v>30.816615641622661</v>
      </c>
      <c r="G95" s="35">
        <v>34.524533035736667</v>
      </c>
      <c r="H95" s="35">
        <v>44.920660947306096</v>
      </c>
      <c r="I95" s="35">
        <v>56.177025859911922</v>
      </c>
      <c r="J95" s="34">
        <v>-0.21582669999999998</v>
      </c>
    </row>
    <row r="96" spans="1:10">
      <c r="A96" s="37" t="s">
        <v>10</v>
      </c>
      <c r="B96" s="36">
        <v>2018</v>
      </c>
      <c r="C96" s="32">
        <v>12.807771538449503</v>
      </c>
      <c r="D96" s="35">
        <v>52.215916975486763</v>
      </c>
      <c r="E96" s="35">
        <v>24.828806740243731</v>
      </c>
      <c r="F96" s="35">
        <v>31.496585453991589</v>
      </c>
      <c r="G96" s="35">
        <v>40.100189790423258</v>
      </c>
      <c r="H96" s="35">
        <v>49.828075173617712</v>
      </c>
      <c r="I96" s="35">
        <v>65.031617089793869</v>
      </c>
      <c r="J96" s="34">
        <v>-0.15556249999999999</v>
      </c>
    </row>
    <row r="97" spans="1:10">
      <c r="A97" s="37" t="s">
        <v>10</v>
      </c>
      <c r="B97" s="36">
        <v>2019</v>
      </c>
      <c r="C97" s="32">
        <v>15.841161042641355</v>
      </c>
      <c r="D97" s="35">
        <v>85.146945639736842</v>
      </c>
      <c r="E97" s="35">
        <v>34.914051765700947</v>
      </c>
      <c r="F97" s="35">
        <v>64.424651214930037</v>
      </c>
      <c r="G97" s="35">
        <v>55.936490323505481</v>
      </c>
      <c r="H97" s="35">
        <v>83.144798668797904</v>
      </c>
      <c r="I97" s="35">
        <v>92.3031983100594</v>
      </c>
      <c r="J97" s="34">
        <v>-9.8120499999999999E-2</v>
      </c>
    </row>
    <row r="98" spans="1:10">
      <c r="A98" s="37" t="s">
        <v>10</v>
      </c>
      <c r="B98" s="36">
        <v>2020</v>
      </c>
      <c r="C98" s="32">
        <v>5.5167000550615697</v>
      </c>
      <c r="D98" s="35">
        <v>81.651000007454769</v>
      </c>
      <c r="E98" s="35">
        <v>22.420463182713728</v>
      </c>
      <c r="F98" s="35">
        <v>61.877095563359482</v>
      </c>
      <c r="G98" s="35">
        <v>48.821607676729087</v>
      </c>
      <c r="H98" s="35">
        <v>82.450703038897259</v>
      </c>
      <c r="I98" s="35">
        <v>86.055178530833672</v>
      </c>
      <c r="J98" s="34">
        <v>-0.14865339999999999</v>
      </c>
    </row>
    <row r="99" spans="1:10">
      <c r="A99" s="37" t="s">
        <v>10</v>
      </c>
      <c r="B99" s="36">
        <v>2021</v>
      </c>
      <c r="C99" s="32">
        <v>14.216164749420528</v>
      </c>
      <c r="D99" s="35">
        <v>85.986828002690558</v>
      </c>
      <c r="E99" s="35">
        <v>27.211248511264039</v>
      </c>
      <c r="F99" s="35">
        <v>63.121257332052693</v>
      </c>
      <c r="G99" s="35">
        <v>48.222324101623762</v>
      </c>
      <c r="H99" s="35">
        <v>83.414913297294035</v>
      </c>
      <c r="I99" s="35">
        <v>87.008518316478501</v>
      </c>
      <c r="J99" s="34">
        <v>-0.16991489999999998</v>
      </c>
    </row>
    <row r="100" spans="1:10">
      <c r="A100" s="37" t="s">
        <v>10</v>
      </c>
      <c r="B100" s="36">
        <v>2022</v>
      </c>
      <c r="C100" s="32">
        <v>9.824086401101054</v>
      </c>
      <c r="D100" s="35">
        <v>78.075601374569828</v>
      </c>
      <c r="E100" s="35">
        <v>22.233750286582321</v>
      </c>
      <c r="F100" s="35">
        <v>47.408983723471742</v>
      </c>
      <c r="G100" s="35">
        <v>51.164136546029937</v>
      </c>
      <c r="H100" s="35">
        <v>75.45229463259308</v>
      </c>
      <c r="I100" s="35">
        <v>90.516949711096188</v>
      </c>
      <c r="J100" s="34">
        <v>-8.7658E-2</v>
      </c>
    </row>
    <row r="101" spans="1:10">
      <c r="A101" s="37" t="s">
        <v>11</v>
      </c>
      <c r="B101" s="36">
        <v>2012</v>
      </c>
      <c r="C101" s="32">
        <v>12.707082266754844</v>
      </c>
      <c r="D101" s="35">
        <v>54.153125209270932</v>
      </c>
      <c r="E101" s="35">
        <v>22.277241769976438</v>
      </c>
      <c r="F101" s="35">
        <v>39.948235803538822</v>
      </c>
      <c r="G101" s="35">
        <v>39.860723476208179</v>
      </c>
      <c r="H101" s="35">
        <v>39.168245774958521</v>
      </c>
      <c r="I101" s="35">
        <v>72.973968865468308</v>
      </c>
      <c r="J101" s="34">
        <v>-1.2487390999999999</v>
      </c>
    </row>
    <row r="102" spans="1:10">
      <c r="A102" s="37" t="s">
        <v>11</v>
      </c>
      <c r="B102" s="36">
        <v>2013</v>
      </c>
      <c r="C102" s="32">
        <v>13.511113827949751</v>
      </c>
      <c r="D102" s="35">
        <v>56.515090782700213</v>
      </c>
      <c r="E102" s="35">
        <v>33.142030723100603</v>
      </c>
      <c r="F102" s="35">
        <v>42.729430098871013</v>
      </c>
      <c r="G102" s="35">
        <v>36.088866210927442</v>
      </c>
      <c r="H102" s="35">
        <v>36.989316072366513</v>
      </c>
      <c r="I102" s="35">
        <v>82.387676711097797</v>
      </c>
      <c r="J102" s="34">
        <v>-1.3745965</v>
      </c>
    </row>
    <row r="103" spans="1:10">
      <c r="A103" s="37" t="s">
        <v>11</v>
      </c>
      <c r="B103" s="36">
        <v>2014</v>
      </c>
      <c r="C103" s="32">
        <v>18.595569764405234</v>
      </c>
      <c r="D103" s="35">
        <v>59.450819759776671</v>
      </c>
      <c r="E103" s="35">
        <v>27.500747646316359</v>
      </c>
      <c r="F103" s="35">
        <v>35.159895296953209</v>
      </c>
      <c r="G103" s="35">
        <v>35.145605188029393</v>
      </c>
      <c r="H103" s="35">
        <v>27.682914631265199</v>
      </c>
      <c r="I103" s="35">
        <v>75.613098403913199</v>
      </c>
      <c r="J103" s="34">
        <v>-1.3019342</v>
      </c>
    </row>
    <row r="104" spans="1:10">
      <c r="A104" s="37" t="s">
        <v>11</v>
      </c>
      <c r="B104" s="36">
        <v>2015</v>
      </c>
      <c r="C104" s="32">
        <v>14.193011808988405</v>
      </c>
      <c r="D104" s="35">
        <v>61.991112695004198</v>
      </c>
      <c r="E104" s="35">
        <v>37.798076965555182</v>
      </c>
      <c r="F104" s="35">
        <v>45.932780076505367</v>
      </c>
      <c r="G104" s="35">
        <v>40.393622943856514</v>
      </c>
      <c r="H104" s="35">
        <v>40.309973016116423</v>
      </c>
      <c r="I104" s="35">
        <v>82.298967966526632</v>
      </c>
      <c r="J104" s="34">
        <v>-1.0907749</v>
      </c>
    </row>
    <row r="105" spans="1:10">
      <c r="A105" s="37" t="s">
        <v>11</v>
      </c>
      <c r="B105" s="36">
        <v>2016</v>
      </c>
      <c r="C105" s="32">
        <v>14.796807902148927</v>
      </c>
      <c r="D105" s="35">
        <v>59.28971950901358</v>
      </c>
      <c r="E105" s="35">
        <v>46.835742878051867</v>
      </c>
      <c r="F105" s="35">
        <v>50.598436875224422</v>
      </c>
      <c r="G105" s="35">
        <v>46.209619124369198</v>
      </c>
      <c r="H105" s="35">
        <v>34.435303480073273</v>
      </c>
      <c r="I105" s="35">
        <v>80.483653733860606</v>
      </c>
      <c r="J105" s="34">
        <v>-1.0558722999999999</v>
      </c>
    </row>
    <row r="106" spans="1:10">
      <c r="A106" s="37" t="s">
        <v>11</v>
      </c>
      <c r="B106" s="36">
        <v>2017</v>
      </c>
      <c r="C106" s="32">
        <v>14.960873860747354</v>
      </c>
      <c r="D106" s="35">
        <v>53.346946566360693</v>
      </c>
      <c r="E106" s="35">
        <v>42.337962923905422</v>
      </c>
      <c r="F106" s="35">
        <v>49.13796723451884</v>
      </c>
      <c r="G106" s="35">
        <v>43.91396630491122</v>
      </c>
      <c r="H106" s="35">
        <v>33.616604614787221</v>
      </c>
      <c r="I106" s="35">
        <v>79.397817539833312</v>
      </c>
      <c r="J106" s="34">
        <v>-1.0828666999999998</v>
      </c>
    </row>
    <row r="107" spans="1:10">
      <c r="A107" s="37" t="s">
        <v>11</v>
      </c>
      <c r="B107" s="36">
        <v>2018</v>
      </c>
      <c r="C107" s="32">
        <v>12.5766622881023</v>
      </c>
      <c r="D107" s="35">
        <v>53.113208095639351</v>
      </c>
      <c r="E107" s="35">
        <v>37.383626160652817</v>
      </c>
      <c r="F107" s="35">
        <v>44.495345072195192</v>
      </c>
      <c r="G107" s="35">
        <v>39.289556427678541</v>
      </c>
      <c r="H107" s="35">
        <v>22.315283079760579</v>
      </c>
      <c r="I107" s="35">
        <v>80.485127031015878</v>
      </c>
      <c r="J107" s="34">
        <v>-1.2929956</v>
      </c>
    </row>
    <row r="108" spans="1:10">
      <c r="A108" s="37" t="s">
        <v>11</v>
      </c>
      <c r="B108" s="36">
        <v>2019</v>
      </c>
      <c r="C108" s="32">
        <v>13.474984748813393</v>
      </c>
      <c r="D108" s="35">
        <v>68.8797445866212</v>
      </c>
      <c r="E108" s="35">
        <v>42.342699767518859</v>
      </c>
      <c r="F108" s="35">
        <v>55.106970938810733</v>
      </c>
      <c r="G108" s="35">
        <v>37.37782717941959</v>
      </c>
      <c r="H108" s="35">
        <v>47.679295973435579</v>
      </c>
      <c r="I108" s="35">
        <v>86.573159013101105</v>
      </c>
      <c r="J108" s="34">
        <v>-1.3605616999999999</v>
      </c>
    </row>
    <row r="109" spans="1:10">
      <c r="A109" s="37" t="s">
        <v>11</v>
      </c>
      <c r="B109" s="36">
        <v>2020</v>
      </c>
      <c r="C109" s="32">
        <v>10.956057402663564</v>
      </c>
      <c r="D109" s="35">
        <v>64.864063887466216</v>
      </c>
      <c r="E109" s="35">
        <v>24.532205748220679</v>
      </c>
      <c r="F109" s="35">
        <v>33.78384173295553</v>
      </c>
      <c r="G109" s="35">
        <v>39.856540568935173</v>
      </c>
      <c r="H109" s="35">
        <v>13.319201393946701</v>
      </c>
      <c r="I109" s="35">
        <v>94.312650319799147</v>
      </c>
      <c r="J109" s="34">
        <v>-1.3929586999999999</v>
      </c>
    </row>
    <row r="110" spans="1:10">
      <c r="A110" s="37" t="s">
        <v>11</v>
      </c>
      <c r="B110" s="36">
        <v>2021</v>
      </c>
      <c r="C110" s="32">
        <v>9.1549595345171788</v>
      </c>
      <c r="D110" s="35">
        <v>66.436658135001764</v>
      </c>
      <c r="E110" s="35">
        <v>27.551544877103801</v>
      </c>
      <c r="F110" s="35">
        <v>41.871793622510893</v>
      </c>
      <c r="G110" s="35">
        <v>39.923028688219077</v>
      </c>
      <c r="H110" s="35">
        <v>17.866988133806281</v>
      </c>
      <c r="I110" s="35">
        <v>88.71549933939059</v>
      </c>
      <c r="J110" s="34">
        <v>-1.3936203999999999</v>
      </c>
    </row>
    <row r="111" spans="1:10">
      <c r="A111" s="37" t="s">
        <v>11</v>
      </c>
      <c r="B111" s="36">
        <v>2022</v>
      </c>
      <c r="C111" s="32">
        <v>19.909831174945726</v>
      </c>
      <c r="D111" s="35">
        <v>54.226536936606209</v>
      </c>
      <c r="E111" s="35">
        <v>33.161992016366632</v>
      </c>
      <c r="F111" s="35">
        <v>64.119928113759329</v>
      </c>
      <c r="G111" s="35">
        <v>41.451952144060407</v>
      </c>
      <c r="H111" s="35">
        <v>51.288799744458949</v>
      </c>
      <c r="I111" s="35">
        <v>89.24774355982629</v>
      </c>
      <c r="J111" s="34">
        <v>-1.3976255</v>
      </c>
    </row>
    <row r="112" spans="1:10">
      <c r="A112" s="37" t="s">
        <v>12</v>
      </c>
      <c r="B112" s="36">
        <v>2012</v>
      </c>
      <c r="C112" s="32">
        <v>7.4708569276486161</v>
      </c>
      <c r="D112" s="35">
        <v>29.30668060588161</v>
      </c>
      <c r="E112" s="35">
        <v>14.495835927972671</v>
      </c>
      <c r="F112" s="35">
        <v>28.556962181684678</v>
      </c>
      <c r="G112" s="35">
        <v>41.698650118117513</v>
      </c>
      <c r="H112" s="35">
        <v>30.615095997428099</v>
      </c>
      <c r="I112" s="35">
        <v>72.386153650221445</v>
      </c>
      <c r="J112" s="34">
        <v>1.1065080999999999</v>
      </c>
    </row>
    <row r="113" spans="1:10">
      <c r="A113" s="37" t="s">
        <v>12</v>
      </c>
      <c r="B113" s="36">
        <v>2013</v>
      </c>
      <c r="C113" s="32">
        <v>10.737350770260953</v>
      </c>
      <c r="D113" s="35">
        <v>36.173333673849527</v>
      </c>
      <c r="E113" s="35">
        <v>26.712111171723489</v>
      </c>
      <c r="F113" s="35">
        <v>40.675804998343658</v>
      </c>
      <c r="G113" s="35">
        <v>53.334580127638347</v>
      </c>
      <c r="H113" s="35">
        <v>46.501876672481487</v>
      </c>
      <c r="I113" s="35">
        <v>80.295313226636523</v>
      </c>
      <c r="J113" s="34">
        <v>1.0845921000000001</v>
      </c>
    </row>
    <row r="114" spans="1:10">
      <c r="A114" s="37" t="s">
        <v>12</v>
      </c>
      <c r="B114" s="36">
        <v>2014</v>
      </c>
      <c r="C114" s="32">
        <v>10.971089348462767</v>
      </c>
      <c r="D114" s="35">
        <f t="shared" ref="D114:I114" si="3">AVERAGE(D113,D115)</f>
        <v>38.867567230942399</v>
      </c>
      <c r="E114" s="35">
        <f t="shared" si="3"/>
        <v>26.518941397392581</v>
      </c>
      <c r="F114" s="35">
        <f t="shared" si="3"/>
        <v>48.513891567323995</v>
      </c>
      <c r="G114" s="35">
        <f t="shared" si="3"/>
        <v>53.689233767576965</v>
      </c>
      <c r="H114" s="35">
        <f t="shared" si="3"/>
        <v>50.998548760964489</v>
      </c>
      <c r="I114" s="35">
        <f t="shared" si="3"/>
        <v>83.266439968357915</v>
      </c>
      <c r="J114" s="34">
        <v>1.0392029999999999</v>
      </c>
    </row>
    <row r="115" spans="1:10">
      <c r="A115" s="37" t="s">
        <v>12</v>
      </c>
      <c r="B115" s="36">
        <v>2015</v>
      </c>
      <c r="C115" s="32">
        <v>11.233245597936474</v>
      </c>
      <c r="D115" s="35">
        <v>41.561800788035278</v>
      </c>
      <c r="E115" s="35">
        <v>26.325771623061669</v>
      </c>
      <c r="F115" s="35">
        <v>56.351978136304332</v>
      </c>
      <c r="G115" s="35">
        <v>54.043887407515591</v>
      </c>
      <c r="H115" s="35">
        <v>55.495220849447492</v>
      </c>
      <c r="I115" s="35">
        <v>86.237566710079307</v>
      </c>
      <c r="J115" s="34">
        <v>1.0998741999999999</v>
      </c>
    </row>
    <row r="116" spans="1:10">
      <c r="A116" s="37" t="s">
        <v>12</v>
      </c>
      <c r="B116" s="36">
        <v>2016</v>
      </c>
      <c r="C116" s="32">
        <v>9.2318263476992115</v>
      </c>
      <c r="D116" s="35">
        <v>41.099679329764413</v>
      </c>
      <c r="E116" s="35">
        <v>25.604528854166041</v>
      </c>
      <c r="F116" s="35">
        <v>50.546830923504061</v>
      </c>
      <c r="G116" s="35">
        <v>53.527154052359307</v>
      </c>
      <c r="H116" s="35">
        <v>53.687761962120049</v>
      </c>
      <c r="I116" s="35">
        <v>85.503843406234353</v>
      </c>
      <c r="J116" s="34">
        <v>1.2410934</v>
      </c>
    </row>
    <row r="117" spans="1:10">
      <c r="A117" s="37" t="s">
        <v>12</v>
      </c>
      <c r="B117" s="36">
        <v>2017</v>
      </c>
      <c r="C117" s="32">
        <v>11.64413740288245</v>
      </c>
      <c r="D117" s="35">
        <v>44.140880628955522</v>
      </c>
      <c r="E117" s="35">
        <v>30.610989664332049</v>
      </c>
      <c r="F117" s="35">
        <v>60.165716316118392</v>
      </c>
      <c r="G117" s="35">
        <v>54.713096815483041</v>
      </c>
      <c r="H117" s="35">
        <v>58.289800368207203</v>
      </c>
      <c r="I117" s="35">
        <v>86.074083157735458</v>
      </c>
      <c r="J117" s="34">
        <v>1.21522</v>
      </c>
    </row>
    <row r="118" spans="1:10">
      <c r="A118" s="37" t="s">
        <v>12</v>
      </c>
      <c r="B118" s="36">
        <v>2018</v>
      </c>
      <c r="C118" s="32">
        <v>12.744103510001992</v>
      </c>
      <c r="D118" s="35">
        <v>41.482627488793931</v>
      </c>
      <c r="E118" s="35">
        <v>31.912977574929801</v>
      </c>
      <c r="F118" s="35">
        <v>56.074059241094353</v>
      </c>
      <c r="G118" s="35">
        <v>53.298809523811371</v>
      </c>
      <c r="H118" s="35">
        <v>56.225804577523213</v>
      </c>
      <c r="I118" s="35">
        <v>84.981415897316566</v>
      </c>
      <c r="J118" s="34">
        <v>1.1635450000000001</v>
      </c>
    </row>
    <row r="119" spans="1:10">
      <c r="A119" s="37" t="s">
        <v>12</v>
      </c>
      <c r="B119" s="36">
        <v>2019</v>
      </c>
      <c r="C119" s="32">
        <v>13.295221143326799</v>
      </c>
      <c r="D119" s="35">
        <v>43.342812577213323</v>
      </c>
      <c r="E119" s="35">
        <v>30.369439993070419</v>
      </c>
      <c r="F119" s="35">
        <v>72.60408412384723</v>
      </c>
      <c r="G119" s="35">
        <v>53.510756193135819</v>
      </c>
      <c r="H119" s="35">
        <v>45.995093113874937</v>
      </c>
      <c r="I119" s="35">
        <v>84.134108544118007</v>
      </c>
      <c r="J119" s="34">
        <v>1.2416535</v>
      </c>
    </row>
    <row r="120" spans="1:10">
      <c r="A120" s="37" t="s">
        <v>12</v>
      </c>
      <c r="B120" s="36">
        <v>2020</v>
      </c>
      <c r="C120" s="32">
        <v>8.4080075356086237</v>
      </c>
      <c r="D120" s="35">
        <v>37.671534120846339</v>
      </c>
      <c r="E120" s="35">
        <v>22.87056223252474</v>
      </c>
      <c r="F120" s="35">
        <v>68.131157778861848</v>
      </c>
      <c r="G120" s="35">
        <v>56.100419417110189</v>
      </c>
      <c r="H120" s="35">
        <v>25.02868924671909</v>
      </c>
      <c r="I120" s="35">
        <v>83.699406191822845</v>
      </c>
      <c r="J120" s="34">
        <v>1.1520351</v>
      </c>
    </row>
    <row r="121" spans="1:10">
      <c r="A121" s="37" t="s">
        <v>12</v>
      </c>
      <c r="B121" s="36">
        <v>2021</v>
      </c>
      <c r="C121" s="32">
        <v>9.3356657258844002</v>
      </c>
      <c r="D121" s="35">
        <v>37.539920964293962</v>
      </c>
      <c r="E121" s="35">
        <v>19.856367963405379</v>
      </c>
      <c r="F121" s="35">
        <v>63.475820280083148</v>
      </c>
      <c r="G121" s="35">
        <v>53.797021663411861</v>
      </c>
      <c r="H121" s="35">
        <v>45.833873863367963</v>
      </c>
      <c r="I121" s="35">
        <v>82.648922141104237</v>
      </c>
      <c r="J121" s="34">
        <v>1.1753426</v>
      </c>
    </row>
    <row r="122" spans="1:10">
      <c r="A122" s="37" t="s">
        <v>12</v>
      </c>
      <c r="B122" s="36">
        <v>2022</v>
      </c>
      <c r="C122" s="32">
        <v>8.4189911411952281</v>
      </c>
      <c r="D122" s="35">
        <v>35.413263190983123</v>
      </c>
      <c r="E122" s="35">
        <v>16.197606695256329</v>
      </c>
      <c r="F122" s="35">
        <v>59.224729358508469</v>
      </c>
      <c r="G122" s="35">
        <v>56.475516262891233</v>
      </c>
      <c r="H122" s="35">
        <v>46.747068660732943</v>
      </c>
      <c r="I122" s="35">
        <v>81.335489844664295</v>
      </c>
      <c r="J122" s="34">
        <v>1.1223554999999998</v>
      </c>
    </row>
    <row r="123" spans="1:10">
      <c r="A123" s="37" t="s">
        <v>14</v>
      </c>
      <c r="B123" s="36">
        <v>2012</v>
      </c>
      <c r="C123" s="32">
        <v>17.887729937894481</v>
      </c>
      <c r="D123" s="35">
        <v>43.561804077547741</v>
      </c>
      <c r="E123" s="35">
        <v>26.86520295699319</v>
      </c>
      <c r="F123" s="35">
        <v>32.344478104635613</v>
      </c>
      <c r="G123" s="35">
        <v>38.073285817141453</v>
      </c>
      <c r="H123" s="35">
        <v>33.051278639820502</v>
      </c>
      <c r="I123" s="35">
        <v>53.328645398339717</v>
      </c>
      <c r="J123" s="34">
        <v>0.92994739999999998</v>
      </c>
    </row>
    <row r="124" spans="1:10">
      <c r="A124" s="37" t="s">
        <v>14</v>
      </c>
      <c r="B124" s="36">
        <v>2013</v>
      </c>
      <c r="C124" s="32">
        <v>19.703073610799215</v>
      </c>
      <c r="D124" s="35">
        <v>47.847753147030033</v>
      </c>
      <c r="E124" s="35">
        <v>26.745100240583241</v>
      </c>
      <c r="F124" s="35">
        <v>30.97947532756168</v>
      </c>
      <c r="G124" s="35">
        <v>42.548763560560808</v>
      </c>
      <c r="H124" s="35">
        <v>34.8021188136563</v>
      </c>
      <c r="I124" s="35">
        <v>59.477324692199097</v>
      </c>
      <c r="J124" s="34">
        <v>0.94974729999999996</v>
      </c>
    </row>
    <row r="125" spans="1:10">
      <c r="A125" s="37" t="s">
        <v>14</v>
      </c>
      <c r="B125" s="36">
        <v>2014</v>
      </c>
      <c r="C125" s="32">
        <v>19.828474612357649</v>
      </c>
      <c r="D125" s="35">
        <f t="shared" ref="D125:I125" si="4">AVERAGE(D124,D126)</f>
        <v>48.463830884866155</v>
      </c>
      <c r="E125" s="35">
        <f t="shared" si="4"/>
        <v>25.127785336884845</v>
      </c>
      <c r="F125" s="35">
        <f t="shared" si="4"/>
        <v>31.866616989674089</v>
      </c>
      <c r="G125" s="35">
        <f t="shared" si="4"/>
        <v>42.656822955889979</v>
      </c>
      <c r="H125" s="35">
        <f t="shared" si="4"/>
        <v>34.768273062469504</v>
      </c>
      <c r="I125" s="35">
        <f t="shared" si="4"/>
        <v>58.829266684122459</v>
      </c>
      <c r="J125" s="34">
        <v>1.0179487999999999</v>
      </c>
    </row>
    <row r="126" spans="1:10">
      <c r="A126" s="37" t="s">
        <v>14</v>
      </c>
      <c r="B126" s="36">
        <v>2015</v>
      </c>
      <c r="C126" s="32">
        <v>19.996372324501156</v>
      </c>
      <c r="D126" s="35">
        <v>49.07990862270227</v>
      </c>
      <c r="E126" s="35">
        <v>23.510470433186448</v>
      </c>
      <c r="F126" s="35">
        <v>32.753758651786498</v>
      </c>
      <c r="G126" s="35">
        <v>42.76488235121915</v>
      </c>
      <c r="H126" s="35">
        <v>34.734427311282708</v>
      </c>
      <c r="I126" s="35">
        <v>58.181208676045827</v>
      </c>
      <c r="J126" s="34">
        <v>1.0059046999999999</v>
      </c>
    </row>
    <row r="127" spans="1:10">
      <c r="A127" s="37" t="s">
        <v>14</v>
      </c>
      <c r="B127" s="36">
        <v>2016</v>
      </c>
      <c r="C127" s="32">
        <v>20.535928831299099</v>
      </c>
      <c r="D127" s="35">
        <v>49.893976151909158</v>
      </c>
      <c r="E127" s="35">
        <v>22.26794309513722</v>
      </c>
      <c r="F127" s="35">
        <v>35.608448592836083</v>
      </c>
      <c r="G127" s="35">
        <v>42.655455780247252</v>
      </c>
      <c r="H127" s="35">
        <v>31.8985648706898</v>
      </c>
      <c r="I127" s="35">
        <v>57.843014688104738</v>
      </c>
      <c r="J127" s="34">
        <v>0.98584109999999991</v>
      </c>
    </row>
    <row r="128" spans="1:10">
      <c r="A128" s="37" t="s">
        <v>14</v>
      </c>
      <c r="B128" s="36">
        <v>2017</v>
      </c>
      <c r="C128" s="32">
        <v>19.666495588518103</v>
      </c>
      <c r="D128" s="35">
        <v>49.028480526922678</v>
      </c>
      <c r="E128" s="35">
        <v>21.835369576609271</v>
      </c>
      <c r="F128" s="35">
        <v>34.046782045588976</v>
      </c>
      <c r="G128" s="35">
        <v>46.125311285450593</v>
      </c>
      <c r="H128" s="35">
        <v>36.277810648085818</v>
      </c>
      <c r="I128" s="35">
        <v>58.536428731429957</v>
      </c>
      <c r="J128" s="34">
        <v>0.9965004999999999</v>
      </c>
    </row>
    <row r="129" spans="1:10">
      <c r="A129" s="37" t="s">
        <v>14</v>
      </c>
      <c r="B129" s="36">
        <v>2018</v>
      </c>
      <c r="C129" s="32">
        <v>20.534834368587067</v>
      </c>
      <c r="D129" s="35">
        <f t="shared" ref="D129:I129" si="5">AVERAGE(D128,D130)</f>
        <v>53.000309629457107</v>
      </c>
      <c r="E129" s="35">
        <f t="shared" si="5"/>
        <v>24.898245177219351</v>
      </c>
      <c r="F129" s="35">
        <f t="shared" si="5"/>
        <v>40.532449370262995</v>
      </c>
      <c r="G129" s="35">
        <f t="shared" si="5"/>
        <v>46.058394967257343</v>
      </c>
      <c r="H129" s="35">
        <f t="shared" si="5"/>
        <v>35.915153528637745</v>
      </c>
      <c r="I129" s="35">
        <f t="shared" si="5"/>
        <v>59.407822144535977</v>
      </c>
      <c r="J129" s="34">
        <v>1.0176262999999999</v>
      </c>
    </row>
    <row r="130" spans="1:10">
      <c r="A130" s="37" t="s">
        <v>14</v>
      </c>
      <c r="B130" s="36">
        <v>2019</v>
      </c>
      <c r="C130" s="32">
        <v>21.430376351917459</v>
      </c>
      <c r="D130" s="35">
        <v>56.972138731991528</v>
      </c>
      <c r="E130" s="35">
        <v>27.961120777829429</v>
      </c>
      <c r="F130" s="35">
        <v>47.018116694937007</v>
      </c>
      <c r="G130" s="35">
        <v>45.991478649064092</v>
      </c>
      <c r="H130" s="35">
        <v>35.552496409189679</v>
      </c>
      <c r="I130" s="35">
        <v>60.279215557641997</v>
      </c>
      <c r="J130" s="34">
        <v>1.0030074</v>
      </c>
    </row>
    <row r="131" spans="1:10">
      <c r="A131" s="37" t="s">
        <v>14</v>
      </c>
      <c r="B131" s="36">
        <v>2020</v>
      </c>
      <c r="C131" s="32">
        <v>27.544197073673242</v>
      </c>
      <c r="D131" s="35">
        <v>55.310069857990143</v>
      </c>
      <c r="E131" s="35">
        <v>22.634656655443969</v>
      </c>
      <c r="F131" s="35">
        <v>36.793792143348469</v>
      </c>
      <c r="G131" s="35">
        <v>40.791199366445738</v>
      </c>
      <c r="H131" s="35">
        <v>37.071305492134456</v>
      </c>
      <c r="I131" s="35">
        <v>61.84048955727679</v>
      </c>
      <c r="J131" s="34">
        <v>0.98062159999999998</v>
      </c>
    </row>
    <row r="132" spans="1:10">
      <c r="A132" s="37" t="s">
        <v>14</v>
      </c>
      <c r="B132" s="36">
        <v>2021</v>
      </c>
      <c r="C132" s="32">
        <v>21.971453274039451</v>
      </c>
      <c r="D132" s="35">
        <v>53.328147217155852</v>
      </c>
      <c r="E132" s="35">
        <v>24.57314746843609</v>
      </c>
      <c r="F132" s="35">
        <v>41.137218130572599</v>
      </c>
      <c r="G132" s="35">
        <v>39.10399764586321</v>
      </c>
      <c r="H132" s="35">
        <v>39.639880583509573</v>
      </c>
      <c r="I132" s="35">
        <v>59.651956225549149</v>
      </c>
      <c r="J132" s="34">
        <v>1.1028017999999999</v>
      </c>
    </row>
    <row r="133" spans="1:10">
      <c r="A133" s="37" t="s">
        <v>14</v>
      </c>
      <c r="B133" s="36">
        <v>2022</v>
      </c>
      <c r="C133" s="32">
        <v>21.121006591881997</v>
      </c>
      <c r="D133" s="35">
        <v>53.878360742931889</v>
      </c>
      <c r="E133" s="35">
        <v>23.481932056393841</v>
      </c>
      <c r="F133" s="35">
        <v>38.022169003704548</v>
      </c>
      <c r="G133" s="35">
        <v>36.87684395317229</v>
      </c>
      <c r="H133" s="35">
        <v>34.564264666445617</v>
      </c>
      <c r="I133" s="35">
        <v>58.063759422071897</v>
      </c>
      <c r="J133" s="34">
        <v>0.95906209999999992</v>
      </c>
    </row>
    <row r="134" spans="1:10">
      <c r="A134" s="37" t="s">
        <v>15</v>
      </c>
      <c r="B134" s="36">
        <v>2012</v>
      </c>
      <c r="C134" s="32">
        <v>15.014612447319328</v>
      </c>
      <c r="D134" s="35">
        <f t="shared" ref="D134:I134" si="6">AVERAGE(D133,D135)</f>
        <v>48.577054681906986</v>
      </c>
      <c r="E134" s="35">
        <f t="shared" si="6"/>
        <v>21.358546701461506</v>
      </c>
      <c r="F134" s="35">
        <f t="shared" si="6"/>
        <v>36.926538020394517</v>
      </c>
      <c r="G134" s="35">
        <f t="shared" si="6"/>
        <v>43.228298224777532</v>
      </c>
      <c r="H134" s="35">
        <f t="shared" si="6"/>
        <v>40.067164601021609</v>
      </c>
      <c r="I134" s="35">
        <f t="shared" si="6"/>
        <v>64.330212992922199</v>
      </c>
      <c r="J134" s="34">
        <v>1.7520667999999999</v>
      </c>
    </row>
    <row r="135" spans="1:10">
      <c r="A135" s="37" t="s">
        <v>15</v>
      </c>
      <c r="B135" s="36">
        <v>2013</v>
      </c>
      <c r="C135" s="32">
        <v>8.9355946203590975</v>
      </c>
      <c r="D135" s="35">
        <v>43.275748620882091</v>
      </c>
      <c r="E135" s="35">
        <v>19.235161346529171</v>
      </c>
      <c r="F135" s="35">
        <v>35.830907037084494</v>
      </c>
      <c r="G135" s="35">
        <v>49.579752496382781</v>
      </c>
      <c r="H135" s="35">
        <v>45.570064535597602</v>
      </c>
      <c r="I135" s="35">
        <v>70.596666563772501</v>
      </c>
      <c r="J135" s="34">
        <v>1.7748858999999999</v>
      </c>
    </row>
    <row r="136" spans="1:10">
      <c r="A136" s="37" t="s">
        <v>15</v>
      </c>
      <c r="B136" s="36">
        <v>2014</v>
      </c>
      <c r="C136" s="32">
        <v>8.9338523061626542</v>
      </c>
      <c r="D136" s="35">
        <v>37.561719916618387</v>
      </c>
      <c r="E136" s="35">
        <v>16.435215737028791</v>
      </c>
      <c r="F136" s="35">
        <v>34.624639995507188</v>
      </c>
      <c r="G136" s="35">
        <v>50.699962812586243</v>
      </c>
      <c r="H136" s="35">
        <v>42.535530171880197</v>
      </c>
      <c r="I136" s="35">
        <v>68.179477097897646</v>
      </c>
      <c r="J136" s="34">
        <v>1.5852946999999999</v>
      </c>
    </row>
    <row r="137" spans="1:10">
      <c r="A137" s="37" t="s">
        <v>15</v>
      </c>
      <c r="B137" s="36">
        <v>2015</v>
      </c>
      <c r="C137" s="32">
        <v>10.957780950020741</v>
      </c>
      <c r="D137" s="35">
        <v>43.961673747717519</v>
      </c>
      <c r="E137" s="35">
        <v>19.058676040071202</v>
      </c>
      <c r="F137" s="35">
        <v>36.435159078961959</v>
      </c>
      <c r="G137" s="35">
        <v>47.588555881264341</v>
      </c>
      <c r="H137" s="35">
        <v>48.17685092080918</v>
      </c>
      <c r="I137" s="35">
        <v>68.80949306373742</v>
      </c>
      <c r="J137" s="34">
        <v>1.6718385</v>
      </c>
    </row>
    <row r="138" spans="1:10">
      <c r="A138" s="37" t="s">
        <v>15</v>
      </c>
      <c r="B138" s="36">
        <v>2016</v>
      </c>
      <c r="C138" s="32">
        <v>10.403315994527224</v>
      </c>
      <c r="D138" s="35">
        <v>40.828409756748187</v>
      </c>
      <c r="E138" s="35">
        <v>18.30966127362878</v>
      </c>
      <c r="F138" s="35">
        <v>37.199816482264808</v>
      </c>
      <c r="G138" s="35">
        <v>51.403160217152298</v>
      </c>
      <c r="H138" s="35">
        <v>49.791171029070902</v>
      </c>
      <c r="I138" s="35">
        <v>69.577604780710416</v>
      </c>
      <c r="J138" s="34">
        <v>1.7201423999999998</v>
      </c>
    </row>
    <row r="139" spans="1:10">
      <c r="A139" s="37" t="s">
        <v>15</v>
      </c>
      <c r="B139" s="36">
        <v>2017</v>
      </c>
      <c r="C139" s="32">
        <v>11.266490437796985</v>
      </c>
      <c r="D139" s="35">
        <v>40.86262978538219</v>
      </c>
      <c r="E139" s="35">
        <v>16.511066343720969</v>
      </c>
      <c r="F139" s="35">
        <v>35.420234778932318</v>
      </c>
      <c r="G139" s="35">
        <v>50.5849347736997</v>
      </c>
      <c r="H139" s="35">
        <v>54.767557820592693</v>
      </c>
      <c r="I139" s="35">
        <v>69.953277796706516</v>
      </c>
      <c r="J139" s="34">
        <v>1.6392800999999999</v>
      </c>
    </row>
    <row r="140" spans="1:10">
      <c r="A140" s="37" t="s">
        <v>15</v>
      </c>
      <c r="B140" s="36">
        <v>2018</v>
      </c>
      <c r="C140" s="32">
        <v>10.81959649599796</v>
      </c>
      <c r="D140" s="35">
        <v>43.908271102983612</v>
      </c>
      <c r="E140" s="35">
        <v>20.30784285690941</v>
      </c>
      <c r="F140" s="35">
        <v>35.293922200730051</v>
      </c>
      <c r="G140" s="35">
        <v>50.735548661109242</v>
      </c>
      <c r="H140" s="35">
        <v>55.001288078771871</v>
      </c>
      <c r="I140" s="35">
        <v>74.224416899840321</v>
      </c>
      <c r="J140" s="34">
        <v>1.7344218999999998</v>
      </c>
    </row>
    <row r="141" spans="1:10">
      <c r="A141" s="37" t="s">
        <v>15</v>
      </c>
      <c r="B141" s="36">
        <v>2019</v>
      </c>
      <c r="C141" s="32">
        <v>11.371544122504764</v>
      </c>
      <c r="D141" s="35">
        <v>48.494627748955629</v>
      </c>
      <c r="E141" s="35">
        <v>18.395996866356761</v>
      </c>
      <c r="F141" s="35">
        <v>46.393189205111263</v>
      </c>
      <c r="G141" s="35">
        <v>48.357034683174007</v>
      </c>
      <c r="H141" s="35">
        <v>58.010202234322698</v>
      </c>
      <c r="I141" s="35">
        <v>81.348934495935538</v>
      </c>
      <c r="J141" s="34">
        <v>1.7336486</v>
      </c>
    </row>
    <row r="142" spans="1:10">
      <c r="A142" s="37" t="s">
        <v>15</v>
      </c>
      <c r="B142" s="36">
        <v>2020</v>
      </c>
      <c r="C142" s="32">
        <v>9.2860613333190525</v>
      </c>
      <c r="D142" s="35">
        <v>45.734238649852479</v>
      </c>
      <c r="E142" s="35">
        <v>14.51602045769854</v>
      </c>
      <c r="F142" s="35">
        <v>45.865716739990788</v>
      </c>
      <c r="G142" s="35">
        <v>48.684300903065491</v>
      </c>
      <c r="H142" s="35">
        <v>41.91737442385898</v>
      </c>
      <c r="I142" s="35" t="s">
        <v>35</v>
      </c>
      <c r="J142" s="34">
        <v>1.8008158999999999</v>
      </c>
    </row>
    <row r="143" spans="1:10">
      <c r="A143" s="37" t="s">
        <v>15</v>
      </c>
      <c r="B143" s="36">
        <v>2021</v>
      </c>
      <c r="C143" s="32">
        <v>9.6602515283793835</v>
      </c>
      <c r="D143" s="35">
        <v>52.910920914404201</v>
      </c>
      <c r="E143" s="35">
        <v>17.702404497509619</v>
      </c>
      <c r="F143" s="35">
        <v>42.989985599908671</v>
      </c>
      <c r="G143" s="35">
        <v>48.606548268239159</v>
      </c>
      <c r="H143" s="35">
        <v>54.070459669567597</v>
      </c>
      <c r="I143" s="35" t="s">
        <v>35</v>
      </c>
      <c r="J143" s="34">
        <v>1.8555010999999999</v>
      </c>
    </row>
    <row r="144" spans="1:10">
      <c r="A144" s="37" t="s">
        <v>15</v>
      </c>
      <c r="B144" s="36">
        <v>2022</v>
      </c>
      <c r="C144" s="32">
        <v>6.2465042820753052</v>
      </c>
      <c r="D144" s="35">
        <v>50.04214894792355</v>
      </c>
      <c r="E144" s="35">
        <v>18.36384524445327</v>
      </c>
      <c r="F144" s="35">
        <v>41.257036839925718</v>
      </c>
      <c r="G144" s="35">
        <v>46.246432280558388</v>
      </c>
      <c r="H144" s="35">
        <v>52.383403528239761</v>
      </c>
      <c r="I144" s="35" t="s">
        <v>35</v>
      </c>
      <c r="J144" s="34">
        <v>1.8671502999999998</v>
      </c>
    </row>
    <row r="145" spans="1:10">
      <c r="A145" s="37" t="s">
        <v>17</v>
      </c>
      <c r="B145" s="36">
        <v>2012</v>
      </c>
      <c r="C145" s="32">
        <v>9.9487587082439575</v>
      </c>
      <c r="D145" s="35">
        <v>42.299445618839883</v>
      </c>
      <c r="E145" s="35">
        <v>10.09177339336461</v>
      </c>
      <c r="F145" s="35">
        <v>34.986167658682277</v>
      </c>
      <c r="G145" s="35">
        <v>39.148930833501367</v>
      </c>
      <c r="H145" s="35">
        <v>34.395402296270852</v>
      </c>
      <c r="I145" s="35">
        <v>65.151246749222651</v>
      </c>
      <c r="J145" s="34">
        <v>1.7611186999999999</v>
      </c>
    </row>
    <row r="146" spans="1:10">
      <c r="A146" s="37" t="s">
        <v>17</v>
      </c>
      <c r="B146" s="36">
        <v>2013</v>
      </c>
      <c r="C146" s="32">
        <v>10.798925223656438</v>
      </c>
      <c r="D146" s="35">
        <v>42.381921895978557</v>
      </c>
      <c r="E146" s="35">
        <v>10.28306249362544</v>
      </c>
      <c r="F146" s="35">
        <v>34.642603853366523</v>
      </c>
      <c r="G146" s="35">
        <v>41.28433097005918</v>
      </c>
      <c r="H146" s="35">
        <v>32.661606717455463</v>
      </c>
      <c r="I146" s="35">
        <v>66.19949546877038</v>
      </c>
      <c r="J146" s="34">
        <v>1.7597959999999999</v>
      </c>
    </row>
    <row r="147" spans="1:10">
      <c r="A147" s="37" t="s">
        <v>17</v>
      </c>
      <c r="B147" s="36">
        <v>2014</v>
      </c>
      <c r="C147" s="32">
        <v>11.738801405674758</v>
      </c>
      <c r="D147" s="35">
        <v>44.258651765497412</v>
      </c>
      <c r="E147" s="35">
        <v>10.812436492172189</v>
      </c>
      <c r="F147" s="35">
        <v>33.497231180244952</v>
      </c>
      <c r="G147" s="35">
        <v>38.719217004107193</v>
      </c>
      <c r="H147" s="35">
        <v>45.551500632233477</v>
      </c>
      <c r="I147" s="35">
        <v>67.77202676510035</v>
      </c>
      <c r="J147" s="34">
        <v>1.663238</v>
      </c>
    </row>
    <row r="148" spans="1:10">
      <c r="A148" s="37" t="s">
        <v>17</v>
      </c>
      <c r="B148" s="36">
        <v>2015</v>
      </c>
      <c r="C148" s="32">
        <v>8.706164972830333</v>
      </c>
      <c r="D148" s="35">
        <v>40.550707483201677</v>
      </c>
      <c r="E148" s="35">
        <v>11.058019673941761</v>
      </c>
      <c r="F148" s="35">
        <v>32.361531776631708</v>
      </c>
      <c r="G148" s="35">
        <v>38.16915642783357</v>
      </c>
      <c r="H148" s="35">
        <v>48.364228246801751</v>
      </c>
      <c r="I148" s="35">
        <v>64.54949226329893</v>
      </c>
      <c r="J148" s="34">
        <v>1.7856938</v>
      </c>
    </row>
    <row r="149" spans="1:10">
      <c r="A149" s="37" t="s">
        <v>17</v>
      </c>
      <c r="B149" s="36">
        <v>2016</v>
      </c>
      <c r="C149" s="32">
        <v>15.606688916647563</v>
      </c>
      <c r="D149" s="35">
        <v>41.178116824768182</v>
      </c>
      <c r="E149" s="35">
        <v>10.855321145232381</v>
      </c>
      <c r="F149" s="35">
        <v>34.655695387928347</v>
      </c>
      <c r="G149" s="35">
        <v>35.065134010819392</v>
      </c>
      <c r="H149" s="35">
        <v>54.254658636865251</v>
      </c>
      <c r="I149" s="35">
        <v>60.218682641762697</v>
      </c>
      <c r="J149" s="34">
        <v>1.9568542999999998</v>
      </c>
    </row>
    <row r="150" spans="1:10">
      <c r="A150" s="37" t="s">
        <v>17</v>
      </c>
      <c r="B150" s="36">
        <v>2017</v>
      </c>
      <c r="C150" s="32">
        <v>13.45408996967468</v>
      </c>
      <c r="D150" s="35">
        <v>44.611690901624243</v>
      </c>
      <c r="E150" s="35">
        <v>10.40545281361215</v>
      </c>
      <c r="F150" s="35">
        <v>36.748051244092323</v>
      </c>
      <c r="G150" s="35">
        <v>32.901228351662688</v>
      </c>
      <c r="H150" s="35">
        <v>64.090879465817736</v>
      </c>
      <c r="I150" s="35">
        <v>67.497224037262598</v>
      </c>
      <c r="J150" s="34">
        <v>1.9684192999999999</v>
      </c>
    </row>
    <row r="151" spans="1:10">
      <c r="A151" s="37" t="s">
        <v>17</v>
      </c>
      <c r="B151" s="36">
        <v>2018</v>
      </c>
      <c r="C151" s="32">
        <v>16.9223570347893</v>
      </c>
      <c r="D151" s="35">
        <v>46.075247197473409</v>
      </c>
      <c r="E151" s="35">
        <v>10.86493890838471</v>
      </c>
      <c r="F151" s="35">
        <v>36.01098923328184</v>
      </c>
      <c r="G151" s="35">
        <v>34.827043947235339</v>
      </c>
      <c r="H151" s="35">
        <v>66.727223546666735</v>
      </c>
      <c r="I151" s="35">
        <v>63.050756840759583</v>
      </c>
      <c r="J151" s="34">
        <v>1.9366984999999999</v>
      </c>
    </row>
    <row r="152" spans="1:10">
      <c r="A152" s="37" t="s">
        <v>17</v>
      </c>
      <c r="B152" s="36">
        <v>2019</v>
      </c>
      <c r="C152" s="32">
        <v>15.034529966708655</v>
      </c>
      <c r="D152" s="35">
        <v>41.923371323615982</v>
      </c>
      <c r="E152" s="35">
        <v>12.1776146618743</v>
      </c>
      <c r="F152" s="35">
        <v>51.46923310420194</v>
      </c>
      <c r="G152" s="35">
        <v>27.029409353737378</v>
      </c>
      <c r="H152" s="35">
        <v>64.58131078983314</v>
      </c>
      <c r="I152" s="35">
        <v>76.3769869142576</v>
      </c>
      <c r="J152" s="34">
        <v>1.8629207999999999</v>
      </c>
    </row>
    <row r="153" spans="1:10">
      <c r="A153" s="37" t="s">
        <v>17</v>
      </c>
      <c r="B153" s="36">
        <v>2020</v>
      </c>
      <c r="C153" s="32">
        <v>14.409985863208064</v>
      </c>
      <c r="D153" s="35">
        <v>43.577680925948727</v>
      </c>
      <c r="E153" s="35">
        <v>17.07668108531406</v>
      </c>
      <c r="F153" s="35">
        <v>60.803111821331527</v>
      </c>
      <c r="G153" s="35">
        <v>37.381480797023563</v>
      </c>
      <c r="H153" s="35">
        <v>48.760828041378943</v>
      </c>
      <c r="I153" s="35" t="s">
        <v>35</v>
      </c>
      <c r="J153" s="34">
        <v>1.7647355999999998</v>
      </c>
    </row>
    <row r="154" spans="1:10">
      <c r="A154" s="37" t="s">
        <v>17</v>
      </c>
      <c r="B154" s="36">
        <v>2021</v>
      </c>
      <c r="C154" s="32">
        <v>15.588367117193195</v>
      </c>
      <c r="D154" s="35">
        <v>45.413729753448337</v>
      </c>
      <c r="E154" s="35">
        <v>22.481829721463988</v>
      </c>
      <c r="F154" s="35">
        <v>56.751325794667153</v>
      </c>
      <c r="G154" s="35">
        <v>35.361817703592401</v>
      </c>
      <c r="H154" s="35">
        <v>69.927955929668371</v>
      </c>
      <c r="I154" s="35" t="s">
        <v>35</v>
      </c>
      <c r="J154" s="34">
        <v>1.8243488999999999</v>
      </c>
    </row>
    <row r="155" spans="1:10">
      <c r="A155" s="37" t="s">
        <v>17</v>
      </c>
      <c r="B155" s="36">
        <v>2022</v>
      </c>
      <c r="C155" s="32">
        <v>5.1368941387671399</v>
      </c>
      <c r="D155" s="35">
        <v>53.772462520926283</v>
      </c>
      <c r="E155" s="35">
        <v>9.490341924230151</v>
      </c>
      <c r="F155" s="35">
        <v>28.497742277288921</v>
      </c>
      <c r="G155" s="35">
        <v>60.584927675679033</v>
      </c>
      <c r="H155" s="35">
        <v>36.345739923579558</v>
      </c>
      <c r="I155" s="35">
        <v>72.000185348122173</v>
      </c>
      <c r="J155" s="34">
        <v>1.7233661999999998</v>
      </c>
    </row>
    <row r="156" spans="1:10">
      <c r="A156" s="37" t="s">
        <v>19</v>
      </c>
      <c r="B156" s="36">
        <v>2012</v>
      </c>
      <c r="C156" s="32">
        <v>8.6028465423085976</v>
      </c>
      <c r="D156" s="35">
        <v>43.337750848566841</v>
      </c>
      <c r="E156" s="35">
        <v>16.36816372440251</v>
      </c>
      <c r="F156" s="35">
        <v>30.799490209815989</v>
      </c>
      <c r="G156" s="35">
        <v>12.05892630888642</v>
      </c>
      <c r="H156" s="35">
        <v>38.482685379244877</v>
      </c>
      <c r="I156" s="35" t="s">
        <v>35</v>
      </c>
      <c r="J156" s="34">
        <v>0.47235289999999996</v>
      </c>
    </row>
    <row r="157" spans="1:10">
      <c r="A157" s="37" t="s">
        <v>19</v>
      </c>
      <c r="B157" s="36">
        <v>2013</v>
      </c>
      <c r="C157" s="32">
        <v>22.432578610226081</v>
      </c>
      <c r="D157" s="35">
        <v>66.392838639944316</v>
      </c>
      <c r="E157" s="35">
        <v>34.684737977294994</v>
      </c>
      <c r="F157" s="35">
        <v>57.886402155504079</v>
      </c>
      <c r="G157" s="35">
        <v>27.87687635681333</v>
      </c>
      <c r="H157" s="35">
        <v>58.729649383009964</v>
      </c>
      <c r="I157" s="35">
        <v>59.235710834333368</v>
      </c>
      <c r="J157" s="34">
        <v>0.42055559999999997</v>
      </c>
    </row>
    <row r="158" spans="1:10">
      <c r="A158" s="37" t="s">
        <v>19</v>
      </c>
      <c r="B158" s="36">
        <v>2014</v>
      </c>
      <c r="C158" s="32">
        <v>15.610859728506782</v>
      </c>
      <c r="D158" s="35">
        <v>54.377188594297152</v>
      </c>
      <c r="E158" s="35">
        <v>27.208480565371019</v>
      </c>
      <c r="F158" s="35">
        <v>39.490763854218677</v>
      </c>
      <c r="G158" s="35">
        <v>12.41895261845386</v>
      </c>
      <c r="H158" s="35">
        <v>43.261316872427983</v>
      </c>
      <c r="I158" s="35" t="s">
        <v>35</v>
      </c>
      <c r="J158" s="34">
        <v>0.38588879999999998</v>
      </c>
    </row>
    <row r="159" spans="1:10">
      <c r="A159" s="37" t="s">
        <v>19</v>
      </c>
      <c r="B159" s="36">
        <v>2015</v>
      </c>
      <c r="C159" s="32">
        <v>12.400455062571101</v>
      </c>
      <c r="D159" s="35">
        <v>49.415353329944082</v>
      </c>
      <c r="E159" s="35">
        <v>16.802443991853359</v>
      </c>
      <c r="F159" s="35">
        <v>53.686868686868692</v>
      </c>
      <c r="G159" s="35">
        <v>14.35</v>
      </c>
      <c r="H159" s="35">
        <v>46.510416666666657</v>
      </c>
      <c r="I159" s="35" t="s">
        <v>35</v>
      </c>
      <c r="J159" s="34">
        <v>0.42128459999999995</v>
      </c>
    </row>
    <row r="160" spans="1:10">
      <c r="A160" s="37" t="s">
        <v>19</v>
      </c>
      <c r="B160" s="36">
        <v>2016</v>
      </c>
      <c r="C160" s="32">
        <v>12.969283276450513</v>
      </c>
      <c r="D160" s="35">
        <v>47.963800904977383</v>
      </c>
      <c r="E160" s="35">
        <v>13.313161875945539</v>
      </c>
      <c r="F160" s="35">
        <v>51.545363908275178</v>
      </c>
      <c r="G160" s="35">
        <v>26.25310173697271</v>
      </c>
      <c r="H160" s="35">
        <v>42.439774474628393</v>
      </c>
      <c r="I160" s="35">
        <v>59.72782258064516</v>
      </c>
      <c r="J160" s="34">
        <v>0.41844739999999997</v>
      </c>
    </row>
    <row r="161" spans="1:10">
      <c r="A161" s="37" t="s">
        <v>19</v>
      </c>
      <c r="B161" s="36">
        <v>2017</v>
      </c>
      <c r="C161" s="32">
        <v>18.13063063063063</v>
      </c>
      <c r="D161" s="35">
        <v>57.592407592407589</v>
      </c>
      <c r="E161" s="35">
        <v>23.676171079429739</v>
      </c>
      <c r="F161" s="35">
        <v>55.533596837944657</v>
      </c>
      <c r="G161" s="35">
        <v>22.970978848991638</v>
      </c>
      <c r="H161" s="35">
        <v>48.86246122026887</v>
      </c>
      <c r="I161" s="35">
        <v>67.463876432486302</v>
      </c>
      <c r="J161" s="34">
        <v>0.34091159999999998</v>
      </c>
    </row>
    <row r="162" spans="1:10">
      <c r="A162" s="37" t="s">
        <v>19</v>
      </c>
      <c r="B162" s="36">
        <v>2018</v>
      </c>
      <c r="C162" s="32">
        <v>13.317757009345794</v>
      </c>
      <c r="D162" s="35">
        <v>42.134547293879614</v>
      </c>
      <c r="E162" s="35">
        <v>20.410205102551281</v>
      </c>
      <c r="F162" s="35">
        <v>56.2</v>
      </c>
      <c r="G162" s="35">
        <v>21.617573639540691</v>
      </c>
      <c r="H162" s="35">
        <v>39.035532994923862</v>
      </c>
      <c r="I162" s="35">
        <v>46.322778345250263</v>
      </c>
      <c r="J162" s="34">
        <v>0.31368439999999997</v>
      </c>
    </row>
    <row r="163" spans="1:10">
      <c r="A163" s="37" t="s">
        <v>19</v>
      </c>
      <c r="B163" s="36">
        <v>2019</v>
      </c>
      <c r="C163" s="32">
        <v>23.277141663222707</v>
      </c>
      <c r="D163" s="35">
        <v>72.896208367714436</v>
      </c>
      <c r="E163" s="35">
        <v>48.579233610022989</v>
      </c>
      <c r="F163" s="35">
        <v>45.405067669444499</v>
      </c>
      <c r="G163" s="35">
        <v>40.603804903401297</v>
      </c>
      <c r="H163" s="35">
        <v>53.372705344418563</v>
      </c>
      <c r="I163" s="35">
        <v>74.607696431369831</v>
      </c>
      <c r="J163" s="34">
        <v>0.31901760000000001</v>
      </c>
    </row>
    <row r="164" spans="1:10">
      <c r="A164" s="37" t="s">
        <v>19</v>
      </c>
      <c r="B164" s="36">
        <v>2020</v>
      </c>
      <c r="C164" s="32">
        <v>34.520907923992567</v>
      </c>
      <c r="D164" s="35">
        <v>72.671536064090787</v>
      </c>
      <c r="E164" s="35">
        <v>56.648350183655353</v>
      </c>
      <c r="F164" s="35">
        <v>52.552146000294833</v>
      </c>
      <c r="G164" s="35">
        <v>41.299182041721892</v>
      </c>
      <c r="H164" s="35">
        <v>47.211796656425712</v>
      </c>
      <c r="I164" s="35">
        <v>65.823563148867535</v>
      </c>
      <c r="J164" s="34">
        <v>0.26971869999999998</v>
      </c>
    </row>
    <row r="165" spans="1:10">
      <c r="A165" s="37" t="s">
        <v>19</v>
      </c>
      <c r="B165" s="36">
        <v>2021</v>
      </c>
      <c r="C165" s="32">
        <v>23.13953488372093</v>
      </c>
      <c r="D165" s="35">
        <v>69.756662804171498</v>
      </c>
      <c r="E165" s="35">
        <v>49.14400805639476</v>
      </c>
      <c r="F165" s="35">
        <v>45.331325301204807</v>
      </c>
      <c r="G165" s="35">
        <v>41.487768347478777</v>
      </c>
      <c r="H165" s="35">
        <v>46.295123495883473</v>
      </c>
      <c r="I165" s="35">
        <v>66.393958464443045</v>
      </c>
      <c r="J165" s="34">
        <v>0.21141409999999999</v>
      </c>
    </row>
    <row r="166" spans="1:10">
      <c r="A166" s="37" t="s">
        <v>19</v>
      </c>
      <c r="B166" s="36">
        <v>2022</v>
      </c>
      <c r="C166" s="32">
        <v>29.084588644264194</v>
      </c>
      <c r="D166" s="35">
        <v>76.656151419558356</v>
      </c>
      <c r="E166" s="35">
        <v>60.060210737581542</v>
      </c>
      <c r="F166" s="35">
        <v>47.967887606623179</v>
      </c>
      <c r="G166" s="35">
        <v>45.904095904095897</v>
      </c>
      <c r="H166" s="35">
        <v>53.382187147688839</v>
      </c>
      <c r="I166" s="35">
        <v>69.327501366867139</v>
      </c>
      <c r="J166" s="34">
        <v>3.93931E-2</v>
      </c>
    </row>
    <row r="167" spans="1:10">
      <c r="A167" s="37" t="s">
        <v>20</v>
      </c>
      <c r="B167" s="36">
        <v>2012</v>
      </c>
      <c r="C167" s="32">
        <v>12.182171986198869</v>
      </c>
      <c r="D167" s="35">
        <v>53.893008919316053</v>
      </c>
      <c r="E167" s="35">
        <v>24.169440263757689</v>
      </c>
      <c r="F167" s="35">
        <v>40.94658753564611</v>
      </c>
      <c r="G167" s="35">
        <v>58.724953567443492</v>
      </c>
      <c r="H167" s="35">
        <v>20.41645728841106</v>
      </c>
      <c r="I167" s="35">
        <v>57.082757499290693</v>
      </c>
      <c r="J167" s="34">
        <v>0.85367680000000001</v>
      </c>
    </row>
    <row r="168" spans="1:10">
      <c r="A168" s="37" t="s">
        <v>20</v>
      </c>
      <c r="B168" s="36">
        <v>2013</v>
      </c>
      <c r="C168" s="32">
        <v>13.274418885661754</v>
      </c>
      <c r="D168" s="35">
        <v>51.768446785339933</v>
      </c>
      <c r="E168" s="35">
        <v>21.389478295733191</v>
      </c>
      <c r="F168" s="35">
        <v>37.772722141483356</v>
      </c>
      <c r="G168" s="35">
        <v>56.344355476255778</v>
      </c>
      <c r="H168" s="35">
        <v>26.059835937546129</v>
      </c>
      <c r="I168" s="35">
        <v>59.889284892814914</v>
      </c>
      <c r="J168" s="34">
        <v>0.90227099999999993</v>
      </c>
    </row>
    <row r="169" spans="1:10">
      <c r="A169" s="37" t="s">
        <v>20</v>
      </c>
      <c r="B169" s="36">
        <v>2014</v>
      </c>
      <c r="C169" s="32">
        <v>13.039691176722904</v>
      </c>
      <c r="D169" s="35">
        <v>54.300304588026243</v>
      </c>
      <c r="E169" s="35">
        <v>19.40724493749288</v>
      </c>
      <c r="F169" s="35">
        <v>39.036439099524841</v>
      </c>
      <c r="G169" s="35">
        <v>58.472516373246293</v>
      </c>
      <c r="H169" s="35">
        <v>31.347312386892931</v>
      </c>
      <c r="I169" s="35">
        <v>56.452775536857963</v>
      </c>
      <c r="J169" s="34">
        <v>0.86576529999999996</v>
      </c>
    </row>
    <row r="170" spans="1:10">
      <c r="A170" s="37" t="s">
        <v>20</v>
      </c>
      <c r="B170" s="36">
        <v>2015</v>
      </c>
      <c r="C170" s="32">
        <v>11.955123630174725</v>
      </c>
      <c r="D170" s="35">
        <v>55.923263746043332</v>
      </c>
      <c r="E170" s="35">
        <v>22.393584112565829</v>
      </c>
      <c r="F170" s="35">
        <v>43.228115845715791</v>
      </c>
      <c r="G170" s="35">
        <v>57.845563321958828</v>
      </c>
      <c r="H170" s="35">
        <v>32.894695338353969</v>
      </c>
      <c r="I170" s="35">
        <v>55.688749249060947</v>
      </c>
      <c r="J170" s="34">
        <v>0.81236409999999992</v>
      </c>
    </row>
    <row r="171" spans="1:10">
      <c r="A171" s="37" t="s">
        <v>20</v>
      </c>
      <c r="B171" s="36">
        <v>2016</v>
      </c>
      <c r="C171" s="32">
        <v>16.211604095563139</v>
      </c>
      <c r="D171" s="35">
        <v>60.217809096732857</v>
      </c>
      <c r="E171" s="35">
        <v>23.541523678792039</v>
      </c>
      <c r="F171" s="35">
        <v>47.404627892432771</v>
      </c>
      <c r="G171" s="35">
        <v>58.41035120147874</v>
      </c>
      <c r="H171" s="35">
        <v>39.478114478114477</v>
      </c>
      <c r="I171" s="35">
        <v>56.169052488070889</v>
      </c>
      <c r="J171" s="34">
        <v>0.81115799999999993</v>
      </c>
    </row>
    <row r="172" spans="1:10">
      <c r="A172" s="37" t="s">
        <v>20</v>
      </c>
      <c r="B172" s="36">
        <v>2017</v>
      </c>
      <c r="C172" s="32">
        <v>13.595583160800549</v>
      </c>
      <c r="D172" s="35">
        <v>52.359487251725596</v>
      </c>
      <c r="E172" s="35">
        <v>11.232917855533859</v>
      </c>
      <c r="F172" s="35">
        <v>46.064434617814278</v>
      </c>
      <c r="G172" s="35">
        <v>43.578266815864723</v>
      </c>
      <c r="H172" s="35">
        <v>68.825161887141533</v>
      </c>
      <c r="I172" s="35">
        <v>67.728490622208994</v>
      </c>
      <c r="J172" s="34">
        <v>0.72192959999999995</v>
      </c>
    </row>
    <row r="173" spans="1:10">
      <c r="A173" s="37" t="s">
        <v>20</v>
      </c>
      <c r="B173" s="36">
        <v>2018</v>
      </c>
      <c r="C173" s="32">
        <v>6.919564453811029</v>
      </c>
      <c r="D173" s="35">
        <v>46.599777034559636</v>
      </c>
      <c r="E173" s="35">
        <v>10.16071191393279</v>
      </c>
      <c r="F173" s="35">
        <v>40.099642309657639</v>
      </c>
      <c r="G173" s="35">
        <v>40.625</v>
      </c>
      <c r="H173" s="35">
        <v>68.4804452001855</v>
      </c>
      <c r="I173" s="35">
        <v>76.330706484169781</v>
      </c>
      <c r="J173" s="34">
        <v>0.7623048</v>
      </c>
    </row>
    <row r="174" spans="1:10">
      <c r="A174" s="37" t="s">
        <v>20</v>
      </c>
      <c r="B174" s="36">
        <v>2019</v>
      </c>
      <c r="C174" s="32">
        <v>8.3423229054296986</v>
      </c>
      <c r="D174" s="35">
        <v>50.408997955010229</v>
      </c>
      <c r="E174" s="35">
        <v>7.617668356263577</v>
      </c>
      <c r="F174" s="35">
        <v>50.246913580246911</v>
      </c>
      <c r="G174" s="35">
        <v>56.75</v>
      </c>
      <c r="H174" s="35">
        <v>87.277256179344704</v>
      </c>
      <c r="I174" s="35">
        <v>76.952200662565076</v>
      </c>
      <c r="J174" s="34">
        <v>0.82774459999999994</v>
      </c>
    </row>
    <row r="175" spans="1:10">
      <c r="A175" s="37" t="s">
        <v>20</v>
      </c>
      <c r="B175" s="36">
        <v>2020</v>
      </c>
      <c r="C175" s="32">
        <v>3.7397689698629279</v>
      </c>
      <c r="D175" s="35">
        <v>60.044792983945449</v>
      </c>
      <c r="E175" s="35">
        <v>6.1228924682536006</v>
      </c>
      <c r="F175" s="35">
        <v>62.730931558589987</v>
      </c>
      <c r="G175" s="35">
        <v>40.265657821246478</v>
      </c>
      <c r="H175" s="35">
        <v>51.619713743753238</v>
      </c>
      <c r="I175" s="35">
        <v>60.135199923264388</v>
      </c>
      <c r="J175" s="34">
        <v>0.68549919999999998</v>
      </c>
    </row>
    <row r="176" spans="1:10">
      <c r="A176" s="37" t="s">
        <v>20</v>
      </c>
      <c r="B176" s="36">
        <v>2021</v>
      </c>
      <c r="C176" s="32">
        <v>2.9905077820768544</v>
      </c>
      <c r="D176" s="35">
        <v>60.132381300961413</v>
      </c>
      <c r="E176" s="35">
        <v>3.6903357630384299</v>
      </c>
      <c r="F176" s="35">
        <v>53.954061780619341</v>
      </c>
      <c r="G176" s="35">
        <v>44.652389270212133</v>
      </c>
      <c r="H176" s="35">
        <v>72.539243622023889</v>
      </c>
      <c r="I176" s="35">
        <v>66.353695338633329</v>
      </c>
      <c r="J176" s="34">
        <v>0.67360940000000002</v>
      </c>
    </row>
    <row r="177" spans="1:10">
      <c r="A177" s="37" t="s">
        <v>20</v>
      </c>
      <c r="B177" s="36">
        <v>2022</v>
      </c>
      <c r="C177" s="32">
        <v>3.0045104364419544</v>
      </c>
      <c r="D177" s="35">
        <v>47.794962786253457</v>
      </c>
      <c r="E177" s="35">
        <v>3.1794567359870269</v>
      </c>
      <c r="F177" s="35">
        <v>46.687805127172354</v>
      </c>
      <c r="G177" s="35">
        <v>57.481169762943139</v>
      </c>
      <c r="H177" s="35">
        <v>72.259040606739319</v>
      </c>
      <c r="I177" s="35">
        <v>63.771908126178403</v>
      </c>
      <c r="J177" s="34">
        <v>0.68701970000000001</v>
      </c>
    </row>
    <row r="178" spans="1:10">
      <c r="A178" s="37" t="s">
        <v>23</v>
      </c>
      <c r="B178" s="36">
        <v>2012</v>
      </c>
      <c r="C178" s="32">
        <v>13.501320054478084</v>
      </c>
      <c r="D178" s="35">
        <v>49.72850604604325</v>
      </c>
      <c r="E178" s="35">
        <v>15.5700958229737</v>
      </c>
      <c r="F178" s="35">
        <v>42.492256433488123</v>
      </c>
      <c r="G178" s="35">
        <v>47.979050230496881</v>
      </c>
      <c r="H178" s="35">
        <v>17.844332789114631</v>
      </c>
      <c r="I178" s="35">
        <v>74.39546936669376</v>
      </c>
      <c r="J178" s="34">
        <v>0.9748175</v>
      </c>
    </row>
    <row r="179" spans="1:10">
      <c r="A179" s="37" t="s">
        <v>23</v>
      </c>
      <c r="B179" s="36">
        <v>2013</v>
      </c>
      <c r="C179" s="32">
        <v>12.436991614143171</v>
      </c>
      <c r="D179" s="35">
        <v>51.012862581934947</v>
      </c>
      <c r="E179" s="35">
        <v>20.296906447450649</v>
      </c>
      <c r="F179" s="35">
        <v>38.772776230050759</v>
      </c>
      <c r="G179" s="35">
        <v>44.461470251349198</v>
      </c>
      <c r="H179" s="35">
        <v>16.103685488822869</v>
      </c>
      <c r="I179" s="35">
        <v>58.53253998681204</v>
      </c>
      <c r="J179" s="34">
        <v>0.85216229999999993</v>
      </c>
    </row>
    <row r="180" spans="1:10">
      <c r="A180" s="37" t="s">
        <v>23</v>
      </c>
      <c r="B180" s="36">
        <v>2014</v>
      </c>
      <c r="C180" s="32">
        <v>15.830115830115828</v>
      </c>
      <c r="D180" s="35">
        <v>54.397051079515528</v>
      </c>
      <c r="E180" s="35">
        <v>18.995290423861849</v>
      </c>
      <c r="F180" s="35">
        <v>42.571721311475407</v>
      </c>
      <c r="G180" s="35">
        <v>46.05</v>
      </c>
      <c r="H180" s="35">
        <v>23.504009870450339</v>
      </c>
      <c r="I180" s="35">
        <v>58.05201992252352</v>
      </c>
      <c r="J180" s="34">
        <v>0.72735309999999997</v>
      </c>
    </row>
    <row r="181" spans="1:10">
      <c r="A181" s="37" t="s">
        <v>23</v>
      </c>
      <c r="B181" s="36">
        <v>2015</v>
      </c>
      <c r="C181" s="32">
        <v>12.500000000000005</v>
      </c>
      <c r="D181" s="35">
        <v>52.380952380952387</v>
      </c>
      <c r="E181" s="35">
        <v>18.7597707139135</v>
      </c>
      <c r="F181" s="35">
        <v>36.544342507645261</v>
      </c>
      <c r="G181" s="35">
        <v>41.437843235147277</v>
      </c>
      <c r="H181" s="35">
        <v>26.441102756892231</v>
      </c>
      <c r="I181" s="35">
        <v>64.230343300110732</v>
      </c>
      <c r="J181" s="34">
        <v>0.70786629999999995</v>
      </c>
    </row>
    <row r="182" spans="1:10">
      <c r="A182" s="37" t="s">
        <v>23</v>
      </c>
      <c r="B182" s="36">
        <v>2016</v>
      </c>
      <c r="C182" s="32">
        <v>3.5862068965517242</v>
      </c>
      <c r="D182" s="35">
        <v>44.025834230355223</v>
      </c>
      <c r="E182" s="35">
        <v>12.833061446438281</v>
      </c>
      <c r="F182" s="35">
        <v>32.981676846196557</v>
      </c>
      <c r="G182" s="35">
        <v>49.4</v>
      </c>
      <c r="H182" s="35">
        <v>23.03415409054805</v>
      </c>
      <c r="I182" s="35">
        <v>60.146252285191963</v>
      </c>
      <c r="J182" s="34">
        <v>0.83921190000000001</v>
      </c>
    </row>
    <row r="183" spans="1:10">
      <c r="A183" s="37" t="s">
        <v>23</v>
      </c>
      <c r="B183" s="36">
        <v>2017</v>
      </c>
      <c r="C183" s="32">
        <v>6.0171919770773625</v>
      </c>
      <c r="D183" s="35">
        <v>48.447537473233403</v>
      </c>
      <c r="E183" s="35">
        <v>14.87870619946092</v>
      </c>
      <c r="F183" s="35">
        <v>33.992311916529367</v>
      </c>
      <c r="G183" s="35">
        <v>45.75</v>
      </c>
      <c r="H183" s="35">
        <v>25.816485225505438</v>
      </c>
      <c r="I183" s="35">
        <v>59.987893462469742</v>
      </c>
      <c r="J183" s="34">
        <v>0.74162119999999998</v>
      </c>
    </row>
    <row r="184" spans="1:10">
      <c r="A184" s="37" t="s">
        <v>23</v>
      </c>
      <c r="B184" s="36">
        <v>2018</v>
      </c>
      <c r="C184" s="32">
        <v>17.597428101770404</v>
      </c>
      <c r="D184" s="35">
        <v>53.291105551711702</v>
      </c>
      <c r="E184" s="35">
        <v>19.242800994625942</v>
      </c>
      <c r="F184" s="35">
        <v>34.958793699139832</v>
      </c>
      <c r="G184" s="35">
        <v>38.53765118220894</v>
      </c>
      <c r="H184" s="35">
        <v>37.405866517498268</v>
      </c>
      <c r="I184" s="35">
        <v>60.363939061936037</v>
      </c>
      <c r="J184" s="34">
        <v>0.68515029999999999</v>
      </c>
    </row>
    <row r="185" spans="1:10">
      <c r="A185" s="37" t="s">
        <v>23</v>
      </c>
      <c r="B185" s="36">
        <v>2019</v>
      </c>
      <c r="C185" s="32">
        <v>18.79084615719205</v>
      </c>
      <c r="D185" s="35">
        <v>53.051736216832481</v>
      </c>
      <c r="E185" s="35">
        <v>19.831837854130189</v>
      </c>
      <c r="F185" s="35">
        <v>65.148756071353844</v>
      </c>
      <c r="G185" s="35">
        <v>45.653291299698132</v>
      </c>
      <c r="H185" s="35">
        <v>36.036618335720533</v>
      </c>
      <c r="I185" s="35">
        <v>58.428168210610288</v>
      </c>
      <c r="J185" s="34">
        <v>0.72724420000000001</v>
      </c>
    </row>
    <row r="186" spans="1:10">
      <c r="A186" s="37" t="s">
        <v>23</v>
      </c>
      <c r="B186" s="36">
        <v>2020</v>
      </c>
      <c r="C186" s="32">
        <v>19.211856796822051</v>
      </c>
      <c r="D186" s="35">
        <v>56.38166222392276</v>
      </c>
      <c r="E186" s="35">
        <v>19.901398124036131</v>
      </c>
      <c r="F186" s="35">
        <v>71.903670478342477</v>
      </c>
      <c r="G186" s="35">
        <v>46.790278616384128</v>
      </c>
      <c r="H186" s="35">
        <v>40.913229472972553</v>
      </c>
      <c r="I186" s="35">
        <v>62.116894827921811</v>
      </c>
      <c r="J186" s="34">
        <v>0.60960019999999993</v>
      </c>
    </row>
    <row r="187" spans="1:10">
      <c r="A187" s="37" t="s">
        <v>23</v>
      </c>
      <c r="B187" s="36">
        <v>2021</v>
      </c>
      <c r="C187" s="32">
        <v>8.3590249829143861</v>
      </c>
      <c r="D187" s="35">
        <v>41.759987623320633</v>
      </c>
      <c r="E187" s="35">
        <v>7.8985071362170212</v>
      </c>
      <c r="F187" s="35">
        <v>53.859216216933568</v>
      </c>
      <c r="G187" s="35">
        <v>54.375247440401523</v>
      </c>
      <c r="H187" s="35">
        <v>33.386719231243099</v>
      </c>
      <c r="I187" s="35">
        <v>55.582019479583593</v>
      </c>
      <c r="J187" s="34">
        <v>0.74121579999999998</v>
      </c>
    </row>
    <row r="188" spans="1:10">
      <c r="A188" s="37" t="s">
        <v>23</v>
      </c>
      <c r="B188" s="36">
        <v>2022</v>
      </c>
      <c r="C188" s="32">
        <v>13.464750211801686</v>
      </c>
      <c r="D188" s="35">
        <v>42.846841702279342</v>
      </c>
      <c r="E188" s="35">
        <v>13.076187655035501</v>
      </c>
      <c r="F188" s="35">
        <v>59.3222237052805</v>
      </c>
      <c r="G188" s="35">
        <v>52.743246458009047</v>
      </c>
      <c r="H188" s="35">
        <v>29.370840145942111</v>
      </c>
      <c r="I188" s="35">
        <v>64.542091522154521</v>
      </c>
      <c r="J188" s="34">
        <v>0.72617989999999999</v>
      </c>
    </row>
    <row r="189" spans="1:10">
      <c r="A189" s="37" t="s">
        <v>24</v>
      </c>
      <c r="B189" s="36">
        <v>2012</v>
      </c>
      <c r="C189" s="32">
        <v>6.5084166897108702</v>
      </c>
      <c r="D189" s="35">
        <v>51.31573244029962</v>
      </c>
      <c r="E189" s="35">
        <v>14.678088187993209</v>
      </c>
      <c r="F189" s="35">
        <v>40.07528644649399</v>
      </c>
      <c r="G189" s="35">
        <v>41.495296592687872</v>
      </c>
      <c r="H189" s="35">
        <v>19.61787356896853</v>
      </c>
      <c r="I189" s="35">
        <v>71.080253501511464</v>
      </c>
      <c r="J189" s="34">
        <v>0.64341329999999997</v>
      </c>
    </row>
    <row r="190" spans="1:10">
      <c r="A190" s="37" t="s">
        <v>24</v>
      </c>
      <c r="B190" s="36">
        <v>2013</v>
      </c>
      <c r="C190" s="32">
        <v>7.6151470926350493</v>
      </c>
      <c r="D190" s="35">
        <v>51.48186135135284</v>
      </c>
      <c r="E190" s="35">
        <v>14.6843727290963</v>
      </c>
      <c r="F190" s="35">
        <v>39.299972611808528</v>
      </c>
      <c r="G190" s="35">
        <v>41.977490661812404</v>
      </c>
      <c r="H190" s="35">
        <v>16.055843635090941</v>
      </c>
      <c r="I190" s="35">
        <v>68.103604337790998</v>
      </c>
      <c r="J190" s="34">
        <v>0.61761460000000001</v>
      </c>
    </row>
    <row r="191" spans="1:10">
      <c r="A191" s="37" t="s">
        <v>24</v>
      </c>
      <c r="B191" s="36">
        <v>2014</v>
      </c>
      <c r="C191" s="32">
        <v>7.8355022254503419</v>
      </c>
      <c r="D191" s="35">
        <v>48.598674919420652</v>
      </c>
      <c r="E191" s="35">
        <v>12.306248739033959</v>
      </c>
      <c r="F191" s="35">
        <v>40.494340321224868</v>
      </c>
      <c r="G191" s="35">
        <v>38.697767454791773</v>
      </c>
      <c r="H191" s="35">
        <v>17.247273841568319</v>
      </c>
      <c r="I191" s="35">
        <v>72.313719396842544</v>
      </c>
      <c r="J191" s="34">
        <v>0.53997709999999999</v>
      </c>
    </row>
    <row r="192" spans="1:10">
      <c r="A192" s="37" t="s">
        <v>24</v>
      </c>
      <c r="B192" s="36">
        <v>2015</v>
      </c>
      <c r="C192" s="32">
        <v>8.4593407639436737</v>
      </c>
      <c r="D192" s="35">
        <v>48.613839391737137</v>
      </c>
      <c r="E192" s="35">
        <v>10.024066520980901</v>
      </c>
      <c r="F192" s="35">
        <v>37.223730199287971</v>
      </c>
      <c r="G192" s="35">
        <v>40.12748292666582</v>
      </c>
      <c r="H192" s="35">
        <v>20.544234150045259</v>
      </c>
      <c r="I192" s="35">
        <v>70.032692059775997</v>
      </c>
      <c r="J192" s="34">
        <v>0.574156</v>
      </c>
    </row>
    <row r="193" spans="1:10">
      <c r="A193" s="37" t="s">
        <v>24</v>
      </c>
      <c r="B193" s="36">
        <v>2016</v>
      </c>
      <c r="C193" s="32">
        <v>13.077453451344464</v>
      </c>
      <c r="D193" s="35">
        <v>51.79918969401033</v>
      </c>
      <c r="E193" s="35">
        <v>14.25603156018969</v>
      </c>
      <c r="F193" s="35">
        <v>41.811926341419948</v>
      </c>
      <c r="G193" s="35">
        <v>35.720009101468953</v>
      </c>
      <c r="H193" s="35">
        <v>25.335240685022391</v>
      </c>
      <c r="I193" s="35">
        <v>68.983326107296435</v>
      </c>
      <c r="J193" s="34">
        <v>0.6430131</v>
      </c>
    </row>
    <row r="194" spans="1:10">
      <c r="A194" s="37" t="s">
        <v>24</v>
      </c>
      <c r="B194" s="36">
        <v>2017</v>
      </c>
      <c r="C194" s="32">
        <v>9.7613882863340571</v>
      </c>
      <c r="D194" s="35">
        <v>53.309533142507689</v>
      </c>
      <c r="E194" s="35">
        <v>16.723763934593411</v>
      </c>
      <c r="F194" s="35">
        <v>38.980832509501603</v>
      </c>
      <c r="G194" s="35">
        <v>34.773737734885721</v>
      </c>
      <c r="H194" s="35">
        <v>34.603102938379301</v>
      </c>
      <c r="I194" s="35">
        <v>73.418916457531907</v>
      </c>
      <c r="J194" s="34">
        <v>0.60692259999999998</v>
      </c>
    </row>
    <row r="195" spans="1:10">
      <c r="A195" s="37" t="s">
        <v>24</v>
      </c>
      <c r="B195" s="36">
        <v>2018</v>
      </c>
      <c r="C195" s="32">
        <v>9.800362976406559</v>
      </c>
      <c r="D195" s="35">
        <v>50.967180103107808</v>
      </c>
      <c r="E195" s="35">
        <v>16.300552190197919</v>
      </c>
      <c r="F195" s="35">
        <v>38.452360345399178</v>
      </c>
      <c r="G195" s="35">
        <v>37.41533598801059</v>
      </c>
      <c r="H195" s="35">
        <v>42.167817667282037</v>
      </c>
      <c r="I195" s="35">
        <v>75.778005904483493</v>
      </c>
      <c r="J195" s="34">
        <v>0.65141110000000002</v>
      </c>
    </row>
    <row r="196" spans="1:10">
      <c r="A196" s="37" t="s">
        <v>24</v>
      </c>
      <c r="B196" s="36">
        <v>2019</v>
      </c>
      <c r="C196" s="32">
        <v>10.201030704132668</v>
      </c>
      <c r="D196" s="35">
        <v>57.455240835150818</v>
      </c>
      <c r="E196" s="35">
        <v>16.588890979938061</v>
      </c>
      <c r="F196" s="35">
        <v>60.400126542596027</v>
      </c>
      <c r="G196" s="35">
        <v>43.709633205034123</v>
      </c>
      <c r="H196" s="35">
        <v>47.585081615947281</v>
      </c>
      <c r="I196" s="35">
        <v>84.040171211389861</v>
      </c>
      <c r="J196" s="34">
        <v>0.88477279999999991</v>
      </c>
    </row>
    <row r="197" spans="1:10">
      <c r="A197" s="37" t="s">
        <v>24</v>
      </c>
      <c r="B197" s="36">
        <v>2020</v>
      </c>
      <c r="C197" s="32">
        <v>8.7155963302751989</v>
      </c>
      <c r="D197" s="35">
        <v>59.402782576865711</v>
      </c>
      <c r="E197" s="35">
        <v>13.26849284962211</v>
      </c>
      <c r="F197" s="35">
        <v>57.886187219613717</v>
      </c>
      <c r="G197" s="35">
        <v>48.215854685241638</v>
      </c>
      <c r="H197" s="35">
        <v>42.032052495047587</v>
      </c>
      <c r="I197" s="35">
        <v>85.059327696490129</v>
      </c>
      <c r="J197" s="34">
        <v>0.82160289999999991</v>
      </c>
    </row>
    <row r="198" spans="1:10">
      <c r="A198" s="37" t="s">
        <v>24</v>
      </c>
      <c r="B198" s="36">
        <v>2021</v>
      </c>
      <c r="C198" s="32">
        <v>12.268518518518485</v>
      </c>
      <c r="D198" s="35">
        <v>58.538886794498957</v>
      </c>
      <c r="E198" s="35">
        <v>16.087059667895879</v>
      </c>
      <c r="F198" s="35">
        <v>54.595886700082673</v>
      </c>
      <c r="G198" s="35">
        <v>44.878360639772389</v>
      </c>
      <c r="H198" s="35">
        <v>51.4929029394388</v>
      </c>
      <c r="I198" s="35">
        <v>85.870450440331879</v>
      </c>
      <c r="J198" s="34">
        <v>0.82947439999999995</v>
      </c>
    </row>
    <row r="199" spans="1:10">
      <c r="A199" s="37" t="s">
        <v>24</v>
      </c>
      <c r="B199" s="36">
        <v>2022</v>
      </c>
      <c r="C199" s="32">
        <v>13.411764705882373</v>
      </c>
      <c r="D199" s="35">
        <v>62.814779446117022</v>
      </c>
      <c r="E199" s="35">
        <v>17.187669586599711</v>
      </c>
      <c r="F199" s="35">
        <v>53.464920891307322</v>
      </c>
      <c r="G199" s="35">
        <v>48.880337772448918</v>
      </c>
      <c r="H199" s="35">
        <v>54.957038384836501</v>
      </c>
      <c r="I199" s="35">
        <v>88.615598710056361</v>
      </c>
      <c r="J199" s="34">
        <v>0.73721689999999995</v>
      </c>
    </row>
    <row r="200" spans="1:10">
      <c r="A200" s="37" t="s">
        <v>25</v>
      </c>
      <c r="B200" s="36">
        <v>2012</v>
      </c>
      <c r="C200" s="32">
        <v>6.8345110049715041</v>
      </c>
      <c r="D200" s="35">
        <v>39.49844611505727</v>
      </c>
      <c r="E200" s="35">
        <v>13.95586567900124</v>
      </c>
      <c r="F200" s="35">
        <v>30.15036511846014</v>
      </c>
      <c r="G200" s="35">
        <v>33.375048788709179</v>
      </c>
      <c r="H200" s="35">
        <v>35.468135381871193</v>
      </c>
      <c r="I200" s="35">
        <v>73.991928839306141</v>
      </c>
      <c r="J200" s="34">
        <v>0.64214039999999994</v>
      </c>
    </row>
    <row r="201" spans="1:10">
      <c r="A201" s="37" t="s">
        <v>25</v>
      </c>
      <c r="B201" s="36">
        <v>2013</v>
      </c>
      <c r="C201" s="32">
        <v>11.062776571063374</v>
      </c>
      <c r="D201" s="35">
        <v>42.677020566517832</v>
      </c>
      <c r="E201" s="35">
        <v>15.4453763079878</v>
      </c>
      <c r="F201" s="35">
        <v>31.365815942352501</v>
      </c>
      <c r="G201" s="35">
        <v>27.14934947798103</v>
      </c>
      <c r="H201" s="35">
        <v>37.853222117960087</v>
      </c>
      <c r="I201" s="35">
        <v>74.716469464061504</v>
      </c>
      <c r="J201" s="34">
        <v>0.62470439999999994</v>
      </c>
    </row>
    <row r="202" spans="1:10">
      <c r="A202" s="37" t="s">
        <v>25</v>
      </c>
      <c r="B202" s="36">
        <v>2014</v>
      </c>
      <c r="C202" s="32">
        <v>7.1247522917876358</v>
      </c>
      <c r="D202" s="35">
        <v>37.647522699916458</v>
      </c>
      <c r="E202" s="35">
        <v>11.80148147583466</v>
      </c>
      <c r="F202" s="35">
        <v>29.038178800731512</v>
      </c>
      <c r="G202" s="35">
        <v>25.500552245001039</v>
      </c>
      <c r="H202" s="35">
        <v>36.995626146135727</v>
      </c>
      <c r="I202" s="35">
        <v>72.91944124762891</v>
      </c>
      <c r="J202" s="34">
        <v>0.40166399999999997</v>
      </c>
    </row>
    <row r="203" spans="1:10">
      <c r="A203" s="37" t="s">
        <v>25</v>
      </c>
      <c r="B203" s="36">
        <v>2015</v>
      </c>
      <c r="C203" s="32">
        <v>8.9264082892476839</v>
      </c>
      <c r="D203" s="35">
        <v>45.437785424275027</v>
      </c>
      <c r="E203" s="35">
        <v>12.951416732313341</v>
      </c>
      <c r="F203" s="35">
        <v>35.01240207962546</v>
      </c>
      <c r="G203" s="35">
        <v>32.987751362805092</v>
      </c>
      <c r="H203" s="35">
        <v>40.905456359394897</v>
      </c>
      <c r="I203" s="35">
        <v>76.137951085299477</v>
      </c>
      <c r="J203" s="34">
        <v>0.29466229999999999</v>
      </c>
    </row>
    <row r="204" spans="1:10">
      <c r="A204" s="37" t="s">
        <v>25</v>
      </c>
      <c r="B204" s="36">
        <v>2016</v>
      </c>
      <c r="C204" s="32">
        <v>6.4399341088400002</v>
      </c>
      <c r="D204" s="35">
        <v>37.873437253400851</v>
      </c>
      <c r="E204" s="35">
        <v>12.35858810616547</v>
      </c>
      <c r="F204" s="35">
        <v>30.971044824622449</v>
      </c>
      <c r="G204" s="35">
        <v>35.601550678030122</v>
      </c>
      <c r="H204" s="35">
        <v>35.025836672373757</v>
      </c>
      <c r="I204" s="35">
        <v>78.135708376481702</v>
      </c>
      <c r="J204" s="34">
        <v>0.26113039999999998</v>
      </c>
    </row>
    <row r="205" spans="1:10">
      <c r="A205" s="37" t="s">
        <v>25</v>
      </c>
      <c r="B205" s="36">
        <v>2017</v>
      </c>
      <c r="C205" s="32">
        <v>11.976091165976072</v>
      </c>
      <c r="D205" s="35">
        <v>39.932027006397611</v>
      </c>
      <c r="E205" s="35">
        <v>15.21350277428334</v>
      </c>
      <c r="F205" s="35">
        <v>30.16172373877939</v>
      </c>
      <c r="G205" s="35">
        <v>36.194323680487152</v>
      </c>
      <c r="H205" s="35">
        <v>43.172945859781663</v>
      </c>
      <c r="I205" s="35">
        <v>74.860906119997878</v>
      </c>
      <c r="J205" s="34">
        <v>0.22967869999999999</v>
      </c>
    </row>
    <row r="206" spans="1:10">
      <c r="A206" s="37" t="s">
        <v>25</v>
      </c>
      <c r="B206" s="36">
        <v>2018</v>
      </c>
      <c r="C206" s="32">
        <v>11.445434442424533</v>
      </c>
      <c r="D206" s="35">
        <f t="shared" ref="D206:I206" si="7">AVERAGE(D205,D207)</f>
        <v>50.14318168738923</v>
      </c>
      <c r="E206" s="35">
        <f t="shared" si="7"/>
        <v>15.54391354306569</v>
      </c>
      <c r="F206" s="35">
        <f t="shared" si="7"/>
        <v>29.223054738828154</v>
      </c>
      <c r="G206" s="35">
        <f t="shared" si="7"/>
        <v>41.384516923819277</v>
      </c>
      <c r="H206" s="35">
        <f t="shared" si="7"/>
        <v>51.790204495772642</v>
      </c>
      <c r="I206" s="35">
        <f t="shared" si="7"/>
        <v>78.508767255626381</v>
      </c>
      <c r="J206" s="34">
        <v>6.854049999999999E-2</v>
      </c>
    </row>
    <row r="207" spans="1:10">
      <c r="A207" s="37" t="s">
        <v>25</v>
      </c>
      <c r="B207" s="36">
        <v>2019</v>
      </c>
      <c r="C207" s="32">
        <v>10.891028723802526</v>
      </c>
      <c r="D207" s="35">
        <v>60.354336368380842</v>
      </c>
      <c r="E207" s="35">
        <v>15.87432431184804</v>
      </c>
      <c r="F207" s="35">
        <v>28.284385738876921</v>
      </c>
      <c r="G207" s="35">
        <v>46.574710167151402</v>
      </c>
      <c r="H207" s="35">
        <v>60.40746313176362</v>
      </c>
      <c r="I207" s="35">
        <v>82.156628391254884</v>
      </c>
      <c r="J207" s="34">
        <v>0.11879999999999999</v>
      </c>
    </row>
    <row r="208" spans="1:10">
      <c r="A208" s="37" t="s">
        <v>25</v>
      </c>
      <c r="B208" s="36">
        <v>2020</v>
      </c>
      <c r="C208" s="32">
        <v>15.044124716502004</v>
      </c>
      <c r="D208" s="35">
        <f t="shared" ref="D208:I208" si="8">AVERAGE(D207,D209)</f>
        <v>65.024061812876511</v>
      </c>
      <c r="E208" s="35">
        <f t="shared" si="8"/>
        <v>22.794503474841779</v>
      </c>
      <c r="F208" s="35">
        <f t="shared" si="8"/>
        <v>32.942368387991408</v>
      </c>
      <c r="G208" s="35">
        <f t="shared" si="8"/>
        <v>47.948035437748352</v>
      </c>
      <c r="H208" s="35">
        <f t="shared" si="8"/>
        <v>59.141432346368802</v>
      </c>
      <c r="I208" s="35">
        <f t="shared" si="8"/>
        <v>82.040410041126933</v>
      </c>
      <c r="J208" s="34">
        <v>8.9906699999999992E-2</v>
      </c>
    </row>
    <row r="209" spans="1:10">
      <c r="A209" s="37" t="s">
        <v>25</v>
      </c>
      <c r="B209" s="36">
        <v>2021</v>
      </c>
      <c r="C209" s="32">
        <v>19.15696453699319</v>
      </c>
      <c r="D209" s="35">
        <v>69.693787257372179</v>
      </c>
      <c r="E209" s="35">
        <v>29.714682637835519</v>
      </c>
      <c r="F209" s="35">
        <v>37.600351037105902</v>
      </c>
      <c r="G209" s="35">
        <v>49.321360708345303</v>
      </c>
      <c r="H209" s="35">
        <v>57.875401560973991</v>
      </c>
      <c r="I209" s="35">
        <v>81.924191690998995</v>
      </c>
      <c r="J209" s="34">
        <v>1.7739100000000001E-2</v>
      </c>
    </row>
    <row r="210" spans="1:10">
      <c r="A210" s="37" t="s">
        <v>25</v>
      </c>
      <c r="B210" s="36">
        <v>2022</v>
      </c>
      <c r="C210" s="32">
        <v>9.333851626542419</v>
      </c>
      <c r="D210" s="35">
        <v>63.731210456739383</v>
      </c>
      <c r="E210" s="35">
        <v>10.06443502932547</v>
      </c>
      <c r="F210" s="35">
        <v>33.54950357106538</v>
      </c>
      <c r="G210" s="35">
        <v>51.253065188608637</v>
      </c>
      <c r="H210" s="35">
        <v>61.311913106038887</v>
      </c>
      <c r="I210" s="35">
        <v>79.838207235859144</v>
      </c>
      <c r="J210" s="34">
        <v>-6.2298199999999998E-2</v>
      </c>
    </row>
    <row r="211" spans="1:10">
      <c r="A211" s="37" t="s">
        <v>26</v>
      </c>
      <c r="B211" s="36">
        <v>2012</v>
      </c>
      <c r="C211" s="32">
        <v>3.9880066874932916</v>
      </c>
      <c r="D211" s="35">
        <v>26.926623307732299</v>
      </c>
      <c r="E211" s="35">
        <v>14.6014264818514</v>
      </c>
      <c r="F211" s="35">
        <v>28.670253012100641</v>
      </c>
      <c r="G211" s="35">
        <v>40.37141677181986</v>
      </c>
      <c r="H211" s="35">
        <v>12.51824049890368</v>
      </c>
      <c r="I211" s="35">
        <v>69.588657170496802</v>
      </c>
      <c r="J211" s="34">
        <v>0.92886069999999998</v>
      </c>
    </row>
    <row r="212" spans="1:10">
      <c r="A212" s="37" t="s">
        <v>26</v>
      </c>
      <c r="B212" s="36">
        <v>2013</v>
      </c>
      <c r="C212" s="32">
        <v>3.6753694891914579</v>
      </c>
      <c r="D212" s="35">
        <v>28.09805916995391</v>
      </c>
      <c r="E212" s="35">
        <v>13.63539958085086</v>
      </c>
      <c r="F212" s="35">
        <v>30.64542505270477</v>
      </c>
      <c r="G212" s="35">
        <v>44.525917439058901</v>
      </c>
      <c r="H212" s="35">
        <v>12.727952791326089</v>
      </c>
      <c r="I212" s="35">
        <v>67.801443406132137</v>
      </c>
      <c r="J212" s="34">
        <v>1.0180913999999999</v>
      </c>
    </row>
    <row r="213" spans="1:10">
      <c r="A213" s="37" t="s">
        <v>26</v>
      </c>
      <c r="B213" s="36">
        <v>2014</v>
      </c>
      <c r="C213" s="32">
        <v>3.7328290225736454</v>
      </c>
      <c r="D213" s="35">
        <f t="shared" ref="D213:I213" si="9">AVERAGE(D212,D214)</f>
        <v>27.753784120270584</v>
      </c>
      <c r="E213" s="35">
        <f t="shared" si="9"/>
        <v>11.709086696091527</v>
      </c>
      <c r="F213" s="35">
        <f t="shared" si="9"/>
        <v>33.849812706452582</v>
      </c>
      <c r="G213" s="35">
        <f t="shared" si="9"/>
        <v>40.884791575322225</v>
      </c>
      <c r="H213" s="35">
        <f t="shared" si="9"/>
        <v>13.560250268205115</v>
      </c>
      <c r="I213" s="35">
        <f t="shared" si="9"/>
        <v>60.660643080333962</v>
      </c>
      <c r="J213" s="34">
        <v>0.99375979999999997</v>
      </c>
    </row>
    <row r="214" spans="1:10">
      <c r="A214" s="37" t="s">
        <v>26</v>
      </c>
      <c r="B214" s="36">
        <v>2015</v>
      </c>
      <c r="C214" s="32">
        <v>3.577550868301417</v>
      </c>
      <c r="D214" s="35">
        <v>27.409509070587259</v>
      </c>
      <c r="E214" s="35">
        <v>9.7827738113321931</v>
      </c>
      <c r="F214" s="35">
        <v>37.054200360200397</v>
      </c>
      <c r="G214" s="35">
        <v>37.243665711585543</v>
      </c>
      <c r="H214" s="35">
        <v>14.392547745084141</v>
      </c>
      <c r="I214" s="35">
        <v>53.519842754535787</v>
      </c>
      <c r="J214" s="34">
        <v>0.99612899999999993</v>
      </c>
    </row>
    <row r="215" spans="1:10">
      <c r="A215" s="37" t="s">
        <v>26</v>
      </c>
      <c r="B215" s="36">
        <v>2016</v>
      </c>
      <c r="C215" s="32">
        <v>3.5132686418818126</v>
      </c>
      <c r="D215" s="35">
        <v>45.09208482142634</v>
      </c>
      <c r="E215" s="35">
        <v>28.13579394450516</v>
      </c>
      <c r="F215" s="35">
        <v>39.106818914558858</v>
      </c>
      <c r="G215" s="35">
        <v>33.909262422888467</v>
      </c>
      <c r="H215" s="35">
        <v>35.323131762831331</v>
      </c>
      <c r="I215" s="35">
        <v>60.201987857823433</v>
      </c>
      <c r="J215" s="34">
        <v>0.97589569999999992</v>
      </c>
    </row>
    <row r="216" spans="1:10">
      <c r="A216" s="37" t="s">
        <v>26</v>
      </c>
      <c r="B216" s="36">
        <v>2017</v>
      </c>
      <c r="C216" s="32">
        <v>8.8572840203594172</v>
      </c>
      <c r="D216" s="35">
        <v>45.679538650559643</v>
      </c>
      <c r="E216" s="35">
        <v>25.014108399605291</v>
      </c>
      <c r="F216" s="35">
        <v>42.9365377509829</v>
      </c>
      <c r="G216" s="35">
        <v>32.560675688398668</v>
      </c>
      <c r="H216" s="35">
        <v>35.300162277754168</v>
      </c>
      <c r="I216" s="35">
        <v>68.571247014176734</v>
      </c>
      <c r="J216" s="34">
        <v>0.95930419999999994</v>
      </c>
    </row>
    <row r="217" spans="1:10">
      <c r="A217" s="37" t="s">
        <v>26</v>
      </c>
      <c r="B217" s="36">
        <v>2018</v>
      </c>
      <c r="C217" s="32">
        <v>12.507868448472001</v>
      </c>
      <c r="D217" s="35">
        <v>49.676846793817802</v>
      </c>
      <c r="E217" s="35">
        <v>32.59390155873713</v>
      </c>
      <c r="F217" s="35">
        <v>43.498177077651981</v>
      </c>
      <c r="G217" s="35">
        <v>29.697482454658498</v>
      </c>
      <c r="H217" s="35">
        <v>45.675339083395968</v>
      </c>
      <c r="I217" s="35">
        <v>69.951133536261594</v>
      </c>
      <c r="J217" s="34">
        <v>0.95691939999999998</v>
      </c>
    </row>
    <row r="218" spans="1:10">
      <c r="A218" s="37" t="s">
        <v>26</v>
      </c>
      <c r="B218" s="36">
        <v>2019</v>
      </c>
      <c r="C218" s="32">
        <v>9.652917988654881</v>
      </c>
      <c r="D218" s="35">
        <v>51.701204758860818</v>
      </c>
      <c r="E218" s="35">
        <v>32.977055362572408</v>
      </c>
      <c r="F218" s="35">
        <v>37.112093380806641</v>
      </c>
      <c r="G218" s="35">
        <v>17.13675811870155</v>
      </c>
      <c r="H218" s="35">
        <v>42.888577947828459</v>
      </c>
      <c r="I218" s="35">
        <v>85.965092205037024</v>
      </c>
      <c r="J218" s="34">
        <v>0.91201549999999998</v>
      </c>
    </row>
    <row r="219" spans="1:10">
      <c r="A219" s="37" t="s">
        <v>26</v>
      </c>
      <c r="B219" s="36">
        <v>2020</v>
      </c>
      <c r="C219" s="32">
        <v>10.284463463781297</v>
      </c>
      <c r="D219" s="35">
        <v>53.011821046922471</v>
      </c>
      <c r="E219" s="35">
        <v>34.346224283569768</v>
      </c>
      <c r="F219" s="35">
        <v>39.927130184780907</v>
      </c>
      <c r="G219" s="35">
        <v>20.28966320395789</v>
      </c>
      <c r="H219" s="35">
        <v>44.639269329579633</v>
      </c>
      <c r="I219" s="35">
        <v>87.694163309760441</v>
      </c>
      <c r="J219" s="34">
        <v>0.90831989999999996</v>
      </c>
    </row>
    <row r="220" spans="1:10">
      <c r="A220" s="37" t="s">
        <v>26</v>
      </c>
      <c r="B220" s="36">
        <v>2021</v>
      </c>
      <c r="C220" s="32">
        <v>10.858995137780949</v>
      </c>
      <c r="D220" s="35">
        <v>53.950248959479971</v>
      </c>
      <c r="E220" s="35">
        <v>35.19635516617533</v>
      </c>
      <c r="F220" s="35">
        <v>40.46187709962539</v>
      </c>
      <c r="G220" s="35">
        <v>21.735941558431321</v>
      </c>
      <c r="H220" s="35">
        <v>43.994014029387458</v>
      </c>
      <c r="I220" s="35">
        <v>89.382757106802472</v>
      </c>
      <c r="J220" s="34">
        <v>0.98799949999999992</v>
      </c>
    </row>
    <row r="221" spans="1:10">
      <c r="A221" s="37" t="s">
        <v>26</v>
      </c>
      <c r="B221" s="36">
        <v>2022</v>
      </c>
      <c r="C221" s="32">
        <v>10.73170731707317</v>
      </c>
      <c r="D221" s="35">
        <v>54.810725552050478</v>
      </c>
      <c r="E221" s="35">
        <v>34.200000000000003</v>
      </c>
      <c r="F221" s="35">
        <v>39.450000000000003</v>
      </c>
      <c r="G221" s="35">
        <v>21.95</v>
      </c>
      <c r="H221" s="35">
        <v>41.034985422740533</v>
      </c>
      <c r="I221" s="35">
        <v>90.125173852573013</v>
      </c>
      <c r="J221" s="34">
        <v>1.01728</v>
      </c>
    </row>
    <row r="222" spans="1:10">
      <c r="A222" s="37" t="s">
        <v>27</v>
      </c>
      <c r="B222" s="36">
        <v>2012</v>
      </c>
      <c r="C222" s="32">
        <v>6.4670064620276326</v>
      </c>
      <c r="D222" s="35">
        <v>50.375299348957213</v>
      </c>
      <c r="E222" s="35">
        <v>12.04624842414114</v>
      </c>
      <c r="F222" s="35">
        <v>31.099002019271481</v>
      </c>
      <c r="G222" s="35">
        <v>51.586963801131802</v>
      </c>
      <c r="H222" s="35">
        <v>13.904733133750071</v>
      </c>
      <c r="I222" s="35">
        <v>63.714034871170092</v>
      </c>
      <c r="J222" s="34">
        <v>0.87281179999999992</v>
      </c>
    </row>
    <row r="223" spans="1:10">
      <c r="A223" s="37" t="s">
        <v>27</v>
      </c>
      <c r="B223" s="36">
        <v>2013</v>
      </c>
      <c r="C223" s="32">
        <v>5.1688701601654623</v>
      </c>
      <c r="D223" s="35">
        <v>48.394601833646043</v>
      </c>
      <c r="E223" s="35">
        <v>9.3455809730469586</v>
      </c>
      <c r="F223" s="35">
        <v>30.807578864013351</v>
      </c>
      <c r="G223" s="35">
        <v>47.698075329158037</v>
      </c>
      <c r="H223" s="35">
        <v>16.006041313873709</v>
      </c>
      <c r="I223" s="35">
        <v>52.337892911450368</v>
      </c>
      <c r="J223" s="34">
        <v>0.87416889999999992</v>
      </c>
    </row>
    <row r="224" spans="1:10">
      <c r="A224" s="37" t="s">
        <v>27</v>
      </c>
      <c r="B224" s="36">
        <v>2014</v>
      </c>
      <c r="C224" s="32">
        <v>5.5534156526969669</v>
      </c>
      <c r="D224" s="35">
        <v>48.133004419352503</v>
      </c>
      <c r="E224" s="35">
        <v>8.0324957893102589</v>
      </c>
      <c r="F224" s="35">
        <v>35.714147786178962</v>
      </c>
      <c r="G224" s="35">
        <v>46.51690771922879</v>
      </c>
      <c r="H224" s="35">
        <v>22.61278854121381</v>
      </c>
      <c r="I224" s="35">
        <v>48.994081094689669</v>
      </c>
      <c r="J224" s="34">
        <v>0.69688410000000001</v>
      </c>
    </row>
    <row r="225" spans="1:10">
      <c r="A225" s="37" t="s">
        <v>27</v>
      </c>
      <c r="B225" s="36">
        <v>2015</v>
      </c>
      <c r="C225" s="32">
        <v>5.9626317180483674</v>
      </c>
      <c r="D225" s="35">
        <v>45.256805846065227</v>
      </c>
      <c r="E225" s="35">
        <v>6.0508951546239764</v>
      </c>
      <c r="F225" s="35">
        <v>33.664506061997677</v>
      </c>
      <c r="G225" s="35">
        <v>43.092196619740427</v>
      </c>
      <c r="H225" s="35">
        <v>25.96777526237608</v>
      </c>
      <c r="I225" s="35">
        <v>48.384359337911711</v>
      </c>
      <c r="J225" s="34">
        <v>0.80442079999999994</v>
      </c>
    </row>
    <row r="226" spans="1:10">
      <c r="A226" s="37" t="s">
        <v>27</v>
      </c>
      <c r="B226" s="36">
        <v>2016</v>
      </c>
      <c r="C226" s="32">
        <v>6.1584369422625134</v>
      </c>
      <c r="D226" s="35">
        <v>46.69438153677735</v>
      </c>
      <c r="E226" s="35">
        <v>6.0702889320151794</v>
      </c>
      <c r="F226" s="35">
        <v>35.596488280187792</v>
      </c>
      <c r="G226" s="35">
        <v>45.02321933893603</v>
      </c>
      <c r="H226" s="35">
        <v>25.564107587447712</v>
      </c>
      <c r="I226" s="35">
        <v>50.67400609412045</v>
      </c>
      <c r="J226" s="34">
        <v>0.96256949999999997</v>
      </c>
    </row>
    <row r="227" spans="1:10">
      <c r="A227" s="37" t="s">
        <v>27</v>
      </c>
      <c r="B227" s="36">
        <v>2017</v>
      </c>
      <c r="C227" s="32">
        <v>7.0486674980930104</v>
      </c>
      <c r="D227" s="35">
        <v>44.804048384309127</v>
      </c>
      <c r="E227" s="35">
        <v>6.8305656650738289</v>
      </c>
      <c r="F227" s="35">
        <v>32.962515190790882</v>
      </c>
      <c r="G227" s="35">
        <v>43.552664083513591</v>
      </c>
      <c r="H227" s="35">
        <v>31.859351202543781</v>
      </c>
      <c r="I227" s="35">
        <v>47.880523077534278</v>
      </c>
      <c r="J227" s="34">
        <v>0.88675090000000001</v>
      </c>
    </row>
    <row r="228" spans="1:10">
      <c r="A228" s="37" t="s">
        <v>27</v>
      </c>
      <c r="B228" s="36">
        <v>2018</v>
      </c>
      <c r="C228" s="32">
        <v>5.9677911908495176</v>
      </c>
      <c r="D228" s="35">
        <v>48.462274802377323</v>
      </c>
      <c r="E228" s="35">
        <v>6.8068056739439466</v>
      </c>
      <c r="F228" s="35">
        <v>33.361947371579717</v>
      </c>
      <c r="G228" s="35">
        <v>43.072934242989263</v>
      </c>
      <c r="H228" s="35">
        <v>29.086436766934</v>
      </c>
      <c r="I228" s="35">
        <v>49.753555751977103</v>
      </c>
      <c r="J228" s="34">
        <v>0.88369569999999997</v>
      </c>
    </row>
    <row r="229" spans="1:10">
      <c r="A229" s="37" t="s">
        <v>27</v>
      </c>
      <c r="B229" s="36">
        <v>2019</v>
      </c>
      <c r="C229" s="32">
        <v>7.1896666661431397</v>
      </c>
      <c r="D229" s="35">
        <v>50.817418303969113</v>
      </c>
      <c r="E229" s="35">
        <v>8.0653525056397459</v>
      </c>
      <c r="F229" s="35">
        <v>42.096935339515248</v>
      </c>
      <c r="G229" s="35">
        <v>55.133596707107401</v>
      </c>
      <c r="H229" s="35">
        <v>36.133588451429063</v>
      </c>
      <c r="I229" s="35">
        <v>57.846360357773463</v>
      </c>
      <c r="J229" s="34">
        <v>0.94465729999999992</v>
      </c>
    </row>
    <row r="230" spans="1:10">
      <c r="A230" s="37" t="s">
        <v>27</v>
      </c>
      <c r="B230" s="36">
        <v>2020</v>
      </c>
      <c r="C230" s="32">
        <v>4.8074594737757499</v>
      </c>
      <c r="D230" s="35">
        <v>51.870393075248401</v>
      </c>
      <c r="E230" s="35">
        <v>6.991129310492779</v>
      </c>
      <c r="F230" s="35">
        <v>37.346361759934787</v>
      </c>
      <c r="G230" s="35">
        <v>63.98279696160796</v>
      </c>
      <c r="H230" s="35">
        <v>16.480252465585341</v>
      </c>
      <c r="I230" s="35">
        <v>61.144394876001627</v>
      </c>
      <c r="J230" s="34">
        <v>0.83709279999999997</v>
      </c>
    </row>
    <row r="231" spans="1:10">
      <c r="A231" s="37" t="s">
        <v>27</v>
      </c>
      <c r="B231" s="36">
        <v>2021</v>
      </c>
      <c r="C231" s="32">
        <v>5.3474523891084917</v>
      </c>
      <c r="D231" s="35">
        <v>49.750407716033052</v>
      </c>
      <c r="E231" s="35">
        <v>8.9970138177349952</v>
      </c>
      <c r="F231" s="35">
        <v>38.102049641809877</v>
      </c>
      <c r="G231" s="35">
        <v>58.432414632392963</v>
      </c>
      <c r="H231" s="35">
        <v>30.023274583432759</v>
      </c>
      <c r="I231" s="35">
        <v>60.697707444401303</v>
      </c>
      <c r="J231" s="34">
        <v>0.92116949999999997</v>
      </c>
    </row>
    <row r="232" spans="1:10">
      <c r="A232" s="37" t="s">
        <v>27</v>
      </c>
      <c r="B232" s="36">
        <v>2022</v>
      </c>
      <c r="C232" s="32">
        <v>5.9582194466890703</v>
      </c>
      <c r="D232" s="35">
        <v>46.517703102810337</v>
      </c>
      <c r="E232" s="35">
        <v>9.3694963946206009</v>
      </c>
      <c r="F232" s="35">
        <v>41.286011961842931</v>
      </c>
      <c r="G232" s="35">
        <v>58.454670980122202</v>
      </c>
      <c r="H232" s="35">
        <v>26.027950342069129</v>
      </c>
      <c r="I232" s="35">
        <v>55.444405393576787</v>
      </c>
      <c r="J232" s="34">
        <v>0.83790789999999993</v>
      </c>
    </row>
    <row r="233" spans="1:10">
      <c r="A233" s="37" t="s">
        <v>28</v>
      </c>
      <c r="B233" s="36">
        <v>2012</v>
      </c>
      <c r="C233" s="32">
        <v>6.8287265665408974</v>
      </c>
      <c r="D233" s="35">
        <v>36.985863898472907</v>
      </c>
      <c r="E233" s="35">
        <v>11.72209977909926</v>
      </c>
      <c r="F233" s="35">
        <v>41.042188512248018</v>
      </c>
      <c r="G233" s="35">
        <v>38.929945176962491</v>
      </c>
      <c r="H233" s="35">
        <v>66.47828323114264</v>
      </c>
      <c r="I233" s="35" t="s">
        <v>35</v>
      </c>
      <c r="J233" s="34">
        <v>2.0214290999999998</v>
      </c>
    </row>
    <row r="234" spans="1:10">
      <c r="A234" s="37" t="s">
        <v>28</v>
      </c>
      <c r="B234" s="36">
        <v>2013</v>
      </c>
      <c r="C234" s="32">
        <v>7.6069090191074791</v>
      </c>
      <c r="D234" s="35">
        <v>38.798263669720548</v>
      </c>
      <c r="E234" s="35">
        <v>11.016674417982269</v>
      </c>
      <c r="F234" s="35">
        <v>37.136980045102668</v>
      </c>
      <c r="G234" s="35">
        <v>39.733962963651308</v>
      </c>
      <c r="H234" s="35">
        <v>64.44932826688499</v>
      </c>
      <c r="I234" s="35">
        <v>71.513476630394749</v>
      </c>
      <c r="J234" s="34">
        <v>1.9712277999999999</v>
      </c>
    </row>
    <row r="235" spans="1:10">
      <c r="A235" s="37" t="s">
        <v>28</v>
      </c>
      <c r="B235" s="36">
        <v>2014</v>
      </c>
      <c r="C235" s="32">
        <v>6.009412891656301</v>
      </c>
      <c r="D235" s="35">
        <v>36.654103354500677</v>
      </c>
      <c r="E235" s="35">
        <v>10.06968350378261</v>
      </c>
      <c r="F235" s="35">
        <v>37.477240575731152</v>
      </c>
      <c r="G235" s="35">
        <v>40.679610560097132</v>
      </c>
      <c r="H235" s="35">
        <v>70.073005775077007</v>
      </c>
      <c r="I235" s="35">
        <v>70.897635536366749</v>
      </c>
      <c r="J235" s="34">
        <v>1.7257536</v>
      </c>
    </row>
    <row r="236" spans="1:10">
      <c r="A236" s="37" t="s">
        <v>28</v>
      </c>
      <c r="B236" s="36">
        <v>2015</v>
      </c>
      <c r="C236" s="32">
        <v>7.7651296660010427</v>
      </c>
      <c r="D236" s="35">
        <v>36.696354866669743</v>
      </c>
      <c r="E236" s="35">
        <v>10.049557758360599</v>
      </c>
      <c r="F236" s="35">
        <v>38.660901067132507</v>
      </c>
      <c r="G236" s="35">
        <v>41.635546160579644</v>
      </c>
      <c r="H236" s="35">
        <v>70.221954223923916</v>
      </c>
      <c r="I236" s="35">
        <v>69.808612863423946</v>
      </c>
      <c r="J236" s="34">
        <v>1.7858201</v>
      </c>
    </row>
    <row r="237" spans="1:10">
      <c r="A237" s="37" t="s">
        <v>28</v>
      </c>
      <c r="B237" s="36">
        <v>2016</v>
      </c>
      <c r="C237" s="32">
        <v>7.4263137540765296</v>
      </c>
      <c r="D237" s="35">
        <v>35.505723439054357</v>
      </c>
      <c r="E237" s="35">
        <v>10.361288526951579</v>
      </c>
      <c r="F237" s="35">
        <v>37.309934330711393</v>
      </c>
      <c r="G237" s="35">
        <v>45.445291553770957</v>
      </c>
      <c r="H237" s="35">
        <v>78.499239298672251</v>
      </c>
      <c r="I237" s="35">
        <v>69.881967762667657</v>
      </c>
      <c r="J237" s="34">
        <v>1.8059921999999999</v>
      </c>
    </row>
    <row r="238" spans="1:10">
      <c r="A238" s="37" t="s">
        <v>28</v>
      </c>
      <c r="B238" s="36">
        <v>2017</v>
      </c>
      <c r="C238" s="32">
        <v>8.0951970792852777</v>
      </c>
      <c r="D238" s="35">
        <v>34.501941952343572</v>
      </c>
      <c r="E238" s="35">
        <v>9.9966722188961654</v>
      </c>
      <c r="F238" s="35">
        <v>36.110632843278758</v>
      </c>
      <c r="G238" s="35">
        <v>43.066354444322883</v>
      </c>
      <c r="H238" s="35">
        <v>79.488970852203693</v>
      </c>
      <c r="I238" s="35">
        <v>70.523085980911276</v>
      </c>
      <c r="J238" s="34">
        <v>1.7455156999999999</v>
      </c>
    </row>
    <row r="239" spans="1:10">
      <c r="A239" s="37" t="s">
        <v>28</v>
      </c>
      <c r="B239" s="36">
        <v>2018</v>
      </c>
      <c r="C239" s="32">
        <v>8.8672581777028157</v>
      </c>
      <c r="D239" s="35">
        <v>38.416644815413363</v>
      </c>
      <c r="E239" s="35">
        <v>11.350969077022111</v>
      </c>
      <c r="F239" s="35">
        <v>39.241109497077652</v>
      </c>
      <c r="G239" s="35">
        <v>42.148960488411348</v>
      </c>
      <c r="H239" s="35">
        <v>81.556521613631503</v>
      </c>
      <c r="I239" s="35">
        <v>72.132545303804335</v>
      </c>
      <c r="J239" s="34">
        <v>1.7593835999999998</v>
      </c>
    </row>
    <row r="240" spans="1:10">
      <c r="A240" s="37" t="s">
        <v>28</v>
      </c>
      <c r="B240" s="36">
        <v>2019</v>
      </c>
      <c r="C240" s="32">
        <v>11.636886393400754</v>
      </c>
      <c r="D240" s="35">
        <v>50.688259101233868</v>
      </c>
      <c r="E240" s="35">
        <v>15.32048971405875</v>
      </c>
      <c r="F240" s="35">
        <v>54.62745157464699</v>
      </c>
      <c r="G240" s="35">
        <v>44.502585935780431</v>
      </c>
      <c r="H240" s="35">
        <v>79.791846631581322</v>
      </c>
      <c r="I240" s="35">
        <v>78.721160250542539</v>
      </c>
      <c r="J240" s="34">
        <v>1.7778064999999998</v>
      </c>
    </row>
    <row r="241" spans="1:10">
      <c r="A241" s="37" t="s">
        <v>28</v>
      </c>
      <c r="B241" s="36">
        <v>2020</v>
      </c>
      <c r="C241" s="32">
        <v>9.9133186566368856</v>
      </c>
      <c r="D241" s="35">
        <v>52.090962583186872</v>
      </c>
      <c r="E241" s="35">
        <v>10.597369896301711</v>
      </c>
      <c r="F241" s="35">
        <v>48.495588222920929</v>
      </c>
      <c r="G241" s="35">
        <v>46.426168656942373</v>
      </c>
      <c r="H241" s="35">
        <v>62.485845116877151</v>
      </c>
      <c r="I241" s="35" t="s">
        <v>35</v>
      </c>
      <c r="J241" s="34">
        <v>1.715293</v>
      </c>
    </row>
    <row r="242" spans="1:10">
      <c r="A242" s="37" t="s">
        <v>28</v>
      </c>
      <c r="B242" s="36">
        <v>2021</v>
      </c>
      <c r="C242" s="32">
        <v>9.2334373086700978</v>
      </c>
      <c r="D242" s="35">
        <v>49.900506462798113</v>
      </c>
      <c r="E242" s="35">
        <v>15.006376721967181</v>
      </c>
      <c r="F242" s="35">
        <v>55.059165228916839</v>
      </c>
      <c r="G242" s="35">
        <v>44.049724066043382</v>
      </c>
      <c r="H242" s="35">
        <v>79.607310106623842</v>
      </c>
      <c r="I242" s="35" t="s">
        <v>35</v>
      </c>
      <c r="J242" s="34">
        <v>1.6807618</v>
      </c>
    </row>
    <row r="243" spans="1:10">
      <c r="A243" s="37" t="s">
        <v>28</v>
      </c>
      <c r="B243" s="36">
        <v>2022</v>
      </c>
      <c r="C243" s="32">
        <v>12.204268686466989</v>
      </c>
      <c r="D243" s="35">
        <v>49.415585870057043</v>
      </c>
      <c r="E243" s="35">
        <v>15.97974157300836</v>
      </c>
      <c r="F243" s="35">
        <v>53.800714965802129</v>
      </c>
      <c r="G243" s="35">
        <v>45.483696665284157</v>
      </c>
      <c r="H243" s="35">
        <v>76.723393127744828</v>
      </c>
      <c r="I243" s="35" t="s">
        <v>35</v>
      </c>
      <c r="J243" s="34">
        <v>1.6240804</v>
      </c>
    </row>
    <row r="244" spans="1:10">
      <c r="A244" s="37" t="s">
        <v>29</v>
      </c>
      <c r="B244" s="36">
        <v>2012</v>
      </c>
      <c r="C244" s="32">
        <v>4.0838542003549332</v>
      </c>
      <c r="D244" s="35">
        <v>37.337810194130917</v>
      </c>
      <c r="E244" s="35">
        <v>8.3121386045824686</v>
      </c>
      <c r="F244" s="35">
        <v>32.342881850368187</v>
      </c>
      <c r="G244" s="35">
        <v>32.191604375343779</v>
      </c>
      <c r="H244" s="35">
        <v>35.670497306037788</v>
      </c>
      <c r="I244" s="35">
        <v>63.463233769764841</v>
      </c>
      <c r="J244" s="34">
        <v>1.8492675999999999</v>
      </c>
    </row>
    <row r="245" spans="1:10">
      <c r="A245" s="37" t="s">
        <v>29</v>
      </c>
      <c r="B245" s="36">
        <v>2013</v>
      </c>
      <c r="C245" s="32">
        <v>6.5413948441382583</v>
      </c>
      <c r="D245" s="35">
        <v>44.721887895029873</v>
      </c>
      <c r="E245" s="35">
        <v>11.31332068084699</v>
      </c>
      <c r="F245" s="35">
        <v>30.01318369291273</v>
      </c>
      <c r="G245" s="35">
        <v>35.465654979909132</v>
      </c>
      <c r="H245" s="35">
        <v>41.515307791351759</v>
      </c>
      <c r="I245" s="35">
        <v>64.955901505586382</v>
      </c>
      <c r="J245" s="34">
        <v>1.7970842999999999</v>
      </c>
    </row>
    <row r="246" spans="1:10">
      <c r="A246" s="37" t="s">
        <v>29</v>
      </c>
      <c r="B246" s="36">
        <v>2014</v>
      </c>
      <c r="C246" s="32">
        <v>5.2467377873040286</v>
      </c>
      <c r="D246" s="35">
        <v>41.585285890808457</v>
      </c>
      <c r="E246" s="35">
        <v>8.8236128222985233</v>
      </c>
      <c r="F246" s="35">
        <v>28.63840234798916</v>
      </c>
      <c r="G246" s="35">
        <v>33.982849766680609</v>
      </c>
      <c r="H246" s="35">
        <v>43.671193232013181</v>
      </c>
      <c r="I246" s="35">
        <v>65.812289283329392</v>
      </c>
      <c r="J246" s="34">
        <v>1.9141281999999999</v>
      </c>
    </row>
    <row r="247" spans="1:10">
      <c r="A247" s="37" t="s">
        <v>29</v>
      </c>
      <c r="B247" s="36">
        <v>2015</v>
      </c>
      <c r="C247" s="32">
        <v>6.6652430687190245</v>
      </c>
      <c r="D247" s="35">
        <v>43.995155743898259</v>
      </c>
      <c r="E247" s="35">
        <v>9.5307812884180763</v>
      </c>
      <c r="F247" s="35">
        <v>28.995113397840019</v>
      </c>
      <c r="G247" s="35">
        <v>37.033194616571961</v>
      </c>
      <c r="H247" s="35">
        <v>41.790931555378677</v>
      </c>
      <c r="I247" s="35">
        <v>66.511958888976281</v>
      </c>
      <c r="J247" s="34">
        <v>1.7962761999999999</v>
      </c>
    </row>
    <row r="248" spans="1:10">
      <c r="A248" s="37" t="s">
        <v>29</v>
      </c>
      <c r="B248" s="36">
        <v>2016</v>
      </c>
      <c r="C248" s="32">
        <v>6.3693811655727748</v>
      </c>
      <c r="D248" s="35">
        <v>43.254966392037737</v>
      </c>
      <c r="E248" s="35">
        <v>10.8825519301373</v>
      </c>
      <c r="F248" s="35">
        <v>31.289520032241189</v>
      </c>
      <c r="G248" s="35">
        <v>36.092334352758193</v>
      </c>
      <c r="H248" s="35">
        <v>41.417785724378518</v>
      </c>
      <c r="I248" s="35">
        <v>66.001736574865859</v>
      </c>
      <c r="J248" s="34">
        <v>1.9192621999999999</v>
      </c>
    </row>
    <row r="249" spans="1:10">
      <c r="A249" s="37" t="s">
        <v>29</v>
      </c>
      <c r="B249" s="36">
        <v>2017</v>
      </c>
      <c r="C249" s="32">
        <v>7.6360448528738756</v>
      </c>
      <c r="D249" s="35">
        <v>42.093840159464492</v>
      </c>
      <c r="E249" s="35">
        <v>12.25824212068893</v>
      </c>
      <c r="F249" s="35">
        <v>33.856959280961782</v>
      </c>
      <c r="G249" s="35">
        <v>35.227668966066872</v>
      </c>
      <c r="H249" s="35">
        <v>47.162101304053287</v>
      </c>
      <c r="I249" s="35">
        <v>73.204234110230345</v>
      </c>
      <c r="J249" s="34">
        <v>1.9074994999999999</v>
      </c>
    </row>
    <row r="250" spans="1:10">
      <c r="A250" s="37" t="s">
        <v>29</v>
      </c>
      <c r="B250" s="36">
        <v>2018</v>
      </c>
      <c r="C250" s="32">
        <v>7.3878139371361646</v>
      </c>
      <c r="D250" s="35">
        <v>36.260624545490813</v>
      </c>
      <c r="E250" s="35">
        <v>9.8035229774913226</v>
      </c>
      <c r="F250" s="35">
        <v>28.418212576573399</v>
      </c>
      <c r="G250" s="35">
        <v>41.110920552247542</v>
      </c>
      <c r="H250" s="35">
        <v>45.48283343879487</v>
      </c>
      <c r="I250" s="35">
        <v>69.709924077216399</v>
      </c>
      <c r="J250" s="34">
        <v>1.8048586999999998</v>
      </c>
    </row>
    <row r="251" spans="1:10">
      <c r="A251" s="37" t="s">
        <v>29</v>
      </c>
      <c r="B251" s="36">
        <v>2019</v>
      </c>
      <c r="C251" s="32">
        <v>11.299977201307868</v>
      </c>
      <c r="D251" s="35">
        <v>49.145198732507012</v>
      </c>
      <c r="E251" s="35">
        <v>15.0635701912813</v>
      </c>
      <c r="F251" s="35">
        <v>54.711316899117492</v>
      </c>
      <c r="G251" s="35">
        <v>27.16198766843009</v>
      </c>
      <c r="H251" s="35">
        <v>40.66291802079202</v>
      </c>
      <c r="I251" s="35">
        <v>76.184336160412386</v>
      </c>
      <c r="J251" s="34">
        <v>1.7671209999999999</v>
      </c>
    </row>
    <row r="252" spans="1:10">
      <c r="A252" s="37" t="s">
        <v>29</v>
      </c>
      <c r="B252" s="36">
        <v>2020</v>
      </c>
      <c r="C252" s="32">
        <v>7.2177320582743372</v>
      </c>
      <c r="D252" s="35">
        <v>44.522369779223467</v>
      </c>
      <c r="E252" s="35">
        <v>10.1087579975453</v>
      </c>
      <c r="F252" s="35">
        <v>44.582877977287957</v>
      </c>
      <c r="G252" s="35">
        <v>45.462918013289148</v>
      </c>
      <c r="H252" s="35">
        <v>26.721836369002101</v>
      </c>
      <c r="I252" s="35">
        <v>71.923703071752314</v>
      </c>
      <c r="J252" s="34">
        <v>1.6431817</v>
      </c>
    </row>
    <row r="253" spans="1:10">
      <c r="A253" s="37" t="s">
        <v>29</v>
      </c>
      <c r="B253" s="36">
        <v>2021</v>
      </c>
      <c r="C253" s="32">
        <v>8.8531126636090072</v>
      </c>
      <c r="D253" s="35">
        <v>49.568087961171777</v>
      </c>
      <c r="E253" s="35">
        <v>18.37997323956435</v>
      </c>
      <c r="F253" s="35">
        <v>54.723574146773949</v>
      </c>
      <c r="G253" s="35">
        <v>38.174702719965069</v>
      </c>
      <c r="H253" s="35">
        <v>54.707645668252361</v>
      </c>
      <c r="I253" s="35">
        <v>75.793636383680337</v>
      </c>
      <c r="J253" s="34">
        <v>1.7598954</v>
      </c>
    </row>
    <row r="254" spans="1:10">
      <c r="A254" s="37" t="s">
        <v>29</v>
      </c>
      <c r="B254" s="36">
        <v>2022</v>
      </c>
      <c r="C254" s="32">
        <v>6.5667861056190135</v>
      </c>
      <c r="D254" s="35">
        <v>47.559664502799542</v>
      </c>
      <c r="E254" s="35">
        <v>14.23285058360417</v>
      </c>
      <c r="F254" s="35">
        <v>52.077974071847777</v>
      </c>
      <c r="G254" s="35">
        <v>41.875476934923363</v>
      </c>
      <c r="H254" s="35">
        <v>46.947450475122757</v>
      </c>
      <c r="I254" s="35">
        <v>74.067156616379052</v>
      </c>
      <c r="J254" s="34">
        <v>1.7620013999999999</v>
      </c>
    </row>
    <row r="255" spans="1:10">
      <c r="A255" s="37" t="s">
        <v>30</v>
      </c>
      <c r="B255" s="36">
        <v>2012</v>
      </c>
      <c r="C255" s="32">
        <v>9.4489598144159501</v>
      </c>
      <c r="D255" s="35">
        <v>26.375968385215131</v>
      </c>
      <c r="E255" s="35">
        <v>26.84588297753389</v>
      </c>
      <c r="F255" s="35">
        <v>31.311295253101449</v>
      </c>
      <c r="G255" s="35">
        <v>40.782392920296402</v>
      </c>
      <c r="H255" s="35">
        <v>38.546673899053687</v>
      </c>
      <c r="I255" s="35">
        <v>62.846024238421343</v>
      </c>
      <c r="J255" s="34">
        <v>1.2319344999999999</v>
      </c>
    </row>
    <row r="256" spans="1:10">
      <c r="A256" s="37" t="s">
        <v>30</v>
      </c>
      <c r="B256" s="36">
        <v>2013</v>
      </c>
      <c r="C256" s="32">
        <v>10.6560033890149</v>
      </c>
      <c r="D256" s="35">
        <v>27.220105748568219</v>
      </c>
      <c r="E256" s="35">
        <v>29.132795450391171</v>
      </c>
      <c r="F256" s="35">
        <v>35.258904043537157</v>
      </c>
      <c r="G256" s="35">
        <v>41.229989773785867</v>
      </c>
      <c r="H256" s="35">
        <v>42.031884175809402</v>
      </c>
      <c r="I256" s="35">
        <v>64.453768213126352</v>
      </c>
      <c r="J256" s="34">
        <v>1.1881192999999999</v>
      </c>
    </row>
    <row r="257" spans="1:10">
      <c r="A257" s="37" t="s">
        <v>30</v>
      </c>
      <c r="B257" s="36">
        <v>2014</v>
      </c>
      <c r="C257" s="32">
        <v>10.849120891699826</v>
      </c>
      <c r="D257" s="35">
        <v>28.995752043363009</v>
      </c>
      <c r="E257" s="35">
        <v>28.094873262266379</v>
      </c>
      <c r="F257" s="35">
        <v>35.967314564951138</v>
      </c>
      <c r="G257" s="35">
        <v>40.011474174520693</v>
      </c>
      <c r="H257" s="35">
        <v>33.468356261099373</v>
      </c>
      <c r="I257" s="35">
        <v>62.573535279798328</v>
      </c>
      <c r="J257" s="34">
        <v>1.2541708</v>
      </c>
    </row>
    <row r="258" spans="1:10">
      <c r="A258" s="37" t="s">
        <v>30</v>
      </c>
      <c r="B258" s="36">
        <v>2015</v>
      </c>
      <c r="C258" s="32">
        <v>11.249033765877034</v>
      </c>
      <c r="D258" s="35">
        <v>25.429190336331359</v>
      </c>
      <c r="E258" s="35">
        <v>27.487736728629489</v>
      </c>
      <c r="F258" s="35">
        <v>35.338131686117428</v>
      </c>
      <c r="G258" s="35">
        <v>40.932962385197683</v>
      </c>
      <c r="H258" s="35">
        <v>30.217095783157909</v>
      </c>
      <c r="I258" s="35">
        <v>62.653740629805732</v>
      </c>
      <c r="J258" s="34">
        <v>1.3226419</v>
      </c>
    </row>
    <row r="259" spans="1:10">
      <c r="A259" s="37" t="s">
        <v>30</v>
      </c>
      <c r="B259" s="36">
        <v>2016</v>
      </c>
      <c r="C259" s="32">
        <v>9.6109809153096695</v>
      </c>
      <c r="D259" s="35">
        <v>25.24073372389471</v>
      </c>
      <c r="E259" s="35">
        <v>28.324512411030419</v>
      </c>
      <c r="F259" s="35">
        <v>36.513495835288523</v>
      </c>
      <c r="G259" s="35">
        <v>41.780278012402157</v>
      </c>
      <c r="H259" s="35">
        <v>26.45719995635412</v>
      </c>
      <c r="I259" s="35">
        <v>62.176322021903253</v>
      </c>
      <c r="J259" s="34">
        <v>1.2847005999999999</v>
      </c>
    </row>
    <row r="260" spans="1:10">
      <c r="A260" s="37" t="s">
        <v>30</v>
      </c>
      <c r="B260" s="36">
        <v>2017</v>
      </c>
      <c r="C260" s="32">
        <v>11.846239694682405</v>
      </c>
      <c r="D260" s="35">
        <v>25.888722182622772</v>
      </c>
      <c r="E260" s="35">
        <v>29.538221165893439</v>
      </c>
      <c r="F260" s="35">
        <v>41.02357875564374</v>
      </c>
      <c r="G260" s="35">
        <v>42.241976256794104</v>
      </c>
      <c r="H260" s="35">
        <v>26.574824199782078</v>
      </c>
      <c r="I260" s="35">
        <v>60.131889940052652</v>
      </c>
      <c r="J260" s="34">
        <v>1.2754467</v>
      </c>
    </row>
    <row r="261" spans="1:10">
      <c r="A261" s="37" t="s">
        <v>30</v>
      </c>
      <c r="B261" s="36">
        <v>2018</v>
      </c>
      <c r="C261" s="32">
        <v>14.507723652476516</v>
      </c>
      <c r="D261" s="35">
        <v>28.179002912882389</v>
      </c>
      <c r="E261" s="35">
        <v>27.374341206390849</v>
      </c>
      <c r="F261" s="35">
        <v>41.029143203617807</v>
      </c>
      <c r="G261" s="35">
        <v>44.316896222858219</v>
      </c>
      <c r="H261" s="35">
        <v>26.737246213014711</v>
      </c>
      <c r="I261" s="35">
        <v>76.43502534700761</v>
      </c>
      <c r="J261" s="34">
        <v>1.2548778</v>
      </c>
    </row>
    <row r="262" spans="1:10">
      <c r="A262" s="37" t="s">
        <v>30</v>
      </c>
      <c r="B262" s="36">
        <v>2019</v>
      </c>
      <c r="C262" s="32">
        <v>9.5284843089412519</v>
      </c>
      <c r="D262" s="35">
        <v>41.9726923343705</v>
      </c>
      <c r="E262" s="35">
        <v>16.819054940381491</v>
      </c>
      <c r="F262" s="35">
        <v>35.567515301744322</v>
      </c>
      <c r="G262" s="35">
        <v>36.10638396801459</v>
      </c>
      <c r="H262" s="35">
        <v>41.162031069114498</v>
      </c>
      <c r="I262" s="35">
        <v>61.062808160569169</v>
      </c>
      <c r="J262" s="34">
        <v>1.3021531</v>
      </c>
    </row>
    <row r="263" spans="1:10">
      <c r="A263" s="37" t="s">
        <v>30</v>
      </c>
      <c r="B263" s="36">
        <v>2020</v>
      </c>
      <c r="C263" s="32">
        <v>9.0530187398153039</v>
      </c>
      <c r="D263" s="35">
        <v>44.806224194975321</v>
      </c>
      <c r="E263" s="35">
        <v>17.367950514236959</v>
      </c>
      <c r="F263" s="35">
        <v>32.329407406520779</v>
      </c>
      <c r="G263" s="35">
        <v>42.040800856259231</v>
      </c>
      <c r="H263" s="35">
        <v>39.2530296332367</v>
      </c>
      <c r="I263" s="35">
        <v>60.399961592618823</v>
      </c>
      <c r="J263" s="34">
        <v>1.2702715</v>
      </c>
    </row>
    <row r="264" spans="1:10">
      <c r="A264" s="37" t="s">
        <v>30</v>
      </c>
      <c r="B264" s="36">
        <v>2021</v>
      </c>
      <c r="C264" s="32">
        <v>8.3269433037622544</v>
      </c>
      <c r="D264" s="35">
        <f t="shared" ref="D264:I264" si="10">AVERAGE(D263,D265)</f>
        <v>42.371531561651238</v>
      </c>
      <c r="E264" s="35">
        <f t="shared" si="10"/>
        <v>17.094921768786527</v>
      </c>
      <c r="F264" s="35">
        <f t="shared" si="10"/>
        <v>30.647114939281721</v>
      </c>
      <c r="G264" s="35">
        <f t="shared" si="10"/>
        <v>43.289983855113682</v>
      </c>
      <c r="H264" s="35">
        <f t="shared" si="10"/>
        <v>43.032617349119747</v>
      </c>
      <c r="I264" s="35">
        <f t="shared" si="10"/>
        <v>59.18494806657273</v>
      </c>
      <c r="J264" s="34">
        <v>1.3411035999999998</v>
      </c>
    </row>
    <row r="265" spans="1:10">
      <c r="A265" s="37" t="s">
        <v>30</v>
      </c>
      <c r="B265" s="36">
        <v>2022</v>
      </c>
      <c r="C265" s="32">
        <v>7.5456571264562395</v>
      </c>
      <c r="D265" s="35">
        <v>39.936838928327163</v>
      </c>
      <c r="E265" s="35">
        <v>16.821893023336091</v>
      </c>
      <c r="F265" s="35">
        <v>28.964822472042659</v>
      </c>
      <c r="G265" s="35">
        <v>44.539166853968133</v>
      </c>
      <c r="H265" s="35">
        <v>46.812205065002793</v>
      </c>
      <c r="I265" s="35">
        <v>57.969934540526637</v>
      </c>
      <c r="J265" s="34">
        <v>1.2984028999999999</v>
      </c>
    </row>
    <row r="266" spans="1:10">
      <c r="A266" s="37" t="s">
        <v>32</v>
      </c>
      <c r="B266" s="36">
        <v>2012</v>
      </c>
      <c r="C266" s="32">
        <v>8.9515137604653052</v>
      </c>
      <c r="D266" s="35">
        <v>47.128362417499623</v>
      </c>
      <c r="E266" s="35">
        <v>11.458642155813649</v>
      </c>
      <c r="F266" s="35">
        <v>30.070464356310431</v>
      </c>
      <c r="G266" s="35">
        <v>40.935590845790948</v>
      </c>
      <c r="H266" s="35">
        <v>32.81816162961875</v>
      </c>
      <c r="I266" s="35">
        <v>76.694727409309678</v>
      </c>
      <c r="J266" s="34">
        <v>1.6452123999999999</v>
      </c>
    </row>
    <row r="267" spans="1:10">
      <c r="A267" s="37" t="s">
        <v>32</v>
      </c>
      <c r="B267" s="36">
        <v>2013</v>
      </c>
      <c r="C267" s="32">
        <v>7.006409105947446</v>
      </c>
      <c r="D267" s="35">
        <v>43.846120090228773</v>
      </c>
      <c r="E267" s="35">
        <v>7.6026385638709062</v>
      </c>
      <c r="F267" s="35">
        <v>29.25221436150003</v>
      </c>
      <c r="G267" s="35">
        <v>39.837798752432171</v>
      </c>
      <c r="H267" s="35">
        <v>35.539189695425769</v>
      </c>
      <c r="I267" s="35">
        <v>79.333375967123658</v>
      </c>
      <c r="J267" s="34">
        <v>1.7276963999999999</v>
      </c>
    </row>
    <row r="268" spans="1:10">
      <c r="A268" s="37" t="s">
        <v>32</v>
      </c>
      <c r="B268" s="36">
        <v>2014</v>
      </c>
      <c r="C268" s="32">
        <v>11.815591046967103</v>
      </c>
      <c r="D268" s="35">
        <v>46.436022732117671</v>
      </c>
      <c r="E268" s="35">
        <v>8.9235223868314293</v>
      </c>
      <c r="F268" s="35">
        <v>30.952753648222458</v>
      </c>
      <c r="G268" s="35">
        <v>37.668443745065417</v>
      </c>
      <c r="H268" s="35">
        <v>40.985348629599663</v>
      </c>
      <c r="I268" s="35">
        <v>74.98929089920658</v>
      </c>
      <c r="J268" s="34">
        <v>1.7334141999999999</v>
      </c>
    </row>
    <row r="269" spans="1:10">
      <c r="A269" s="37" t="s">
        <v>32</v>
      </c>
      <c r="B269" s="36">
        <v>2015</v>
      </c>
      <c r="C269" s="32">
        <v>5.9351821827316531</v>
      </c>
      <c r="D269" s="35">
        <v>43.565641267259167</v>
      </c>
      <c r="E269" s="35">
        <v>9.4205189182523608</v>
      </c>
      <c r="F269" s="35">
        <v>29.741630750967239</v>
      </c>
      <c r="G269" s="35">
        <v>37.16112010615722</v>
      </c>
      <c r="H269" s="35">
        <v>41.554528369796067</v>
      </c>
      <c r="I269" s="35">
        <v>79.239173661170028</v>
      </c>
      <c r="J269" s="34">
        <v>1.8137277999999999</v>
      </c>
    </row>
    <row r="270" spans="1:10">
      <c r="A270" s="37" t="s">
        <v>32</v>
      </c>
      <c r="B270" s="36">
        <v>2016</v>
      </c>
      <c r="C270" s="32">
        <v>9.1822130240404789</v>
      </c>
      <c r="D270" s="35">
        <v>47.958360624837461</v>
      </c>
      <c r="E270" s="35">
        <v>11.275256241702751</v>
      </c>
      <c r="F270" s="35">
        <v>33.168240719008708</v>
      </c>
      <c r="G270" s="35">
        <v>36.182835599326317</v>
      </c>
      <c r="H270" s="35">
        <v>42.303642381500488</v>
      </c>
      <c r="I270" s="35">
        <v>77.179606163929222</v>
      </c>
      <c r="J270" s="34">
        <v>1.6810284999999998</v>
      </c>
    </row>
    <row r="271" spans="1:10">
      <c r="A271" s="37" t="s">
        <v>32</v>
      </c>
      <c r="B271" s="36">
        <v>2017</v>
      </c>
      <c r="C271" s="32">
        <v>9.6575994224340818</v>
      </c>
      <c r="D271" s="35">
        <v>48.213663253785533</v>
      </c>
      <c r="E271" s="35">
        <v>9.2105833313593504</v>
      </c>
      <c r="F271" s="35">
        <v>33.151348652896431</v>
      </c>
      <c r="G271" s="35">
        <v>37.265973717225457</v>
      </c>
      <c r="H271" s="35">
        <v>42.981157357455288</v>
      </c>
      <c r="I271" s="35">
        <v>75.596158897994727</v>
      </c>
      <c r="J271" s="34">
        <v>1.6694232999999998</v>
      </c>
    </row>
    <row r="272" spans="1:10">
      <c r="A272" s="37" t="s">
        <v>32</v>
      </c>
      <c r="B272" s="36">
        <v>2018</v>
      </c>
      <c r="C272" s="32">
        <v>9.9618466129077827</v>
      </c>
      <c r="D272" s="35">
        <v>46.62891989697728</v>
      </c>
      <c r="E272" s="35">
        <v>8.3141529564801981</v>
      </c>
      <c r="F272" s="35">
        <v>33.273235102257281</v>
      </c>
      <c r="G272" s="35">
        <v>39.789708510332183</v>
      </c>
      <c r="H272" s="35">
        <v>44.022871593735573</v>
      </c>
      <c r="I272" s="35">
        <v>76.423606615108881</v>
      </c>
      <c r="J272" s="34">
        <v>1.6748822999999999</v>
      </c>
    </row>
    <row r="273" spans="1:10">
      <c r="A273" s="37" t="s">
        <v>32</v>
      </c>
      <c r="B273" s="36">
        <v>2019</v>
      </c>
      <c r="C273" s="32">
        <v>10.861453356238554</v>
      </c>
      <c r="D273" s="35">
        <v>55.179601837909132</v>
      </c>
      <c r="E273" s="35">
        <v>9.8941853127151234</v>
      </c>
      <c r="F273" s="35">
        <v>49.089599533599667</v>
      </c>
      <c r="G273" s="35">
        <v>48.665191429076167</v>
      </c>
      <c r="H273" s="35">
        <v>43.838962543237237</v>
      </c>
      <c r="I273" s="35">
        <v>76.669540696394805</v>
      </c>
      <c r="J273" s="34">
        <v>1.7134916999999998</v>
      </c>
    </row>
    <row r="274" spans="1:10">
      <c r="A274" s="37" t="s">
        <v>32</v>
      </c>
      <c r="B274" s="36">
        <v>2020</v>
      </c>
      <c r="C274" s="32">
        <v>11.480583435317183</v>
      </c>
      <c r="D274" s="35">
        <v>54.505786435653782</v>
      </c>
      <c r="E274" s="35">
        <v>10.402863868883429</v>
      </c>
      <c r="F274" s="35">
        <v>49.808407451887291</v>
      </c>
      <c r="G274" s="35">
        <v>56.188739728798083</v>
      </c>
      <c r="H274" s="35">
        <v>27.341801150195309</v>
      </c>
      <c r="I274" s="35">
        <v>77.101131949004838</v>
      </c>
      <c r="J274" s="34">
        <v>1.6013639</v>
      </c>
    </row>
    <row r="275" spans="1:10">
      <c r="A275" s="37" t="s">
        <v>32</v>
      </c>
      <c r="B275" s="36">
        <v>2021</v>
      </c>
      <c r="C275" s="32">
        <v>16.021135228307116</v>
      </c>
      <c r="D275" s="35">
        <v>51.052237315722003</v>
      </c>
      <c r="E275" s="35">
        <v>12.12983219989529</v>
      </c>
      <c r="F275" s="35">
        <v>49.790647743884783</v>
      </c>
      <c r="G275" s="35">
        <v>58.35811886848122</v>
      </c>
      <c r="H275" s="35">
        <v>61.22154885651134</v>
      </c>
      <c r="I275" s="35">
        <v>83.484973627561587</v>
      </c>
      <c r="J275" s="34">
        <v>1.6007579999999999</v>
      </c>
    </row>
    <row r="276" spans="1:10">
      <c r="A276" s="37" t="s">
        <v>32</v>
      </c>
      <c r="B276" s="36">
        <v>2022</v>
      </c>
      <c r="C276" s="32">
        <v>15.875674315658246</v>
      </c>
      <c r="D276" s="35">
        <v>53.4859150846519</v>
      </c>
      <c r="E276" s="35">
        <v>13.020224915533831</v>
      </c>
      <c r="F276" s="35">
        <v>47.585361836817228</v>
      </c>
      <c r="G276" s="35">
        <v>59.608622493731708</v>
      </c>
      <c r="H276" s="35">
        <v>44.353781084651061</v>
      </c>
      <c r="I276" s="35">
        <v>82.476048021612982</v>
      </c>
      <c r="J276" s="34">
        <v>1.6491931</v>
      </c>
    </row>
    <row r="277" spans="1:10">
      <c r="A277" s="37" t="s">
        <v>33</v>
      </c>
      <c r="B277" s="36">
        <v>2012</v>
      </c>
      <c r="C277" s="32">
        <v>12.434509701815179</v>
      </c>
      <c r="D277" s="35">
        <v>55.876489635502033</v>
      </c>
      <c r="E277" s="35">
        <v>16.5355467609333</v>
      </c>
      <c r="F277" s="35">
        <v>28.947447786457399</v>
      </c>
      <c r="G277" s="35">
        <v>37.830922749972842</v>
      </c>
      <c r="H277" s="35">
        <v>43.485916808293247</v>
      </c>
      <c r="I277" s="35" t="s">
        <v>35</v>
      </c>
      <c r="J277" s="34">
        <v>1.4422743</v>
      </c>
    </row>
    <row r="278" spans="1:10">
      <c r="A278" s="37" t="s">
        <v>33</v>
      </c>
      <c r="B278" s="36">
        <v>2013</v>
      </c>
      <c r="C278" s="32">
        <v>13.839255805490955</v>
      </c>
      <c r="D278" s="35">
        <v>55.743005918050038</v>
      </c>
      <c r="E278" s="35">
        <v>16.637012654568782</v>
      </c>
      <c r="F278" s="35">
        <v>27.205611007701901</v>
      </c>
      <c r="G278" s="35">
        <v>35.023307920739867</v>
      </c>
      <c r="H278" s="35">
        <v>47.162294419564553</v>
      </c>
      <c r="I278" s="35" t="s">
        <v>35</v>
      </c>
      <c r="J278" s="34">
        <v>1.3908666999999999</v>
      </c>
    </row>
    <row r="279" spans="1:10">
      <c r="A279" s="37" t="s">
        <v>33</v>
      </c>
      <c r="B279" s="36">
        <v>2014</v>
      </c>
      <c r="C279" s="32">
        <v>16.19330080650964</v>
      </c>
      <c r="D279" s="35">
        <v>53.3352519963139</v>
      </c>
      <c r="E279" s="35">
        <v>16.231707609811579</v>
      </c>
      <c r="F279" s="35">
        <v>28.811407041359949</v>
      </c>
      <c r="G279" s="35">
        <v>32.812445017401267</v>
      </c>
      <c r="H279" s="35">
        <v>50.852579511317707</v>
      </c>
      <c r="I279" s="35">
        <v>76.873729778298966</v>
      </c>
      <c r="J279" s="34">
        <v>1.2856554999999998</v>
      </c>
    </row>
    <row r="280" spans="1:10">
      <c r="A280" s="37" t="s">
        <v>33</v>
      </c>
      <c r="B280" s="36">
        <v>2015</v>
      </c>
      <c r="C280" s="32">
        <v>12.24734470173129</v>
      </c>
      <c r="D280" s="35">
        <v>55.71171245543308</v>
      </c>
      <c r="E280" s="35">
        <v>17.13855137012543</v>
      </c>
      <c r="F280" s="35">
        <v>29.840834917350811</v>
      </c>
      <c r="G280" s="35">
        <v>31.547686657133511</v>
      </c>
      <c r="H280" s="35">
        <v>46.634915857907103</v>
      </c>
      <c r="I280" s="35" t="s">
        <v>35</v>
      </c>
      <c r="J280" s="34">
        <v>1.2919441999999999</v>
      </c>
    </row>
    <row r="281" spans="1:10">
      <c r="A281" s="37" t="s">
        <v>33</v>
      </c>
      <c r="B281" s="36">
        <v>2016</v>
      </c>
      <c r="C281" s="32">
        <v>13.53086757940552</v>
      </c>
      <c r="D281" s="35">
        <v>55.04825725940313</v>
      </c>
      <c r="E281" s="35">
        <v>16.41140738029171</v>
      </c>
      <c r="F281" s="35">
        <v>30.601779431905051</v>
      </c>
      <c r="G281" s="35">
        <v>34.895404481204842</v>
      </c>
      <c r="H281" s="35">
        <v>57.271158235868292</v>
      </c>
      <c r="I281" s="35">
        <v>74.42850857252688</v>
      </c>
      <c r="J281" s="34">
        <v>1.4076515999999999</v>
      </c>
    </row>
    <row r="282" spans="1:10">
      <c r="A282" s="37" t="s">
        <v>33</v>
      </c>
      <c r="B282" s="36">
        <v>2017</v>
      </c>
      <c r="C282" s="32">
        <v>14.817740029273862</v>
      </c>
      <c r="D282" s="35">
        <v>54.30553610077019</v>
      </c>
      <c r="E282" s="35">
        <v>18.968977342045381</v>
      </c>
      <c r="F282" s="35">
        <v>32.775556390923242</v>
      </c>
      <c r="G282" s="35">
        <v>34.44722279064635</v>
      </c>
      <c r="H282" s="35">
        <v>63.586673562256323</v>
      </c>
      <c r="I282" s="35">
        <v>75.488856177895244</v>
      </c>
      <c r="J282" s="34">
        <v>1.5090249999999998</v>
      </c>
    </row>
    <row r="283" spans="1:10">
      <c r="A283" s="37" t="s">
        <v>33</v>
      </c>
      <c r="B283" s="36">
        <v>2018</v>
      </c>
      <c r="C283" s="32">
        <v>16.707236252764357</v>
      </c>
      <c r="D283" s="35">
        <v>55.617150196325717</v>
      </c>
      <c r="E283" s="35">
        <v>18.543414714107179</v>
      </c>
      <c r="F283" s="35">
        <v>38.509369785201983</v>
      </c>
      <c r="G283" s="35">
        <v>39.437652356409231</v>
      </c>
      <c r="H283" s="35">
        <v>69.826133972845085</v>
      </c>
      <c r="I283" s="35">
        <v>78.687714102030242</v>
      </c>
      <c r="J283" s="34">
        <v>1.4842169999999999</v>
      </c>
    </row>
    <row r="284" spans="1:10">
      <c r="A284" s="37" t="s">
        <v>33</v>
      </c>
      <c r="B284" s="36">
        <v>2019</v>
      </c>
      <c r="C284" s="32">
        <v>19.404973732596172</v>
      </c>
      <c r="D284" s="35">
        <v>65.505891575582993</v>
      </c>
      <c r="E284" s="35">
        <v>20.441541339190241</v>
      </c>
      <c r="F284" s="35">
        <v>60.845953636082371</v>
      </c>
      <c r="G284" s="35">
        <v>43.494124874417182</v>
      </c>
      <c r="H284" s="35">
        <v>67.238318161469238</v>
      </c>
      <c r="I284" s="35">
        <v>79.662553475611332</v>
      </c>
      <c r="J284" s="34">
        <v>1.3675576</v>
      </c>
    </row>
    <row r="285" spans="1:10">
      <c r="A285" s="37" t="s">
        <v>33</v>
      </c>
      <c r="B285" s="36">
        <v>2020</v>
      </c>
      <c r="C285" s="32">
        <v>17.047877048009262</v>
      </c>
      <c r="D285" s="35">
        <v>63.997621438531191</v>
      </c>
      <c r="E285" s="35">
        <v>18.55061517195583</v>
      </c>
      <c r="F285" s="35">
        <v>60.922225096870072</v>
      </c>
      <c r="G285" s="35">
        <v>50.526456807746847</v>
      </c>
      <c r="H285" s="35">
        <v>48.609148988867439</v>
      </c>
      <c r="I285" s="35">
        <v>78.326274016865298</v>
      </c>
      <c r="J285" s="34">
        <v>1.2778639000000001</v>
      </c>
    </row>
    <row r="286" spans="1:10">
      <c r="A286" s="37" t="s">
        <v>33</v>
      </c>
      <c r="B286" s="36">
        <v>2021</v>
      </c>
      <c r="C286" s="32">
        <v>18.915636471869817</v>
      </c>
      <c r="D286" s="35">
        <v>64.548913409234629</v>
      </c>
      <c r="E286" s="35">
        <v>20.51461974658919</v>
      </c>
      <c r="F286" s="35">
        <v>58.819746012007244</v>
      </c>
      <c r="G286" s="35">
        <v>48.366414144038643</v>
      </c>
      <c r="H286" s="35">
        <v>63.152581219785731</v>
      </c>
      <c r="I286" s="35">
        <v>80.377308700678739</v>
      </c>
      <c r="J286" s="34">
        <v>1.4642419</v>
      </c>
    </row>
    <row r="287" spans="1:10">
      <c r="A287" s="37" t="s">
        <v>33</v>
      </c>
      <c r="B287" s="36">
        <v>2022</v>
      </c>
      <c r="C287" s="32">
        <v>26.982668729897835</v>
      </c>
      <c r="D287" s="35">
        <v>66.799856473472516</v>
      </c>
      <c r="E287" s="35">
        <v>22.509955509021669</v>
      </c>
      <c r="F287" s="35">
        <v>55.617029144072283</v>
      </c>
      <c r="G287" s="35">
        <v>55.134508364716297</v>
      </c>
      <c r="H287" s="35">
        <v>46.01396701731494</v>
      </c>
      <c r="I287" s="35">
        <v>79.863615568795225</v>
      </c>
      <c r="J287" s="34">
        <v>1.4588295</v>
      </c>
    </row>
  </sheetData>
  <conditionalFormatting sqref="M3:T10">
    <cfRule type="cellIs" dxfId="0" priority="1" operator="between">
      <formula>0.8</formula>
      <formula>0.99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S2012-2022</vt:lpstr>
      <vt:lpstr>S2019-2022</vt:lpstr>
      <vt:lpstr>S2012-2022 (I)</vt:lpstr>
      <vt:lpstr>S2019-2022 (I)</vt:lpstr>
      <vt:lpstr>2012-2022</vt:lpstr>
      <vt:lpstr>2019-2022</vt:lpstr>
      <vt:lpstr>Correlations (2012-2022)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Villela</dc:creator>
  <cp:lastModifiedBy>Arthur Villela</cp:lastModifiedBy>
  <dcterms:created xsi:type="dcterms:W3CDTF">2026-09-19T16:51:24Z</dcterms:created>
  <dcterms:modified xsi:type="dcterms:W3CDTF">2026-10-01T13:32:57Z</dcterms:modified>
</cp:coreProperties>
</file>